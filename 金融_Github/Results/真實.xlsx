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4DB8F6A3-D63C-9047-9599-63450188273D}" xr6:coauthVersionLast="47" xr6:coauthVersionMax="47" xr10:uidLastSave="{00000000-0000-0000-0000-000000000000}"/>
  <bookViews>
    <workbookView xWindow="0" yWindow="760" windowWidth="30240" windowHeight="17900" activeTab="2" xr2:uid="{00000000-000D-0000-FFFF-FFFF00000000}"/>
  </bookViews>
  <sheets>
    <sheet name="真實IC" sheetId="1" r:id="rId1"/>
    <sheet name="OLS勝率(真實)" sheetId="2" r:id="rId2"/>
    <sheet name="夏普比率" sheetId="6" r:id="rId3"/>
    <sheet name="真實累積報酬" sheetId="3" r:id="rId4"/>
    <sheet name="真實畫圖" sheetId="4" r:id="rId5"/>
    <sheet name="真實再投資累積報酬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8" i="6" l="1"/>
  <c r="DV8" i="6"/>
  <c r="DL8" i="6"/>
  <c r="DK8" i="6"/>
  <c r="DA8" i="6"/>
  <c r="CZ8" i="6"/>
  <c r="CP8" i="6"/>
  <c r="CD8" i="6"/>
  <c r="EF6" i="6" a="1"/>
  <c r="EF6" i="6" s="1"/>
  <c r="EE6" i="6"/>
  <c r="EE8" i="6" s="1"/>
  <c r="EE6" i="6" a="1"/>
  <c r="ED6" i="6"/>
  <c r="ED8" i="6" s="1"/>
  <c r="ED6" i="6" a="1"/>
  <c r="EC6" i="6"/>
  <c r="EC8" i="6" s="1"/>
  <c r="EC6" i="6" a="1"/>
  <c r="EB6" i="6" a="1"/>
  <c r="EB6" i="6" s="1"/>
  <c r="EA6" i="6" a="1"/>
  <c r="EA6" i="6" s="1"/>
  <c r="DZ6" i="6" a="1"/>
  <c r="DZ6" i="6" s="1"/>
  <c r="DY6" i="6" a="1"/>
  <c r="DY6" i="6" s="1"/>
  <c r="DX6" i="6" a="1"/>
  <c r="DX6" i="6" s="1"/>
  <c r="DW6" i="6"/>
  <c r="DW7" i="6" s="1"/>
  <c r="DW6" i="6" a="1"/>
  <c r="DV6" i="6"/>
  <c r="DV7" i="6" s="1"/>
  <c r="DV6" i="6" a="1"/>
  <c r="DU6" i="6" a="1"/>
  <c r="DU6" i="6" s="1"/>
  <c r="DT6" i="6"/>
  <c r="DT8" i="6" s="1"/>
  <c r="DT6" i="6" a="1"/>
  <c r="DS6" i="6"/>
  <c r="DS8" i="6" s="1"/>
  <c r="DS6" i="6" a="1"/>
  <c r="DR6" i="6"/>
  <c r="DR8" i="6" s="1"/>
  <c r="DR6" i="6" a="1"/>
  <c r="DQ6" i="6" a="1"/>
  <c r="DQ6" i="6" s="1"/>
  <c r="DP6" i="6" a="1"/>
  <c r="DP6" i="6" s="1"/>
  <c r="DO6" i="6" a="1"/>
  <c r="DO6" i="6" s="1"/>
  <c r="DN6" i="6" a="1"/>
  <c r="DN6" i="6" s="1"/>
  <c r="DM6" i="6" a="1"/>
  <c r="DM6" i="6" s="1"/>
  <c r="DL6" i="6"/>
  <c r="DL7" i="6" s="1"/>
  <c r="DL6" i="6" a="1"/>
  <c r="DK6" i="6"/>
  <c r="DK7" i="6" s="1"/>
  <c r="DK6" i="6" a="1"/>
  <c r="DJ6" i="6" a="1"/>
  <c r="DJ6" i="6" s="1"/>
  <c r="DI6" i="6"/>
  <c r="DI8" i="6" s="1"/>
  <c r="DI6" i="6" a="1"/>
  <c r="DH6" i="6"/>
  <c r="DH8" i="6" s="1"/>
  <c r="DH6" i="6" a="1"/>
  <c r="DG6" i="6"/>
  <c r="DG8" i="6" s="1"/>
  <c r="DG6" i="6" a="1"/>
  <c r="DF6" i="6" a="1"/>
  <c r="DF6" i="6" s="1"/>
  <c r="DE6" i="6" a="1"/>
  <c r="DE6" i="6" s="1"/>
  <c r="DD6" i="6" a="1"/>
  <c r="DD6" i="6" s="1"/>
  <c r="DC6" i="6" a="1"/>
  <c r="DC6" i="6" s="1"/>
  <c r="DB6" i="6" a="1"/>
  <c r="DB6" i="6" s="1"/>
  <c r="DA6" i="6"/>
  <c r="DA7" i="6" s="1"/>
  <c r="DA6" i="6" a="1"/>
  <c r="CZ6" i="6"/>
  <c r="CZ7" i="6" s="1"/>
  <c r="CZ6" i="6" a="1"/>
  <c r="CY6" i="6" a="1"/>
  <c r="CY6" i="6" s="1"/>
  <c r="CX6" i="6"/>
  <c r="CX8" i="6" s="1"/>
  <c r="CX6" i="6" a="1"/>
  <c r="CW6" i="6"/>
  <c r="CW8" i="6" s="1"/>
  <c r="CW6" i="6" a="1"/>
  <c r="CV6" i="6"/>
  <c r="CV8" i="6" s="1"/>
  <c r="CV6" i="6" a="1"/>
  <c r="CU6" i="6" a="1"/>
  <c r="CU6" i="6" s="1"/>
  <c r="CT6" i="6" a="1"/>
  <c r="CT6" i="6" s="1"/>
  <c r="CS6" i="6" a="1"/>
  <c r="CS6" i="6" s="1"/>
  <c r="CR6" i="6" a="1"/>
  <c r="CR6" i="6" s="1"/>
  <c r="CQ6" i="6" a="1"/>
  <c r="CQ6" i="6" s="1"/>
  <c r="CP6" i="6"/>
  <c r="CP7" i="6" s="1"/>
  <c r="CP6" i="6" a="1"/>
  <c r="CO6" i="6" a="1"/>
  <c r="CO6" i="6" s="1"/>
  <c r="CN6" i="6" a="1"/>
  <c r="CN6" i="6" s="1"/>
  <c r="CM6" i="6"/>
  <c r="CM8" i="6" s="1"/>
  <c r="CM6" i="6" a="1"/>
  <c r="CL6" i="6"/>
  <c r="CL8" i="6" s="1"/>
  <c r="CL6" i="6" a="1"/>
  <c r="CK6" i="6"/>
  <c r="CK8" i="6" s="1"/>
  <c r="CK6" i="6" a="1"/>
  <c r="CJ6" i="6" a="1"/>
  <c r="CJ6" i="6" s="1"/>
  <c r="CI6" i="6" a="1"/>
  <c r="CI6" i="6" s="1"/>
  <c r="CH6" i="6" a="1"/>
  <c r="CH6" i="6" s="1"/>
  <c r="CG6" i="6" a="1"/>
  <c r="CG6" i="6" s="1"/>
  <c r="CF6" i="6" a="1"/>
  <c r="CF6" i="6" s="1"/>
  <c r="CE6" i="6" a="1"/>
  <c r="CE6" i="6" s="1"/>
  <c r="CD6" i="6"/>
  <c r="CD7" i="6" s="1"/>
  <c r="CD6" i="6" a="1"/>
  <c r="CC6" i="6" a="1"/>
  <c r="CC6" i="6" s="1"/>
  <c r="CB6" i="6"/>
  <c r="CB8" i="6" s="1"/>
  <c r="CB6" i="6" a="1"/>
  <c r="CA6" i="6"/>
  <c r="CA8" i="6" s="1"/>
  <c r="CA6" i="6" a="1"/>
  <c r="BZ6" i="6"/>
  <c r="BZ8" i="6" s="1"/>
  <c r="BZ6" i="6" a="1"/>
  <c r="BY6" i="6" a="1"/>
  <c r="BY6" i="6" s="1"/>
  <c r="BX6" i="6" a="1"/>
  <c r="BX6" i="6" s="1"/>
  <c r="BW6" i="6" a="1"/>
  <c r="BW6" i="6" s="1"/>
  <c r="BV6" i="6" a="1"/>
  <c r="BV6" i="6" s="1"/>
  <c r="BU6" i="6" a="1"/>
  <c r="BU6" i="6" s="1"/>
  <c r="BT6" i="6" a="1"/>
  <c r="BT6" i="6" s="1"/>
  <c r="BS6" i="6" a="1"/>
  <c r="BS6" i="6" s="1"/>
  <c r="BR6" i="6" a="1"/>
  <c r="BR6" i="6" s="1"/>
  <c r="BQ6" i="6"/>
  <c r="BQ8" i="6" s="1"/>
  <c r="BQ6" i="6" a="1"/>
  <c r="BP6" i="6"/>
  <c r="BP8" i="6" s="1"/>
  <c r="BP6" i="6" a="1"/>
  <c r="BO6" i="6"/>
  <c r="BO8" i="6" s="1"/>
  <c r="BO6" i="6" a="1"/>
  <c r="BN6" i="6" a="1"/>
  <c r="BN6" i="6" s="1"/>
  <c r="BM6" i="6" a="1"/>
  <c r="BM6" i="6" s="1"/>
  <c r="BL6" i="6" a="1"/>
  <c r="BL6" i="6" s="1"/>
  <c r="BK6" i="6" a="1"/>
  <c r="BK6" i="6" s="1"/>
  <c r="BJ6" i="6" a="1"/>
  <c r="BJ6" i="6" s="1"/>
  <c r="BI6" i="6" a="1"/>
  <c r="BI6" i="6" s="1"/>
  <c r="BH6" i="6" a="1"/>
  <c r="BH6" i="6" s="1"/>
  <c r="BG6" i="6" a="1"/>
  <c r="BG6" i="6" s="1"/>
  <c r="BF6" i="6"/>
  <c r="BF8" i="6" s="1"/>
  <c r="BF6" i="6" a="1"/>
  <c r="BE6" i="6"/>
  <c r="BE8" i="6" s="1"/>
  <c r="BE6" i="6" a="1"/>
  <c r="BD6" i="6"/>
  <c r="BD8" i="6" s="1"/>
  <c r="BD6" i="6" a="1"/>
  <c r="BC6" i="6" a="1"/>
  <c r="BC6" i="6" s="1"/>
  <c r="BB6" i="6" a="1"/>
  <c r="BB6" i="6" s="1"/>
  <c r="BA6" i="6" a="1"/>
  <c r="BA6" i="6" s="1"/>
  <c r="AZ6" i="6" a="1"/>
  <c r="AZ6" i="6" s="1"/>
  <c r="AY6" i="6" a="1"/>
  <c r="AY6" i="6" s="1"/>
  <c r="AX6" i="6" a="1"/>
  <c r="AX6" i="6" s="1"/>
  <c r="AW6" i="6" a="1"/>
  <c r="AW6" i="6" s="1"/>
  <c r="AV6" i="6" a="1"/>
  <c r="AV6" i="6" s="1"/>
  <c r="AU6" i="6"/>
  <c r="AU8" i="6" s="1"/>
  <c r="AU6" i="6" a="1"/>
  <c r="AT6" i="6"/>
  <c r="AT8" i="6" s="1"/>
  <c r="AT6" i="6" a="1"/>
  <c r="AS6" i="6"/>
  <c r="AS8" i="6" s="1"/>
  <c r="AS6" i="6" a="1"/>
  <c r="AR6" i="6" a="1"/>
  <c r="AR6" i="6" s="1"/>
  <c r="AQ6" i="6" a="1"/>
  <c r="AQ6" i="6" s="1"/>
  <c r="AP6" i="6" a="1"/>
  <c r="AP6" i="6" s="1"/>
  <c r="AO6" i="6" a="1"/>
  <c r="AO6" i="6" s="1"/>
  <c r="AN6" i="6" a="1"/>
  <c r="AN6" i="6" s="1"/>
  <c r="AM6" i="6" a="1"/>
  <c r="AM6" i="6" s="1"/>
  <c r="AL6" i="6" a="1"/>
  <c r="AL6" i="6" s="1"/>
  <c r="AK6" i="6" a="1"/>
  <c r="AK6" i="6" s="1"/>
  <c r="AJ6" i="6"/>
  <c r="AJ8" i="6" s="1"/>
  <c r="AJ6" i="6" a="1"/>
  <c r="AI6" i="6"/>
  <c r="AI8" i="6" s="1"/>
  <c r="AI6" i="6" a="1"/>
  <c r="AH6" i="6"/>
  <c r="AH8" i="6" s="1"/>
  <c r="AH6" i="6" a="1"/>
  <c r="AG6" i="6" a="1"/>
  <c r="AG6" i="6" s="1"/>
  <c r="AF6" i="6" a="1"/>
  <c r="AF6" i="6" s="1"/>
  <c r="AE6" i="6" a="1"/>
  <c r="AE6" i="6" s="1"/>
  <c r="AD6" i="6" a="1"/>
  <c r="AD6" i="6" s="1"/>
  <c r="AC6" i="6" a="1"/>
  <c r="AC6" i="6" s="1"/>
  <c r="AB6" i="6" a="1"/>
  <c r="AB6" i="6" s="1"/>
  <c r="AA6" i="6" a="1"/>
  <c r="AA6" i="6" s="1"/>
  <c r="Z6" i="6" a="1"/>
  <c r="Z6" i="6" s="1"/>
  <c r="Y6" i="6"/>
  <c r="Y8" i="6" s="1"/>
  <c r="Y6" i="6" a="1"/>
  <c r="X6" i="6"/>
  <c r="X8" i="6" s="1"/>
  <c r="X6" i="6" a="1"/>
  <c r="W6" i="6"/>
  <c r="W8" i="6" s="1"/>
  <c r="W6" i="6" a="1"/>
  <c r="V6" i="6" a="1"/>
  <c r="V6" i="6" s="1"/>
  <c r="U6" i="6" a="1"/>
  <c r="U6" i="6" s="1"/>
  <c r="T6" i="6" a="1"/>
  <c r="T6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N6" i="6"/>
  <c r="N8" i="6" s="1"/>
  <c r="N6" i="6" a="1"/>
  <c r="M6" i="6"/>
  <c r="M8" i="6" s="1"/>
  <c r="M6" i="6" a="1"/>
  <c r="L6" i="6"/>
  <c r="L8" i="6" s="1"/>
  <c r="L6" i="6" a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/>
  <c r="C8" i="6" s="1"/>
  <c r="C6" i="6" a="1"/>
  <c r="V8" i="6" l="1"/>
  <c r="V7" i="6"/>
  <c r="AD8" i="6"/>
  <c r="AD7" i="6"/>
  <c r="AL7" i="6"/>
  <c r="AL8" i="6"/>
  <c r="BM8" i="6"/>
  <c r="BM7" i="6"/>
  <c r="BU8" i="6"/>
  <c r="BU7" i="6"/>
  <c r="CC8" i="6"/>
  <c r="CC7" i="6"/>
  <c r="CT8" i="6"/>
  <c r="CT7" i="6"/>
  <c r="DQ8" i="6"/>
  <c r="DQ7" i="6"/>
  <c r="CS7" i="6"/>
  <c r="CS8" i="6"/>
  <c r="D8" i="6"/>
  <c r="D7" i="6"/>
  <c r="AE7" i="6"/>
  <c r="AE8" i="6"/>
  <c r="AM7" i="6"/>
  <c r="AM8" i="6"/>
  <c r="BN8" i="6"/>
  <c r="BN7" i="6"/>
  <c r="BV8" i="6"/>
  <c r="BV7" i="6"/>
  <c r="CU8" i="6"/>
  <c r="CU7" i="6"/>
  <c r="DX7" i="6"/>
  <c r="DX8" i="6"/>
  <c r="EF8" i="6"/>
  <c r="EF7" i="6"/>
  <c r="DB7" i="6"/>
  <c r="DB8" i="6"/>
  <c r="F7" i="6"/>
  <c r="F8" i="6"/>
  <c r="AG8" i="6"/>
  <c r="AG7" i="6"/>
  <c r="AO8" i="6"/>
  <c r="AO7" i="6"/>
  <c r="AW7" i="6"/>
  <c r="AW8" i="6"/>
  <c r="BX8" i="6"/>
  <c r="BX7" i="6"/>
  <c r="CE7" i="6"/>
  <c r="CE8" i="6"/>
  <c r="DC8" i="6"/>
  <c r="DC7" i="6"/>
  <c r="DZ7" i="6"/>
  <c r="DZ8" i="6"/>
  <c r="AX7" i="6"/>
  <c r="AX8" i="6"/>
  <c r="BY8" i="6"/>
  <c r="BY7" i="6"/>
  <c r="CF8" i="6"/>
  <c r="CF7" i="6"/>
  <c r="CN8" i="6"/>
  <c r="CN7" i="6"/>
  <c r="DD7" i="6"/>
  <c r="DD8" i="6"/>
  <c r="EA8" i="6"/>
  <c r="EA7" i="6"/>
  <c r="BT7" i="6"/>
  <c r="BT8" i="6"/>
  <c r="AQ8" i="6"/>
  <c r="AQ7" i="6"/>
  <c r="CO7" i="6"/>
  <c r="CO8" i="6"/>
  <c r="EB8" i="6"/>
  <c r="EB7" i="6"/>
  <c r="AP7" i="6"/>
  <c r="AP8" i="6"/>
  <c r="P7" i="6"/>
  <c r="P8" i="6"/>
  <c r="AY8" i="6"/>
  <c r="AY7" i="6"/>
  <c r="CG8" i="6"/>
  <c r="CG7" i="6"/>
  <c r="I7" i="6"/>
  <c r="I8" i="6"/>
  <c r="Q7" i="6"/>
  <c r="Q8" i="6"/>
  <c r="AR8" i="6"/>
  <c r="AR7" i="6"/>
  <c r="AZ8" i="6"/>
  <c r="AZ7" i="6"/>
  <c r="BH7" i="6"/>
  <c r="BH8" i="6"/>
  <c r="CH7" i="6"/>
  <c r="CH8" i="6"/>
  <c r="DF8" i="6"/>
  <c r="DF7" i="6"/>
  <c r="AC8" i="6"/>
  <c r="AC7" i="6"/>
  <c r="AK8" i="6"/>
  <c r="AK7" i="6"/>
  <c r="BL7" i="6"/>
  <c r="BL8" i="6"/>
  <c r="AN8" i="6"/>
  <c r="AN7" i="6"/>
  <c r="H8" i="6"/>
  <c r="H7" i="6"/>
  <c r="J8" i="6"/>
  <c r="J7" i="6"/>
  <c r="R7" i="6"/>
  <c r="R8" i="6"/>
  <c r="Z8" i="6"/>
  <c r="Z7" i="6"/>
  <c r="BA7" i="6"/>
  <c r="BA8" i="6"/>
  <c r="BI7" i="6"/>
  <c r="BI8" i="6"/>
  <c r="CI8" i="6"/>
  <c r="CI7" i="6"/>
  <c r="DM8" i="6"/>
  <c r="DM7" i="6"/>
  <c r="DU8" i="6"/>
  <c r="DU7" i="6"/>
  <c r="U8" i="6"/>
  <c r="U7" i="6"/>
  <c r="DP8" i="6"/>
  <c r="DP7" i="6"/>
  <c r="DJ8" i="6"/>
  <c r="DJ7" i="6"/>
  <c r="G8" i="6"/>
  <c r="G7" i="6"/>
  <c r="DE8" i="6"/>
  <c r="DE7" i="6"/>
  <c r="K8" i="6"/>
  <c r="K7" i="6"/>
  <c r="S8" i="6"/>
  <c r="S7" i="6"/>
  <c r="AA7" i="6"/>
  <c r="AA8" i="6"/>
  <c r="BB8" i="6"/>
  <c r="BB7" i="6"/>
  <c r="BJ8" i="6"/>
  <c r="BJ7" i="6"/>
  <c r="BR8" i="6"/>
  <c r="BR7" i="6"/>
  <c r="CJ8" i="6"/>
  <c r="CJ7" i="6"/>
  <c r="CQ8" i="6"/>
  <c r="CQ7" i="6"/>
  <c r="CY8" i="6"/>
  <c r="CY7" i="6"/>
  <c r="DN8" i="6"/>
  <c r="DN7" i="6"/>
  <c r="E7" i="6"/>
  <c r="E8" i="6"/>
  <c r="AF8" i="6"/>
  <c r="AF7" i="6"/>
  <c r="AV8" i="6"/>
  <c r="AV7" i="6"/>
  <c r="BW7" i="6"/>
  <c r="BW8" i="6"/>
  <c r="DY8" i="6"/>
  <c r="DY7" i="6"/>
  <c r="O8" i="6"/>
  <c r="O7" i="6"/>
  <c r="BG8" i="6"/>
  <c r="BG7" i="6"/>
  <c r="T7" i="6"/>
  <c r="T8" i="6"/>
  <c r="AB7" i="6"/>
  <c r="AB8" i="6"/>
  <c r="BC8" i="6"/>
  <c r="BC7" i="6"/>
  <c r="BK8" i="6"/>
  <c r="BK7" i="6"/>
  <c r="BS7" i="6"/>
  <c r="BS8" i="6"/>
  <c r="CR8" i="6"/>
  <c r="CR7" i="6"/>
  <c r="DO7" i="6"/>
  <c r="DO8" i="6"/>
  <c r="L7" i="6"/>
  <c r="W7" i="6"/>
  <c r="AH7" i="6"/>
  <c r="AS7" i="6"/>
  <c r="BD7" i="6"/>
  <c r="BO7" i="6"/>
  <c r="BZ7" i="6"/>
  <c r="CK7" i="6"/>
  <c r="CV7" i="6"/>
  <c r="DG7" i="6"/>
  <c r="DR7" i="6"/>
  <c r="EC7" i="6"/>
  <c r="M7" i="6"/>
  <c r="X7" i="6"/>
  <c r="AI7" i="6"/>
  <c r="AT7" i="6"/>
  <c r="BE7" i="6"/>
  <c r="BP7" i="6"/>
  <c r="CA7" i="6"/>
  <c r="CL7" i="6"/>
  <c r="CW7" i="6"/>
  <c r="DH7" i="6"/>
  <c r="DS7" i="6"/>
  <c r="ED7" i="6"/>
  <c r="C7" i="6"/>
  <c r="N7" i="6"/>
  <c r="Y7" i="6"/>
  <c r="AJ7" i="6"/>
  <c r="AU7" i="6"/>
  <c r="BF7" i="6"/>
  <c r="BQ7" i="6"/>
  <c r="CB7" i="6"/>
  <c r="CM7" i="6"/>
  <c r="CX7" i="6"/>
  <c r="DI7" i="6"/>
  <c r="DT7" i="6"/>
  <c r="EE7" i="6"/>
  <c r="EF25" i="5" l="1" a="1"/>
  <c r="EF25" i="5" s="1"/>
  <c r="EE25" i="5" a="1"/>
  <c r="EE25" i="5" s="1"/>
  <c r="ED25" i="5" a="1"/>
  <c r="ED25" i="5" s="1"/>
  <c r="EC25" i="5" a="1"/>
  <c r="EC25" i="5" s="1"/>
  <c r="EB25" i="5" a="1"/>
  <c r="EB25" i="5" s="1"/>
  <c r="EA25" i="5" a="1"/>
  <c r="EA25" i="5" s="1"/>
  <c r="DZ25" i="5" a="1"/>
  <c r="DZ25" i="5" s="1"/>
  <c r="DY25" i="5" a="1"/>
  <c r="DY25" i="5" s="1"/>
  <c r="DX25" i="5" a="1"/>
  <c r="DX25" i="5" s="1"/>
  <c r="DW25" i="5" a="1"/>
  <c r="DW25" i="5" s="1"/>
  <c r="DV25" i="5" a="1"/>
  <c r="DV25" i="5" s="1"/>
  <c r="DU25" i="5" a="1"/>
  <c r="DU25" i="5" s="1"/>
  <c r="DT25" i="5" a="1"/>
  <c r="DT25" i="5" s="1"/>
  <c r="DS25" i="5" a="1"/>
  <c r="DS25" i="5"/>
  <c r="DR25" i="5" a="1"/>
  <c r="DR25" i="5" s="1"/>
  <c r="DQ25" i="5" a="1"/>
  <c r="DQ25" i="5" s="1"/>
  <c r="DP25" i="5" a="1"/>
  <c r="DP25" i="5" s="1"/>
  <c r="DO25" i="5" a="1"/>
  <c r="DO25" i="5" s="1"/>
  <c r="DN25" i="5" a="1"/>
  <c r="DN25" i="5" s="1"/>
  <c r="DM25" i="5" a="1"/>
  <c r="DM25" i="5" s="1"/>
  <c r="DL25" i="5" a="1"/>
  <c r="DL25" i="5" s="1"/>
  <c r="DK25" i="5" a="1"/>
  <c r="DK25" i="5"/>
  <c r="DJ25" i="5" a="1"/>
  <c r="DJ25" i="5" s="1"/>
  <c r="DI25" i="5" a="1"/>
  <c r="DI25" i="5" s="1"/>
  <c r="DH25" i="5" a="1"/>
  <c r="DH25" i="5" s="1"/>
  <c r="DG25" i="5" a="1"/>
  <c r="DG25" i="5" s="1"/>
  <c r="DF25" i="5" a="1"/>
  <c r="DF25" i="5" s="1"/>
  <c r="DE25" i="5" a="1"/>
  <c r="DE25" i="5" s="1"/>
  <c r="DD25" i="5" a="1"/>
  <c r="DD25" i="5" s="1"/>
  <c r="DC25" i="5" a="1"/>
  <c r="DC25" i="5"/>
  <c r="DB25" i="5" a="1"/>
  <c r="DB25" i="5" s="1"/>
  <c r="DA25" i="5" a="1"/>
  <c r="DA25" i="5" s="1"/>
  <c r="CZ25" i="5" a="1"/>
  <c r="CZ25" i="5" s="1"/>
  <c r="CY25" i="5" a="1"/>
  <c r="CY25" i="5"/>
  <c r="CX25" i="5" a="1"/>
  <c r="CX25" i="5" s="1"/>
  <c r="CW25" i="5" a="1"/>
  <c r="CW25" i="5" s="1"/>
  <c r="CV25" i="5" a="1"/>
  <c r="CV25" i="5" s="1"/>
  <c r="CU25" i="5" a="1"/>
  <c r="CU25" i="5" s="1"/>
  <c r="CT25" i="5" a="1"/>
  <c r="CT25" i="5" s="1"/>
  <c r="CS25" i="5" a="1"/>
  <c r="CS25" i="5" s="1"/>
  <c r="CR25" i="5" a="1"/>
  <c r="CR25" i="5" s="1"/>
  <c r="CQ25" i="5" a="1"/>
  <c r="CQ25" i="5" s="1"/>
  <c r="CP25" i="5" a="1"/>
  <c r="CP25" i="5" s="1"/>
  <c r="CO25" i="5" a="1"/>
  <c r="CO25" i="5"/>
  <c r="CN25" i="5" a="1"/>
  <c r="CN25" i="5" s="1"/>
  <c r="CM25" i="5" a="1"/>
  <c r="CM25" i="5" s="1"/>
  <c r="CL25" i="5" a="1"/>
  <c r="CL25" i="5" s="1"/>
  <c r="CK25" i="5" a="1"/>
  <c r="CK25" i="5" s="1"/>
  <c r="CJ25" i="5" a="1"/>
  <c r="CJ25" i="5" s="1"/>
  <c r="CI25" i="5" a="1"/>
  <c r="CI25" i="5" s="1"/>
  <c r="CH25" i="5" a="1"/>
  <c r="CH25" i="5" s="1"/>
  <c r="CG25" i="5" a="1"/>
  <c r="CG25" i="5" s="1"/>
  <c r="CF25" i="5" a="1"/>
  <c r="CF25" i="5" s="1"/>
  <c r="CE25" i="5" a="1"/>
  <c r="CE25" i="5" s="1"/>
  <c r="CD25" i="5" a="1"/>
  <c r="CD25" i="5" s="1"/>
  <c r="CC25" i="5" a="1"/>
  <c r="CC25" i="5" s="1"/>
  <c r="CB25" i="5" a="1"/>
  <c r="CB25" i="5" s="1"/>
  <c r="CA25" i="5" a="1"/>
  <c r="CA25" i="5" s="1"/>
  <c r="BZ25" i="5" a="1"/>
  <c r="BZ25" i="5" s="1"/>
  <c r="BY25" i="5" a="1"/>
  <c r="BY25" i="5" s="1"/>
  <c r="BX25" i="5" a="1"/>
  <c r="BX25" i="5" s="1"/>
  <c r="BW25" i="5" a="1"/>
  <c r="BW25" i="5" s="1"/>
  <c r="BV25" i="5" a="1"/>
  <c r="BV25" i="5" s="1"/>
  <c r="BU25" i="5" a="1"/>
  <c r="BU25" i="5" s="1"/>
  <c r="BT25" i="5" a="1"/>
  <c r="BT25" i="5" s="1"/>
  <c r="BS25" i="5" a="1"/>
  <c r="BS25" i="5"/>
  <c r="BR25" i="5" a="1"/>
  <c r="BR25" i="5"/>
  <c r="BQ25" i="5" a="1"/>
  <c r="BQ25" i="5" s="1"/>
  <c r="BP25" i="5" a="1"/>
  <c r="BP25" i="5" s="1"/>
  <c r="BO25" i="5" a="1"/>
  <c r="BO25" i="5" s="1"/>
  <c r="BN25" i="5" a="1"/>
  <c r="BN25" i="5" s="1"/>
  <c r="BM25" i="5" a="1"/>
  <c r="BM25" i="5" s="1"/>
  <c r="BL25" i="5" a="1"/>
  <c r="BL25" i="5" s="1"/>
  <c r="BK25" i="5" a="1"/>
  <c r="BK25" i="5"/>
  <c r="BJ25" i="5" a="1"/>
  <c r="BJ25" i="5"/>
  <c r="BI25" i="5" a="1"/>
  <c r="BI25" i="5" s="1"/>
  <c r="BH25" i="5" a="1"/>
  <c r="BH25" i="5"/>
  <c r="BG25" i="5" a="1"/>
  <c r="BG25" i="5" s="1"/>
  <c r="BF25" i="5" a="1"/>
  <c r="BF25" i="5" s="1"/>
  <c r="BE25" i="5" a="1"/>
  <c r="BE25" i="5" s="1"/>
  <c r="BD25" i="5" a="1"/>
  <c r="BD25" i="5"/>
  <c r="BC25" i="5" a="1"/>
  <c r="BC25" i="5" s="1"/>
  <c r="BB25" i="5" a="1"/>
  <c r="BB25" i="5" s="1"/>
  <c r="BA25" i="5" a="1"/>
  <c r="BA25" i="5" s="1"/>
  <c r="AZ25" i="5" a="1"/>
  <c r="AZ25" i="5"/>
  <c r="AY25" i="5" a="1"/>
  <c r="AY25" i="5" s="1"/>
  <c r="AX25" i="5" a="1"/>
  <c r="AX25" i="5" s="1"/>
  <c r="AW25" i="5" a="1"/>
  <c r="AW25" i="5" s="1"/>
  <c r="AV25" i="5" a="1"/>
  <c r="AV25" i="5" s="1"/>
  <c r="AU25" i="5" a="1"/>
  <c r="AU25" i="5" s="1"/>
  <c r="AT25" i="5" a="1"/>
  <c r="AT25" i="5" s="1"/>
  <c r="AS25" i="5" a="1"/>
  <c r="AS25" i="5"/>
  <c r="AR25" i="5" a="1"/>
  <c r="AR25" i="5" s="1"/>
  <c r="AQ25" i="5" a="1"/>
  <c r="AQ25" i="5" s="1"/>
  <c r="AP25" i="5" a="1"/>
  <c r="AP25" i="5" s="1"/>
  <c r="AO25" i="5" a="1"/>
  <c r="AO25" i="5" s="1"/>
  <c r="AN25" i="5" a="1"/>
  <c r="AN25" i="5" s="1"/>
  <c r="AM25" i="5" a="1"/>
  <c r="AM25" i="5" s="1"/>
  <c r="AL25" i="5" a="1"/>
  <c r="AL25" i="5" s="1"/>
  <c r="AK25" i="5" a="1"/>
  <c r="AK25" i="5" s="1"/>
  <c r="AJ25" i="5" a="1"/>
  <c r="AJ25" i="5" s="1"/>
  <c r="AI25" i="5" a="1"/>
  <c r="AI25" i="5" s="1"/>
  <c r="AH25" i="5" a="1"/>
  <c r="AH25" i="5" s="1"/>
  <c r="AG25" i="5" a="1"/>
  <c r="AG25" i="5" s="1"/>
  <c r="AF25" i="5" a="1"/>
  <c r="AF25" i="5" s="1"/>
  <c r="AE25" i="5" a="1"/>
  <c r="AE25" i="5" s="1"/>
  <c r="AD25" i="5" a="1"/>
  <c r="AD25" i="5" s="1"/>
  <c r="AC25" i="5" a="1"/>
  <c r="AC25" i="5" s="1"/>
  <c r="AB25" i="5" a="1"/>
  <c r="AB25" i="5" s="1"/>
  <c r="AA25" i="5" a="1"/>
  <c r="AA25" i="5"/>
  <c r="Z25" i="5" a="1"/>
  <c r="Z25" i="5" s="1"/>
  <c r="Y25" i="5" a="1"/>
  <c r="Y25" i="5" s="1"/>
  <c r="X25" i="5" a="1"/>
  <c r="X25" i="5" s="1"/>
  <c r="W25" i="5" a="1"/>
  <c r="W25" i="5" s="1"/>
  <c r="V25" i="5" a="1"/>
  <c r="V25" i="5" s="1"/>
  <c r="U25" i="5" a="1"/>
  <c r="U25" i="5" s="1"/>
  <c r="T25" i="5" a="1"/>
  <c r="T25" i="5" s="1"/>
  <c r="S25" i="5" a="1"/>
  <c r="S25" i="5" s="1"/>
  <c r="R25" i="5" a="1"/>
  <c r="R25" i="5" s="1"/>
  <c r="Q25" i="5" a="1"/>
  <c r="Q25" i="5" s="1"/>
  <c r="P25" i="5" a="1"/>
  <c r="P25" i="5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F25" i="5" a="1"/>
  <c r="F25" i="5" s="1"/>
  <c r="E25" i="5" a="1"/>
  <c r="E25" i="5" s="1"/>
  <c r="D25" i="5" a="1"/>
  <c r="D25" i="5" s="1"/>
  <c r="C25" i="5" a="1"/>
  <c r="C25" i="5" s="1"/>
  <c r="EF24" i="5" a="1"/>
  <c r="EF24" i="5" s="1"/>
  <c r="EE24" i="5" a="1"/>
  <c r="EE24" i="5" s="1"/>
  <c r="ED24" i="5" a="1"/>
  <c r="ED24" i="5" s="1"/>
  <c r="EC24" i="5" a="1"/>
  <c r="EC24" i="5" s="1"/>
  <c r="EB24" i="5" a="1"/>
  <c r="EB24" i="5" s="1"/>
  <c r="EA24" i="5" a="1"/>
  <c r="EA24" i="5" s="1"/>
  <c r="DZ24" i="5" a="1"/>
  <c r="DZ24" i="5" s="1"/>
  <c r="DY24" i="5" a="1"/>
  <c r="DY24" i="5" s="1"/>
  <c r="DX24" i="5" a="1"/>
  <c r="DX24" i="5"/>
  <c r="DW24" i="5" a="1"/>
  <c r="DW24" i="5" s="1"/>
  <c r="DV24" i="5" a="1"/>
  <c r="DV24" i="5" s="1"/>
  <c r="DU24" i="5" a="1"/>
  <c r="DU24" i="5" s="1"/>
  <c r="DT24" i="5" a="1"/>
  <c r="DT24" i="5" s="1"/>
  <c r="DS24" i="5" a="1"/>
  <c r="DS24" i="5" s="1"/>
  <c r="DR24" i="5" a="1"/>
  <c r="DR24" i="5" s="1"/>
  <c r="DQ24" i="5" a="1"/>
  <c r="DQ24" i="5" s="1"/>
  <c r="DP24" i="5" a="1"/>
  <c r="DP24" i="5" s="1"/>
  <c r="DO24" i="5" a="1"/>
  <c r="DO24" i="5"/>
  <c r="DN24" i="5" a="1"/>
  <c r="DN24" i="5" s="1"/>
  <c r="DM24" i="5" a="1"/>
  <c r="DM24" i="5" s="1"/>
  <c r="DL24" i="5" a="1"/>
  <c r="DL24" i="5" s="1"/>
  <c r="DK24" i="5" a="1"/>
  <c r="DK24" i="5" s="1"/>
  <c r="DJ24" i="5" a="1"/>
  <c r="DJ24" i="5" s="1"/>
  <c r="DI24" i="5" a="1"/>
  <c r="DI24" i="5" s="1"/>
  <c r="DH24" i="5" a="1"/>
  <c r="DH24" i="5" s="1"/>
  <c r="DG24" i="5" a="1"/>
  <c r="DG24" i="5" s="1"/>
  <c r="DF24" i="5" a="1"/>
  <c r="DF24" i="5" s="1"/>
  <c r="DE24" i="5" a="1"/>
  <c r="DE24" i="5" s="1"/>
  <c r="DD24" i="5" a="1"/>
  <c r="DD24" i="5" s="1"/>
  <c r="DC24" i="5" a="1"/>
  <c r="DC24" i="5" s="1"/>
  <c r="DB24" i="5" a="1"/>
  <c r="DB24" i="5" s="1"/>
  <c r="DA24" i="5" a="1"/>
  <c r="DA24" i="5" s="1"/>
  <c r="CZ24" i="5" a="1"/>
  <c r="CZ24" i="5" s="1"/>
  <c r="CY24" i="5" a="1"/>
  <c r="CY24" i="5" s="1"/>
  <c r="CX24" i="5" a="1"/>
  <c r="CX24" i="5" s="1"/>
  <c r="CW24" i="5" a="1"/>
  <c r="CW24" i="5" s="1"/>
  <c r="CV24" i="5" a="1"/>
  <c r="CV24" i="5" s="1"/>
  <c r="CU24" i="5" a="1"/>
  <c r="CU24" i="5" s="1"/>
  <c r="CT24" i="5" a="1"/>
  <c r="CT24" i="5"/>
  <c r="CS24" i="5" a="1"/>
  <c r="CS24" i="5" s="1"/>
  <c r="CR24" i="5" a="1"/>
  <c r="CR24" i="5" s="1"/>
  <c r="CQ24" i="5" a="1"/>
  <c r="CQ24" i="5" s="1"/>
  <c r="CP24" i="5" a="1"/>
  <c r="CP24" i="5" s="1"/>
  <c r="CO24" i="5" a="1"/>
  <c r="CO24" i="5" s="1"/>
  <c r="CN24" i="5" a="1"/>
  <c r="CN24" i="5" s="1"/>
  <c r="CM24" i="5" a="1"/>
  <c r="CM24" i="5" s="1"/>
  <c r="CL24" i="5" a="1"/>
  <c r="CL24" i="5" s="1"/>
  <c r="CK24" i="5" a="1"/>
  <c r="CK24" i="5" s="1"/>
  <c r="CJ24" i="5" a="1"/>
  <c r="CJ24" i="5" s="1"/>
  <c r="CI24" i="5" a="1"/>
  <c r="CI24" i="5"/>
  <c r="CH24" i="5" a="1"/>
  <c r="CH24" i="5" s="1"/>
  <c r="CG24" i="5" a="1"/>
  <c r="CG24" i="5" s="1"/>
  <c r="CF24" i="5" a="1"/>
  <c r="CF24" i="5" s="1"/>
  <c r="CE24" i="5" a="1"/>
  <c r="CE24" i="5" s="1"/>
  <c r="CD24" i="5" a="1"/>
  <c r="CD24" i="5" s="1"/>
  <c r="CC24" i="5" a="1"/>
  <c r="CC24" i="5" s="1"/>
  <c r="CB24" i="5" a="1"/>
  <c r="CB24" i="5" s="1"/>
  <c r="CA24" i="5" a="1"/>
  <c r="CA24" i="5" s="1"/>
  <c r="BZ24" i="5" a="1"/>
  <c r="BZ24" i="5" s="1"/>
  <c r="BY24" i="5" a="1"/>
  <c r="BY24" i="5" s="1"/>
  <c r="BX24" i="5" a="1"/>
  <c r="BX24" i="5" s="1"/>
  <c r="BW24" i="5" a="1"/>
  <c r="BW24" i="5" s="1"/>
  <c r="BV24" i="5" a="1"/>
  <c r="BV24" i="5" s="1"/>
  <c r="BU24" i="5" a="1"/>
  <c r="BU24" i="5"/>
  <c r="BT24" i="5" a="1"/>
  <c r="BT24" i="5" s="1"/>
  <c r="BS24" i="5" a="1"/>
  <c r="BS24" i="5" s="1"/>
  <c r="BR24" i="5" a="1"/>
  <c r="BR24" i="5" s="1"/>
  <c r="BQ24" i="5" a="1"/>
  <c r="BQ24" i="5" s="1"/>
  <c r="BP24" i="5" a="1"/>
  <c r="BP24" i="5" s="1"/>
  <c r="BO24" i="5" a="1"/>
  <c r="BO24" i="5" s="1"/>
  <c r="BN24" i="5" a="1"/>
  <c r="BN24" i="5" s="1"/>
  <c r="BM24" i="5" a="1"/>
  <c r="BM24" i="5"/>
  <c r="BL24" i="5" a="1"/>
  <c r="BL24" i="5"/>
  <c r="BK24" i="5" a="1"/>
  <c r="BK24" i="5" s="1"/>
  <c r="BJ24" i="5" a="1"/>
  <c r="BJ24" i="5"/>
  <c r="BI24" i="5" a="1"/>
  <c r="BI24" i="5" s="1"/>
  <c r="BH24" i="5" a="1"/>
  <c r="BH24" i="5" s="1"/>
  <c r="BG24" i="5" a="1"/>
  <c r="BG24" i="5" s="1"/>
  <c r="BF24" i="5" a="1"/>
  <c r="BF24" i="5" s="1"/>
  <c r="BE24" i="5" a="1"/>
  <c r="BE24" i="5" s="1"/>
  <c r="BD24" i="5" a="1"/>
  <c r="BD24" i="5" s="1"/>
  <c r="BC24" i="5" a="1"/>
  <c r="BC24" i="5" s="1"/>
  <c r="BB24" i="5" a="1"/>
  <c r="BB24" i="5" s="1"/>
  <c r="BA24" i="5" a="1"/>
  <c r="BA24" i="5"/>
  <c r="AZ24" i="5" a="1"/>
  <c r="AZ24" i="5" s="1"/>
  <c r="AY24" i="5" a="1"/>
  <c r="AY24" i="5" s="1"/>
  <c r="AX24" i="5" a="1"/>
  <c r="AX24" i="5" s="1"/>
  <c r="AW24" i="5" a="1"/>
  <c r="AW24" i="5" s="1"/>
  <c r="AV24" i="5" a="1"/>
  <c r="AV24" i="5" s="1"/>
  <c r="AU24" i="5" a="1"/>
  <c r="AU24" i="5" s="1"/>
  <c r="AT24" i="5" a="1"/>
  <c r="AT24" i="5" s="1"/>
  <c r="AS24" i="5" a="1"/>
  <c r="AS24" i="5" s="1"/>
  <c r="AR24" i="5" a="1"/>
  <c r="AR24" i="5" s="1"/>
  <c r="AQ24" i="5" a="1"/>
  <c r="AQ24" i="5" s="1"/>
  <c r="AP24" i="5" a="1"/>
  <c r="AP24" i="5" s="1"/>
  <c r="AO24" i="5" a="1"/>
  <c r="AO24" i="5" s="1"/>
  <c r="AN24" i="5" a="1"/>
  <c r="AN24" i="5"/>
  <c r="AM24" i="5" a="1"/>
  <c r="AM24" i="5" s="1"/>
  <c r="AL24" i="5" a="1"/>
  <c r="AL24" i="5" s="1"/>
  <c r="AK24" i="5" a="1"/>
  <c r="AK24" i="5" s="1"/>
  <c r="AJ24" i="5" a="1"/>
  <c r="AJ24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D24" i="5" a="1"/>
  <c r="AD24" i="5" s="1"/>
  <c r="AC24" i="5" a="1"/>
  <c r="AC24" i="5" s="1"/>
  <c r="AB24" i="5" a="1"/>
  <c r="AB24" i="5" s="1"/>
  <c r="AA24" i="5" a="1"/>
  <c r="AA24" i="5" s="1"/>
  <c r="Z24" i="5" a="1"/>
  <c r="Z24" i="5" s="1"/>
  <c r="Y24" i="5" a="1"/>
  <c r="Y24" i="5" s="1"/>
  <c r="X24" i="5" a="1"/>
  <c r="X24" i="5" s="1"/>
  <c r="W24" i="5" a="1"/>
  <c r="W24" i="5" s="1"/>
  <c r="V24" i="5" a="1"/>
  <c r="V24" i="5" s="1"/>
  <c r="U24" i="5" a="1"/>
  <c r="U24" i="5" s="1"/>
  <c r="T24" i="5" a="1"/>
  <c r="T24" i="5"/>
  <c r="S24" i="5" a="1"/>
  <c r="S24" i="5" s="1"/>
  <c r="R24" i="5" a="1"/>
  <c r="R24" i="5" s="1"/>
  <c r="Q24" i="5" a="1"/>
  <c r="Q24" i="5" s="1"/>
  <c r="P24" i="5" a="1"/>
  <c r="P24" i="5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/>
  <c r="F24" i="5" a="1"/>
  <c r="F24" i="5" s="1"/>
  <c r="E24" i="5" a="1"/>
  <c r="E24" i="5"/>
  <c r="D24" i="5" a="1"/>
  <c r="D24" i="5" s="1"/>
  <c r="C24" i="5" a="1"/>
  <c r="C24" i="5" s="1"/>
  <c r="EF23" i="5" a="1"/>
  <c r="EF23" i="5" s="1"/>
  <c r="EE23" i="5" a="1"/>
  <c r="EE23" i="5" s="1"/>
  <c r="ED23" i="5" a="1"/>
  <c r="ED23" i="5" s="1"/>
  <c r="EC23" i="5" a="1"/>
  <c r="EC23" i="5" s="1"/>
  <c r="EB23" i="5" a="1"/>
  <c r="EB23" i="5" s="1"/>
  <c r="EA23" i="5" a="1"/>
  <c r="EA23" i="5" s="1"/>
  <c r="DZ23" i="5" a="1"/>
  <c r="DZ23" i="5" s="1"/>
  <c r="DY23" i="5" a="1"/>
  <c r="DY23" i="5" s="1"/>
  <c r="DX23" i="5" a="1"/>
  <c r="DX23" i="5"/>
  <c r="DW23" i="5" a="1"/>
  <c r="DW23" i="5" s="1"/>
  <c r="DV23" i="5" a="1"/>
  <c r="DV23" i="5" s="1"/>
  <c r="DU23" i="5" a="1"/>
  <c r="DU23" i="5" s="1"/>
  <c r="DT23" i="5" a="1"/>
  <c r="DT23" i="5" s="1"/>
  <c r="DS23" i="5" a="1"/>
  <c r="DS23" i="5" s="1"/>
  <c r="DR23" i="5" a="1"/>
  <c r="DR23" i="5"/>
  <c r="DQ23" i="5" a="1"/>
  <c r="DQ23" i="5"/>
  <c r="DP23" i="5" a="1"/>
  <c r="DP23" i="5" s="1"/>
  <c r="DO23" i="5" a="1"/>
  <c r="DO23" i="5" s="1"/>
  <c r="DN23" i="5" a="1"/>
  <c r="DN23" i="5" s="1"/>
  <c r="DM23" i="5" a="1"/>
  <c r="DM23" i="5"/>
  <c r="DL23" i="5" a="1"/>
  <c r="DL23" i="5" s="1"/>
  <c r="DK23" i="5" a="1"/>
  <c r="DK23" i="5" s="1"/>
  <c r="DJ23" i="5" a="1"/>
  <c r="DJ23" i="5" s="1"/>
  <c r="DI23" i="5" a="1"/>
  <c r="DI23" i="5" s="1"/>
  <c r="DH23" i="5" a="1"/>
  <c r="DH23" i="5" s="1"/>
  <c r="DG23" i="5" a="1"/>
  <c r="DG23" i="5" s="1"/>
  <c r="DF23" i="5" a="1"/>
  <c r="DF23" i="5" s="1"/>
  <c r="DE23" i="5" a="1"/>
  <c r="DE23" i="5" s="1"/>
  <c r="DD23" i="5" a="1"/>
  <c r="DD23" i="5" s="1"/>
  <c r="DC23" i="5" a="1"/>
  <c r="DC23" i="5" s="1"/>
  <c r="DB23" i="5" a="1"/>
  <c r="DB23" i="5" s="1"/>
  <c r="DA23" i="5" a="1"/>
  <c r="DA23" i="5" s="1"/>
  <c r="CZ23" i="5" a="1"/>
  <c r="CZ23" i="5" s="1"/>
  <c r="CY23" i="5" a="1"/>
  <c r="CY23" i="5" s="1"/>
  <c r="CX23" i="5" a="1"/>
  <c r="CX23" i="5" s="1"/>
  <c r="CW23" i="5" a="1"/>
  <c r="CW23" i="5"/>
  <c r="CV23" i="5" a="1"/>
  <c r="CV23" i="5" s="1"/>
  <c r="CU23" i="5" a="1"/>
  <c r="CU23" i="5" s="1"/>
  <c r="CT23" i="5" a="1"/>
  <c r="CT23" i="5" s="1"/>
  <c r="CS23" i="5" a="1"/>
  <c r="CS23" i="5"/>
  <c r="CR23" i="5" a="1"/>
  <c r="CR23" i="5" s="1"/>
  <c r="CQ23" i="5" a="1"/>
  <c r="CQ23" i="5" s="1"/>
  <c r="CP23" i="5" a="1"/>
  <c r="CP23" i="5" s="1"/>
  <c r="CO23" i="5" a="1"/>
  <c r="CO23" i="5" s="1"/>
  <c r="CN23" i="5" a="1"/>
  <c r="CN23" i="5" s="1"/>
  <c r="CM23" i="5" a="1"/>
  <c r="CM23" i="5" s="1"/>
  <c r="CL23" i="5" a="1"/>
  <c r="CL23" i="5" s="1"/>
  <c r="CK23" i="5" a="1"/>
  <c r="CK23" i="5"/>
  <c r="CJ23" i="5" a="1"/>
  <c r="CJ23" i="5"/>
  <c r="CI23" i="5" a="1"/>
  <c r="CI23" i="5" s="1"/>
  <c r="CH23" i="5" a="1"/>
  <c r="CH23" i="5" s="1"/>
  <c r="CG23" i="5" a="1"/>
  <c r="CG23" i="5" s="1"/>
  <c r="CF23" i="5" a="1"/>
  <c r="CF23" i="5" s="1"/>
  <c r="CE23" i="5" a="1"/>
  <c r="CE23" i="5" s="1"/>
  <c r="CD23" i="5" a="1"/>
  <c r="CD23" i="5" s="1"/>
  <c r="CC23" i="5" a="1"/>
  <c r="CC23" i="5" s="1"/>
  <c r="CB23" i="5" a="1"/>
  <c r="CB23" i="5" s="1"/>
  <c r="CA23" i="5" a="1"/>
  <c r="CA23" i="5" s="1"/>
  <c r="BZ23" i="5" a="1"/>
  <c r="BZ23" i="5"/>
  <c r="BY23" i="5" a="1"/>
  <c r="BY23" i="5" s="1"/>
  <c r="BX23" i="5" a="1"/>
  <c r="BX23" i="5" s="1"/>
  <c r="BW23" i="5" a="1"/>
  <c r="BW23" i="5" s="1"/>
  <c r="BV23" i="5" a="1"/>
  <c r="BV23" i="5" s="1"/>
  <c r="BU23" i="5" a="1"/>
  <c r="BU23" i="5" s="1"/>
  <c r="BT23" i="5" a="1"/>
  <c r="BT23" i="5" s="1"/>
  <c r="BS23" i="5" a="1"/>
  <c r="BS23" i="5" s="1"/>
  <c r="BR23" i="5" a="1"/>
  <c r="BR23" i="5" s="1"/>
  <c r="BQ23" i="5" a="1"/>
  <c r="BQ23" i="5" s="1"/>
  <c r="BP23" i="5" a="1"/>
  <c r="BP23" i="5" s="1"/>
  <c r="BO23" i="5" a="1"/>
  <c r="BO23" i="5" s="1"/>
  <c r="BN23" i="5" a="1"/>
  <c r="BN23" i="5" s="1"/>
  <c r="BM23" i="5" a="1"/>
  <c r="BM23" i="5" s="1"/>
  <c r="BL23" i="5" a="1"/>
  <c r="BL23" i="5"/>
  <c r="BK23" i="5" a="1"/>
  <c r="BK23" i="5" s="1"/>
  <c r="BJ23" i="5" a="1"/>
  <c r="BJ23" i="5" s="1"/>
  <c r="BI23" i="5" a="1"/>
  <c r="BI23" i="5" s="1"/>
  <c r="BH23" i="5" a="1"/>
  <c r="BH23" i="5" s="1"/>
  <c r="BG23" i="5" a="1"/>
  <c r="BG23" i="5" s="1"/>
  <c r="BF23" i="5" a="1"/>
  <c r="BF23" i="5" s="1"/>
  <c r="BE23" i="5" a="1"/>
  <c r="BE23" i="5"/>
  <c r="BD23" i="5" a="1"/>
  <c r="BD23" i="5"/>
  <c r="BC23" i="5" a="1"/>
  <c r="BC23" i="5"/>
  <c r="BB23" i="5" a="1"/>
  <c r="BB23" i="5" s="1"/>
  <c r="BA23" i="5" a="1"/>
  <c r="BA23" i="5"/>
  <c r="AZ23" i="5" a="1"/>
  <c r="AZ23" i="5" s="1"/>
  <c r="AY23" i="5" a="1"/>
  <c r="AY23" i="5" s="1"/>
  <c r="AX23" i="5" a="1"/>
  <c r="AX23" i="5" s="1"/>
  <c r="AW23" i="5" a="1"/>
  <c r="AW23" i="5" s="1"/>
  <c r="AV23" i="5" a="1"/>
  <c r="AV23" i="5" s="1"/>
  <c r="AU23" i="5" a="1"/>
  <c r="AU23" i="5" s="1"/>
  <c r="AT23" i="5" a="1"/>
  <c r="AT23" i="5" s="1"/>
  <c r="AS23" i="5" a="1"/>
  <c r="AS23" i="5"/>
  <c r="AR23" i="5" a="1"/>
  <c r="AR23" i="5"/>
  <c r="AQ23" i="5" a="1"/>
  <c r="AQ23" i="5" s="1"/>
  <c r="AP23" i="5" a="1"/>
  <c r="AP23" i="5" s="1"/>
  <c r="AO23" i="5" a="1"/>
  <c r="AO23" i="5" s="1"/>
  <c r="AN23" i="5" a="1"/>
  <c r="AN23" i="5"/>
  <c r="AM23" i="5" a="1"/>
  <c r="AM23" i="5" s="1"/>
  <c r="AL23" i="5" a="1"/>
  <c r="AL23" i="5" s="1"/>
  <c r="AK23" i="5" a="1"/>
  <c r="AK23" i="5" s="1"/>
  <c r="AJ23" i="5" a="1"/>
  <c r="AJ23" i="5" s="1"/>
  <c r="AI23" i="5" a="1"/>
  <c r="AI23" i="5" s="1"/>
  <c r="AH23" i="5" a="1"/>
  <c r="AH23" i="5"/>
  <c r="AG23" i="5" a="1"/>
  <c r="AG23" i="5"/>
  <c r="AF23" i="5" a="1"/>
  <c r="AF23" i="5" s="1"/>
  <c r="AE23" i="5" a="1"/>
  <c r="AE23" i="5" s="1"/>
  <c r="AD23" i="5" a="1"/>
  <c r="AD23" i="5" s="1"/>
  <c r="AC23" i="5" a="1"/>
  <c r="AC23" i="5" s="1"/>
  <c r="AB23" i="5" a="1"/>
  <c r="AB23" i="5" s="1"/>
  <c r="AA23" i="5" a="1"/>
  <c r="AA23" i="5" s="1"/>
  <c r="Z23" i="5" a="1"/>
  <c r="Z23" i="5" s="1"/>
  <c r="Y23" i="5" a="1"/>
  <c r="Y23" i="5" s="1"/>
  <c r="X23" i="5" a="1"/>
  <c r="X23" i="5" s="1"/>
  <c r="W23" i="5" a="1"/>
  <c r="W23" i="5"/>
  <c r="V23" i="5" a="1"/>
  <c r="V23" i="5" s="1"/>
  <c r="U23" i="5" a="1"/>
  <c r="U23" i="5" s="1"/>
  <c r="T23" i="5" a="1"/>
  <c r="T23" i="5"/>
  <c r="S23" i="5" a="1"/>
  <c r="S23" i="5" s="1"/>
  <c r="R23" i="5" a="1"/>
  <c r="R23" i="5" s="1"/>
  <c r="Q23" i="5" a="1"/>
  <c r="Q23" i="5" s="1"/>
  <c r="P23" i="5" a="1"/>
  <c r="P23" i="5"/>
  <c r="O23" i="5" a="1"/>
  <c r="O23" i="5" s="1"/>
  <c r="N23" i="5" a="1"/>
  <c r="N23" i="5" s="1"/>
  <c r="M23" i="5" a="1"/>
  <c r="M23" i="5" s="1"/>
  <c r="L23" i="5" a="1"/>
  <c r="L23" i="5" s="1"/>
  <c r="K23" i="5" a="1"/>
  <c r="K23" i="5"/>
  <c r="J23" i="5" a="1"/>
  <c r="J23" i="5" s="1"/>
  <c r="I23" i="5" a="1"/>
  <c r="I23" i="5" s="1"/>
  <c r="H23" i="5" a="1"/>
  <c r="H23" i="5" s="1"/>
  <c r="G23" i="5" a="1"/>
  <c r="G23" i="5" s="1"/>
  <c r="F23" i="5" a="1"/>
  <c r="F23" i="5" s="1"/>
  <c r="E23" i="5" a="1"/>
  <c r="E23" i="5"/>
  <c r="D23" i="5" a="1"/>
  <c r="D23" i="5" s="1"/>
  <c r="C23" i="5" a="1"/>
  <c r="C23" i="5" s="1"/>
  <c r="EF22" i="5" a="1"/>
  <c r="EF22" i="5" s="1"/>
  <c r="EE22" i="5" a="1"/>
  <c r="EE22" i="5" s="1"/>
  <c r="ED22" i="5" a="1"/>
  <c r="ED22" i="5" s="1"/>
  <c r="EC22" i="5" a="1"/>
  <c r="EC22" i="5" s="1"/>
  <c r="EB22" i="5" a="1"/>
  <c r="EB22" i="5" s="1"/>
  <c r="EA22" i="5" a="1"/>
  <c r="EA22" i="5" s="1"/>
  <c r="DZ22" i="5" a="1"/>
  <c r="DZ22" i="5" s="1"/>
  <c r="DY22" i="5" a="1"/>
  <c r="DY22" i="5" s="1"/>
  <c r="DX22" i="5" a="1"/>
  <c r="DX22" i="5" s="1"/>
  <c r="DW22" i="5" a="1"/>
  <c r="DW22" i="5" s="1"/>
  <c r="DV22" i="5" a="1"/>
  <c r="DV22" i="5" s="1"/>
  <c r="DU22" i="5" a="1"/>
  <c r="DU22" i="5" s="1"/>
  <c r="DT22" i="5" a="1"/>
  <c r="DT22" i="5"/>
  <c r="DS22" i="5" a="1"/>
  <c r="DS22" i="5"/>
  <c r="DR22" i="5" a="1"/>
  <c r="DR22" i="5" s="1"/>
  <c r="DQ22" i="5" a="1"/>
  <c r="DQ22" i="5" s="1"/>
  <c r="DP22" i="5" a="1"/>
  <c r="DP22" i="5" s="1"/>
  <c r="DO22" i="5" a="1"/>
  <c r="DO22" i="5"/>
  <c r="DN22" i="5" a="1"/>
  <c r="DN22" i="5" s="1"/>
  <c r="DM22" i="5" a="1"/>
  <c r="DM22" i="5" s="1"/>
  <c r="DL22" i="5" a="1"/>
  <c r="DL22" i="5" s="1"/>
  <c r="DK22" i="5" a="1"/>
  <c r="DK22" i="5" s="1"/>
  <c r="DJ22" i="5" a="1"/>
  <c r="DJ22" i="5" s="1"/>
  <c r="DI22" i="5" a="1"/>
  <c r="DI22" i="5" s="1"/>
  <c r="DH22" i="5" a="1"/>
  <c r="DH22" i="5" s="1"/>
  <c r="DG22" i="5" a="1"/>
  <c r="DG22" i="5" s="1"/>
  <c r="DF22" i="5" a="1"/>
  <c r="DF22" i="5" s="1"/>
  <c r="DE22" i="5" a="1"/>
  <c r="DE22" i="5" s="1"/>
  <c r="DD22" i="5" a="1"/>
  <c r="DD22" i="5" s="1"/>
  <c r="DC22" i="5" a="1"/>
  <c r="DC22" i="5" s="1"/>
  <c r="DB22" i="5" a="1"/>
  <c r="DB22" i="5" s="1"/>
  <c r="DA22" i="5" a="1"/>
  <c r="DA22" i="5" s="1"/>
  <c r="CZ22" i="5" a="1"/>
  <c r="CZ22" i="5" s="1"/>
  <c r="CY22" i="5" a="1"/>
  <c r="CY22" i="5" s="1"/>
  <c r="CX22" i="5" a="1"/>
  <c r="CX22" i="5" s="1"/>
  <c r="CW22" i="5" a="1"/>
  <c r="CW22" i="5" s="1"/>
  <c r="CV22" i="5" a="1"/>
  <c r="CV22" i="5" s="1"/>
  <c r="CU22" i="5" a="1"/>
  <c r="CU22" i="5" s="1"/>
  <c r="CT22" i="5" a="1"/>
  <c r="CT22" i="5" s="1"/>
  <c r="CS22" i="5" a="1"/>
  <c r="CS22" i="5" s="1"/>
  <c r="CR22" i="5" a="1"/>
  <c r="CR22" i="5" s="1"/>
  <c r="CQ22" i="5" a="1"/>
  <c r="CQ22" i="5" s="1"/>
  <c r="CP22" i="5" a="1"/>
  <c r="CP22" i="5" s="1"/>
  <c r="CO22" i="5" a="1"/>
  <c r="CO22" i="5" s="1"/>
  <c r="CN22" i="5" a="1"/>
  <c r="CN22" i="5" s="1"/>
  <c r="CM22" i="5" a="1"/>
  <c r="CM22" i="5" s="1"/>
  <c r="CL22" i="5" a="1"/>
  <c r="CL22" i="5" s="1"/>
  <c r="CK22" i="5" a="1"/>
  <c r="CK22" i="5" s="1"/>
  <c r="CJ22" i="5" a="1"/>
  <c r="CJ22" i="5"/>
  <c r="CI22" i="5" a="1"/>
  <c r="CI22" i="5" s="1"/>
  <c r="CH22" i="5" a="1"/>
  <c r="CH22" i="5"/>
  <c r="CG22" i="5" a="1"/>
  <c r="CG22" i="5" s="1"/>
  <c r="CF22" i="5" a="1"/>
  <c r="CF22" i="5" s="1"/>
  <c r="CE22" i="5" a="1"/>
  <c r="CE22" i="5" s="1"/>
  <c r="CD22" i="5" a="1"/>
  <c r="CD22" i="5"/>
  <c r="CC22" i="5" a="1"/>
  <c r="CC22" i="5" s="1"/>
  <c r="CB22" i="5" a="1"/>
  <c r="CB22" i="5" s="1"/>
  <c r="CA22" i="5" a="1"/>
  <c r="CA22" i="5" s="1"/>
  <c r="BZ22" i="5" a="1"/>
  <c r="BZ22" i="5" s="1"/>
  <c r="BY22" i="5" a="1"/>
  <c r="BY22" i="5" s="1"/>
  <c r="BX22" i="5" a="1"/>
  <c r="BX22" i="5" s="1"/>
  <c r="BW22" i="5" a="1"/>
  <c r="BW22" i="5" s="1"/>
  <c r="BV22" i="5" a="1"/>
  <c r="BV22" i="5"/>
  <c r="BU22" i="5" a="1"/>
  <c r="BU22" i="5"/>
  <c r="BT22" i="5" a="1"/>
  <c r="BT22" i="5" s="1"/>
  <c r="BS22" i="5" a="1"/>
  <c r="BS22" i="5"/>
  <c r="BR22" i="5" a="1"/>
  <c r="BR22" i="5" s="1"/>
  <c r="BQ22" i="5" a="1"/>
  <c r="BQ22" i="5" s="1"/>
  <c r="BP22" i="5" a="1"/>
  <c r="BP22" i="5" s="1"/>
  <c r="BO22" i="5" a="1"/>
  <c r="BO22" i="5" s="1"/>
  <c r="BN22" i="5" a="1"/>
  <c r="BN22" i="5"/>
  <c r="BM22" i="5" a="1"/>
  <c r="BM22" i="5" s="1"/>
  <c r="BL22" i="5" a="1"/>
  <c r="BL22" i="5" s="1"/>
  <c r="BK22" i="5" a="1"/>
  <c r="BK22" i="5" s="1"/>
  <c r="BJ22" i="5" a="1"/>
  <c r="BJ22" i="5" s="1"/>
  <c r="BI22" i="5" a="1"/>
  <c r="BI22" i="5" s="1"/>
  <c r="BH22" i="5" a="1"/>
  <c r="BH22" i="5" s="1"/>
  <c r="BG22" i="5" a="1"/>
  <c r="BG22" i="5" s="1"/>
  <c r="BF22" i="5" a="1"/>
  <c r="BF22" i="5" s="1"/>
  <c r="BE22" i="5" a="1"/>
  <c r="BE22" i="5"/>
  <c r="BD22" i="5" a="1"/>
  <c r="BD22" i="5" s="1"/>
  <c r="BC22" i="5" a="1"/>
  <c r="BC22" i="5"/>
  <c r="BB22" i="5" a="1"/>
  <c r="BB22" i="5" s="1"/>
  <c r="BA22" i="5" a="1"/>
  <c r="BA22" i="5" s="1"/>
  <c r="AZ22" i="5" a="1"/>
  <c r="AZ22" i="5"/>
  <c r="AY22" i="5" a="1"/>
  <c r="AY22" i="5" s="1"/>
  <c r="AX22" i="5" a="1"/>
  <c r="AX22" i="5" s="1"/>
  <c r="AW22" i="5" a="1"/>
  <c r="AW22" i="5" s="1"/>
  <c r="AV22" i="5" a="1"/>
  <c r="AV22" i="5" s="1"/>
  <c r="AU22" i="5" a="1"/>
  <c r="AU22" i="5"/>
  <c r="AT22" i="5" a="1"/>
  <c r="AT22" i="5"/>
  <c r="AS22" i="5" a="1"/>
  <c r="AS22" i="5" s="1"/>
  <c r="AR22" i="5" a="1"/>
  <c r="AR22" i="5"/>
  <c r="AQ22" i="5" a="1"/>
  <c r="AQ22" i="5" s="1"/>
  <c r="AP22" i="5" a="1"/>
  <c r="AP22" i="5"/>
  <c r="AO22" i="5" a="1"/>
  <c r="AO22" i="5" s="1"/>
  <c r="AN22" i="5" a="1"/>
  <c r="AN22" i="5" s="1"/>
  <c r="AM22" i="5" a="1"/>
  <c r="AM22" i="5" s="1"/>
  <c r="AL22" i="5" a="1"/>
  <c r="AL22" i="5" s="1"/>
  <c r="AK22" i="5" a="1"/>
  <c r="AK22" i="5" s="1"/>
  <c r="AJ22" i="5" a="1"/>
  <c r="AJ22" i="5" s="1"/>
  <c r="AI22" i="5" a="1"/>
  <c r="AI22" i="5"/>
  <c r="AH22" i="5" a="1"/>
  <c r="AH22" i="5" s="1"/>
  <c r="AG22" i="5" a="1"/>
  <c r="AG22" i="5"/>
  <c r="AF22" i="5" a="1"/>
  <c r="AF22" i="5" s="1"/>
  <c r="AE22" i="5" a="1"/>
  <c r="AE22" i="5"/>
  <c r="AD22" i="5" a="1"/>
  <c r="AD22" i="5"/>
  <c r="AC22" i="5" a="1"/>
  <c r="AC22" i="5" s="1"/>
  <c r="AB22" i="5" a="1"/>
  <c r="AB22" i="5" s="1"/>
  <c r="AA22" i="5" a="1"/>
  <c r="AA22" i="5"/>
  <c r="Z22" i="5" a="1"/>
  <c r="Z22" i="5" s="1"/>
  <c r="Y22" i="5" a="1"/>
  <c r="Y22" i="5" s="1"/>
  <c r="X22" i="5" a="1"/>
  <c r="X22" i="5" s="1"/>
  <c r="W22" i="5" a="1"/>
  <c r="W22" i="5" s="1"/>
  <c r="V22" i="5" a="1"/>
  <c r="V22" i="5"/>
  <c r="U22" i="5" a="1"/>
  <c r="U22" i="5" s="1"/>
  <c r="T22" i="5" a="1"/>
  <c r="T22" i="5"/>
  <c r="S22" i="5" a="1"/>
  <c r="S22" i="5" s="1"/>
  <c r="R22" i="5" a="1"/>
  <c r="R22" i="5" s="1"/>
  <c r="Q22" i="5" a="1"/>
  <c r="Q22" i="5" s="1"/>
  <c r="P22" i="5" a="1"/>
  <c r="P22" i="5" s="1"/>
  <c r="O22" i="5" a="1"/>
  <c r="O22" i="5" s="1"/>
  <c r="N22" i="5" a="1"/>
  <c r="N22" i="5" s="1"/>
  <c r="M22" i="5" a="1"/>
  <c r="M22" i="5" s="1"/>
  <c r="L22" i="5" a="1"/>
  <c r="L22" i="5" s="1"/>
  <c r="K22" i="5" a="1"/>
  <c r="K22" i="5"/>
  <c r="J22" i="5" a="1"/>
  <c r="J22" i="5" s="1"/>
  <c r="I22" i="5" a="1"/>
  <c r="I22" i="5"/>
  <c r="H22" i="5" a="1"/>
  <c r="H22" i="5" s="1"/>
  <c r="G22" i="5" a="1"/>
  <c r="G22" i="5" s="1"/>
  <c r="F22" i="5" a="1"/>
  <c r="F22" i="5" s="1"/>
  <c r="E22" i="5" a="1"/>
  <c r="E22" i="5" s="1"/>
  <c r="D22" i="5" a="1"/>
  <c r="D22" i="5" s="1"/>
  <c r="C22" i="5" a="1"/>
  <c r="C22" i="5" s="1"/>
  <c r="EF21" i="5" a="1"/>
  <c r="EF21" i="5" s="1"/>
  <c r="EE21" i="5" a="1"/>
  <c r="EE21" i="5" s="1"/>
  <c r="ED21" i="5" a="1"/>
  <c r="ED21" i="5"/>
  <c r="EC21" i="5" a="1"/>
  <c r="EC21" i="5" s="1"/>
  <c r="EB21" i="5" a="1"/>
  <c r="EB21" i="5" s="1"/>
  <c r="EA21" i="5" a="1"/>
  <c r="EA21" i="5" s="1"/>
  <c r="DZ21" i="5" a="1"/>
  <c r="DZ21" i="5" s="1"/>
  <c r="DY21" i="5" a="1"/>
  <c r="DY21" i="5" s="1"/>
  <c r="DX21" i="5" a="1"/>
  <c r="DX21" i="5" s="1"/>
  <c r="DW21" i="5" a="1"/>
  <c r="DW21" i="5" s="1"/>
  <c r="DV21" i="5" a="1"/>
  <c r="DV21" i="5" s="1"/>
  <c r="DU21" i="5" a="1"/>
  <c r="DU21" i="5" s="1"/>
  <c r="DT21" i="5" a="1"/>
  <c r="DT21" i="5" s="1"/>
  <c r="DS21" i="5" a="1"/>
  <c r="DS21" i="5" s="1"/>
  <c r="DR21" i="5" a="1"/>
  <c r="DR21" i="5" s="1"/>
  <c r="DQ21" i="5" a="1"/>
  <c r="DQ21" i="5"/>
  <c r="DP21" i="5" a="1"/>
  <c r="DP21" i="5" s="1"/>
  <c r="DO21" i="5" a="1"/>
  <c r="DO21" i="5" s="1"/>
  <c r="DN21" i="5" a="1"/>
  <c r="DN21" i="5" s="1"/>
  <c r="DM21" i="5" a="1"/>
  <c r="DM21" i="5" s="1"/>
  <c r="DL21" i="5" a="1"/>
  <c r="DL21" i="5" s="1"/>
  <c r="DK21" i="5" a="1"/>
  <c r="DK21" i="5" s="1"/>
  <c r="DJ21" i="5" a="1"/>
  <c r="DJ21" i="5" s="1"/>
  <c r="DI21" i="5" a="1"/>
  <c r="DI21" i="5" s="1"/>
  <c r="DH21" i="5" a="1"/>
  <c r="DH21" i="5" s="1"/>
  <c r="DG21" i="5" a="1"/>
  <c r="DG21" i="5" s="1"/>
  <c r="DF21" i="5" a="1"/>
  <c r="DF21" i="5" s="1"/>
  <c r="DE21" i="5" a="1"/>
  <c r="DE21" i="5" s="1"/>
  <c r="DD21" i="5" a="1"/>
  <c r="DD21" i="5"/>
  <c r="DC21" i="5" a="1"/>
  <c r="DC21" i="5" s="1"/>
  <c r="DB21" i="5" a="1"/>
  <c r="DB21" i="5" s="1"/>
  <c r="DA21" i="5" a="1"/>
  <c r="DA21" i="5"/>
  <c r="CZ21" i="5" a="1"/>
  <c r="CZ21" i="5" s="1"/>
  <c r="CY21" i="5" a="1"/>
  <c r="CY21" i="5" s="1"/>
  <c r="CX21" i="5" a="1"/>
  <c r="CX21" i="5" s="1"/>
  <c r="CW21" i="5" a="1"/>
  <c r="CW21" i="5"/>
  <c r="CV21" i="5" a="1"/>
  <c r="CV21" i="5" s="1"/>
  <c r="CU21" i="5" a="1"/>
  <c r="CU21" i="5" s="1"/>
  <c r="CT21" i="5" a="1"/>
  <c r="CT21" i="5" s="1"/>
  <c r="CS21" i="5" a="1"/>
  <c r="CS21" i="5"/>
  <c r="CR21" i="5" a="1"/>
  <c r="CR21" i="5" s="1"/>
  <c r="CQ21" i="5" a="1"/>
  <c r="CQ21" i="5" s="1"/>
  <c r="CP21" i="5" a="1"/>
  <c r="CP21" i="5"/>
  <c r="CO21" i="5" a="1"/>
  <c r="CO21" i="5" s="1"/>
  <c r="CN21" i="5" a="1"/>
  <c r="CN21" i="5" s="1"/>
  <c r="CM21" i="5" a="1"/>
  <c r="CM21" i="5" s="1"/>
  <c r="CL21" i="5" a="1"/>
  <c r="CL21" i="5"/>
  <c r="CK21" i="5" a="1"/>
  <c r="CK21" i="5" s="1"/>
  <c r="CJ21" i="5" a="1"/>
  <c r="CJ21" i="5"/>
  <c r="CI21" i="5" a="1"/>
  <c r="CI21" i="5" s="1"/>
  <c r="CH21" i="5" a="1"/>
  <c r="CH21" i="5"/>
  <c r="CG21" i="5" a="1"/>
  <c r="CG21" i="5" s="1"/>
  <c r="CF21" i="5" a="1"/>
  <c r="CF21" i="5" s="1"/>
  <c r="CE21" i="5" a="1"/>
  <c r="CE21" i="5"/>
  <c r="CD21" i="5" a="1"/>
  <c r="CD21" i="5" s="1"/>
  <c r="CC21" i="5" a="1"/>
  <c r="CC21" i="5" s="1"/>
  <c r="CB21" i="5" a="1"/>
  <c r="CB21" i="5" s="1"/>
  <c r="CA21" i="5" a="1"/>
  <c r="CA21" i="5" s="1"/>
  <c r="BZ21" i="5" a="1"/>
  <c r="BZ21" i="5" s="1"/>
  <c r="BY21" i="5" a="1"/>
  <c r="BY21" i="5"/>
  <c r="BX21" i="5" a="1"/>
  <c r="BX21" i="5" s="1"/>
  <c r="BW21" i="5" a="1"/>
  <c r="BW21" i="5" s="1"/>
  <c r="BV21" i="5" a="1"/>
  <c r="BV21" i="5" s="1"/>
  <c r="BU21" i="5" a="1"/>
  <c r="BU21" i="5"/>
  <c r="BT21" i="5" a="1"/>
  <c r="BT21" i="5" s="1"/>
  <c r="BS21" i="5" a="1"/>
  <c r="BS21" i="5" s="1"/>
  <c r="BR21" i="5" a="1"/>
  <c r="BR21" i="5" s="1"/>
  <c r="BQ21" i="5" a="1"/>
  <c r="BQ21" i="5" s="1"/>
  <c r="BP21" i="5" a="1"/>
  <c r="BP21" i="5"/>
  <c r="BO21" i="5" a="1"/>
  <c r="BO21" i="5" s="1"/>
  <c r="BN21" i="5" a="1"/>
  <c r="BN21" i="5" s="1"/>
  <c r="BM21" i="5" a="1"/>
  <c r="BM21" i="5" s="1"/>
  <c r="BL21" i="5" a="1"/>
  <c r="BL21" i="5"/>
  <c r="BK21" i="5" a="1"/>
  <c r="BK21" i="5" s="1"/>
  <c r="BJ21" i="5" a="1"/>
  <c r="BJ21" i="5" s="1"/>
  <c r="BI21" i="5" a="1"/>
  <c r="BI21" i="5" s="1"/>
  <c r="BH21" i="5" a="1"/>
  <c r="BH21" i="5" s="1"/>
  <c r="BG21" i="5" a="1"/>
  <c r="BG21" i="5"/>
  <c r="BF21" i="5" a="1"/>
  <c r="BF21" i="5" s="1"/>
  <c r="BE21" i="5" a="1"/>
  <c r="BE21" i="5"/>
  <c r="BD21" i="5" a="1"/>
  <c r="BD21" i="5" s="1"/>
  <c r="BC21" i="5" a="1"/>
  <c r="BC21" i="5" s="1"/>
  <c r="BB21" i="5" a="1"/>
  <c r="BB21" i="5" s="1"/>
  <c r="BA21" i="5" a="1"/>
  <c r="BA21" i="5" s="1"/>
  <c r="AZ21" i="5" a="1"/>
  <c r="AZ21" i="5" s="1"/>
  <c r="AY21" i="5" a="1"/>
  <c r="AY21" i="5" s="1"/>
  <c r="AX21" i="5" a="1"/>
  <c r="AX21" i="5"/>
  <c r="AW21" i="5" a="1"/>
  <c r="AW21" i="5" s="1"/>
  <c r="AV21" i="5" a="1"/>
  <c r="AV21" i="5" s="1"/>
  <c r="AU21" i="5" a="1"/>
  <c r="AU21" i="5" s="1"/>
  <c r="AT21" i="5" a="1"/>
  <c r="AT21" i="5"/>
  <c r="AS21" i="5" a="1"/>
  <c r="AS21" i="5" s="1"/>
  <c r="AR21" i="5" a="1"/>
  <c r="AR21" i="5" s="1"/>
  <c r="AQ21" i="5" a="1"/>
  <c r="AQ21" i="5"/>
  <c r="AP21" i="5" a="1"/>
  <c r="AP21" i="5" s="1"/>
  <c r="AO21" i="5" a="1"/>
  <c r="AO21" i="5" s="1"/>
  <c r="AN21" i="5" a="1"/>
  <c r="AN21" i="5" s="1"/>
  <c r="AM21" i="5" a="1"/>
  <c r="AM21" i="5" s="1"/>
  <c r="AL21" i="5" a="1"/>
  <c r="AL21" i="5" s="1"/>
  <c r="AK21" i="5" a="1"/>
  <c r="AK21" i="5"/>
  <c r="AJ21" i="5" a="1"/>
  <c r="AJ21" i="5" s="1"/>
  <c r="AI21" i="5" a="1"/>
  <c r="AI21" i="5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/>
  <c r="AA21" i="5" a="1"/>
  <c r="AA21" i="5"/>
  <c r="Z21" i="5" a="1"/>
  <c r="Z21" i="5"/>
  <c r="Y21" i="5" a="1"/>
  <c r="Y21" i="5" s="1"/>
  <c r="X21" i="5" a="1"/>
  <c r="X21" i="5" s="1"/>
  <c r="W21" i="5" a="1"/>
  <c r="W21" i="5" s="1"/>
  <c r="V21" i="5" a="1"/>
  <c r="V21" i="5" s="1"/>
  <c r="U21" i="5" a="1"/>
  <c r="U21" i="5" s="1"/>
  <c r="T21" i="5" a="1"/>
  <c r="T21" i="5"/>
  <c r="S21" i="5" a="1"/>
  <c r="S21" i="5" s="1"/>
  <c r="R21" i="5" a="1"/>
  <c r="R21" i="5" s="1"/>
  <c r="Q21" i="5" a="1"/>
  <c r="Q21" i="5" s="1"/>
  <c r="P21" i="5" a="1"/>
  <c r="P21" i="5" s="1"/>
  <c r="O21" i="5" a="1"/>
  <c r="O21" i="5" s="1"/>
  <c r="N21" i="5" a="1"/>
  <c r="N21" i="5" s="1"/>
  <c r="M21" i="5" a="1"/>
  <c r="M21" i="5" s="1"/>
  <c r="L21" i="5" a="1"/>
  <c r="L21" i="5" s="1"/>
  <c r="K21" i="5" a="1"/>
  <c r="K21" i="5" s="1"/>
  <c r="J21" i="5" a="1"/>
  <c r="J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D21" i="5" a="1"/>
  <c r="D21" i="5" s="1"/>
  <c r="C21" i="5" a="1"/>
  <c r="C21" i="5" s="1"/>
  <c r="EF20" i="5" a="1"/>
  <c r="EF20" i="5" s="1"/>
  <c r="EE20" i="5" a="1"/>
  <c r="EE20" i="5" s="1"/>
  <c r="ED20" i="5" a="1"/>
  <c r="ED20" i="5" s="1"/>
  <c r="EC20" i="5" a="1"/>
  <c r="EC20" i="5" s="1"/>
  <c r="EB20" i="5" a="1"/>
  <c r="EB20" i="5" s="1"/>
  <c r="EA20" i="5" a="1"/>
  <c r="EA20" i="5" s="1"/>
  <c r="DZ20" i="5" a="1"/>
  <c r="DZ20" i="5" s="1"/>
  <c r="DY20" i="5" a="1"/>
  <c r="DY20" i="5" s="1"/>
  <c r="DX20" i="5" a="1"/>
  <c r="DX20" i="5" s="1"/>
  <c r="DW20" i="5" a="1"/>
  <c r="DW20" i="5" s="1"/>
  <c r="DV20" i="5" a="1"/>
  <c r="DV20" i="5" s="1"/>
  <c r="DU20" i="5" a="1"/>
  <c r="DU20" i="5"/>
  <c r="DT20" i="5" a="1"/>
  <c r="DT20" i="5" s="1"/>
  <c r="DS20" i="5" a="1"/>
  <c r="DS20" i="5" s="1"/>
  <c r="DR20" i="5" a="1"/>
  <c r="DR20" i="5" s="1"/>
  <c r="DQ20" i="5" a="1"/>
  <c r="DQ20" i="5" s="1"/>
  <c r="DP20" i="5" a="1"/>
  <c r="DP20" i="5" s="1"/>
  <c r="DO20" i="5" a="1"/>
  <c r="DO20" i="5" s="1"/>
  <c r="DN20" i="5" a="1"/>
  <c r="DN20" i="5"/>
  <c r="DM20" i="5" a="1"/>
  <c r="DM20" i="5" s="1"/>
  <c r="DL20" i="5" a="1"/>
  <c r="DL20" i="5" s="1"/>
  <c r="DK20" i="5" a="1"/>
  <c r="DK20" i="5" s="1"/>
  <c r="DJ20" i="5" a="1"/>
  <c r="DJ20" i="5" s="1"/>
  <c r="DI20" i="5" a="1"/>
  <c r="DI20" i="5" s="1"/>
  <c r="DH20" i="5" a="1"/>
  <c r="DH20" i="5"/>
  <c r="DG20" i="5" a="1"/>
  <c r="DG20" i="5" s="1"/>
  <c r="DF20" i="5" a="1"/>
  <c r="DF20" i="5"/>
  <c r="DE20" i="5" a="1"/>
  <c r="DE20" i="5" s="1"/>
  <c r="DD20" i="5" a="1"/>
  <c r="DD20" i="5" s="1"/>
  <c r="DC20" i="5" a="1"/>
  <c r="DC20" i="5"/>
  <c r="DB20" i="5" a="1"/>
  <c r="DB20" i="5" s="1"/>
  <c r="DA20" i="5" a="1"/>
  <c r="DA20" i="5" s="1"/>
  <c r="CZ20" i="5" a="1"/>
  <c r="CZ20" i="5" s="1"/>
  <c r="CY20" i="5" a="1"/>
  <c r="CY20" i="5" s="1"/>
  <c r="CX20" i="5" a="1"/>
  <c r="CX20" i="5" s="1"/>
  <c r="CW20" i="5" a="1"/>
  <c r="CW20" i="5"/>
  <c r="CV20" i="5" a="1"/>
  <c r="CV20" i="5" s="1"/>
  <c r="CU20" i="5" a="1"/>
  <c r="CU20" i="5"/>
  <c r="CT20" i="5" a="1"/>
  <c r="CT20" i="5" s="1"/>
  <c r="CS20" i="5" a="1"/>
  <c r="CS20" i="5" s="1"/>
  <c r="CR20" i="5" a="1"/>
  <c r="CR20" i="5" s="1"/>
  <c r="CQ20" i="5" a="1"/>
  <c r="CQ20" i="5" s="1"/>
  <c r="CP20" i="5" a="1"/>
  <c r="CP20" i="5" s="1"/>
  <c r="CO20" i="5" a="1"/>
  <c r="CO20" i="5" s="1"/>
  <c r="CN20" i="5" a="1"/>
  <c r="CN20" i="5" s="1"/>
  <c r="CM20" i="5" a="1"/>
  <c r="CM20" i="5" s="1"/>
  <c r="CL20" i="5" a="1"/>
  <c r="CL20" i="5"/>
  <c r="CK20" i="5" a="1"/>
  <c r="CK20" i="5" s="1"/>
  <c r="CJ20" i="5" a="1"/>
  <c r="CJ20" i="5" s="1"/>
  <c r="CI20" i="5" a="1"/>
  <c r="CI20" i="5" s="1"/>
  <c r="CH20" i="5" a="1"/>
  <c r="CH20" i="5"/>
  <c r="CG20" i="5" a="1"/>
  <c r="CG20" i="5" s="1"/>
  <c r="CF20" i="5" a="1"/>
  <c r="CF20" i="5" s="1"/>
  <c r="CE20" i="5" a="1"/>
  <c r="CE20" i="5" s="1"/>
  <c r="CD20" i="5" a="1"/>
  <c r="CD20" i="5" s="1"/>
  <c r="CC20" i="5" a="1"/>
  <c r="CC20" i="5" s="1"/>
  <c r="CB20" i="5" a="1"/>
  <c r="CB20" i="5" s="1"/>
  <c r="CA20" i="5" a="1"/>
  <c r="CA20" i="5"/>
  <c r="BZ20" i="5" a="1"/>
  <c r="BZ20" i="5" s="1"/>
  <c r="BY20" i="5" a="1"/>
  <c r="BY20" i="5" s="1"/>
  <c r="BX20" i="5" a="1"/>
  <c r="BX20" i="5" s="1"/>
  <c r="BW20" i="5" a="1"/>
  <c r="BW20" i="5" s="1"/>
  <c r="BV20" i="5" a="1"/>
  <c r="BV20" i="5" s="1"/>
  <c r="BU20" i="5" a="1"/>
  <c r="BU20" i="5" s="1"/>
  <c r="BT20" i="5" a="1"/>
  <c r="BT20" i="5" s="1"/>
  <c r="BS20" i="5" a="1"/>
  <c r="BS20" i="5" s="1"/>
  <c r="BR20" i="5" a="1"/>
  <c r="BR20" i="5" s="1"/>
  <c r="BQ20" i="5" a="1"/>
  <c r="BQ20" i="5" s="1"/>
  <c r="BP20" i="5" a="1"/>
  <c r="BP20" i="5"/>
  <c r="BO20" i="5" a="1"/>
  <c r="BO20" i="5" s="1"/>
  <c r="BN20" i="5" a="1"/>
  <c r="BN20" i="5" s="1"/>
  <c r="BM20" i="5" a="1"/>
  <c r="BM20" i="5" s="1"/>
  <c r="BL20" i="5" a="1"/>
  <c r="BL20" i="5" s="1"/>
  <c r="BK20" i="5" a="1"/>
  <c r="BK20" i="5"/>
  <c r="BJ20" i="5" a="1"/>
  <c r="BJ20" i="5"/>
  <c r="BI20" i="5" a="1"/>
  <c r="BI20" i="5" s="1"/>
  <c r="BH20" i="5" a="1"/>
  <c r="BH20" i="5" s="1"/>
  <c r="BG20" i="5" a="1"/>
  <c r="BG20" i="5"/>
  <c r="BF20" i="5" a="1"/>
  <c r="BF20" i="5" s="1"/>
  <c r="BE20" i="5" a="1"/>
  <c r="BE20" i="5" s="1"/>
  <c r="BD20" i="5" a="1"/>
  <c r="BD20" i="5"/>
  <c r="BC20" i="5" a="1"/>
  <c r="BC20" i="5" s="1"/>
  <c r="BB20" i="5" a="1"/>
  <c r="BB20" i="5" s="1"/>
  <c r="BA20" i="5" a="1"/>
  <c r="BA20" i="5"/>
  <c r="AZ20" i="5" a="1"/>
  <c r="AZ20" i="5"/>
  <c r="AY20" i="5" a="1"/>
  <c r="AY20" i="5" s="1"/>
  <c r="AX20" i="5" a="1"/>
  <c r="AX20" i="5" s="1"/>
  <c r="AW20" i="5" a="1"/>
  <c r="AW20" i="5" s="1"/>
  <c r="AV20" i="5" a="1"/>
  <c r="AV20" i="5" s="1"/>
  <c r="AU20" i="5" a="1"/>
  <c r="AU20" i="5" s="1"/>
  <c r="AT20" i="5" a="1"/>
  <c r="AT20" i="5"/>
  <c r="AS20" i="5" a="1"/>
  <c r="AS20" i="5" s="1"/>
  <c r="AR20" i="5" a="1"/>
  <c r="AR20" i="5" s="1"/>
  <c r="AQ20" i="5" a="1"/>
  <c r="AQ20" i="5" s="1"/>
  <c r="AP20" i="5" a="1"/>
  <c r="AP20" i="5" s="1"/>
  <c r="AO20" i="5" a="1"/>
  <c r="AO20" i="5" s="1"/>
  <c r="AN20" i="5" a="1"/>
  <c r="AN20" i="5" s="1"/>
  <c r="AM20" i="5" a="1"/>
  <c r="AM20" i="5" s="1"/>
  <c r="AL20" i="5" a="1"/>
  <c r="AL20" i="5"/>
  <c r="AK20" i="5" a="1"/>
  <c r="AK20" i="5"/>
  <c r="AJ20" i="5" a="1"/>
  <c r="AJ20" i="5" s="1"/>
  <c r="AI20" i="5" a="1"/>
  <c r="AI20" i="5"/>
  <c r="AH20" i="5" a="1"/>
  <c r="AH20" i="5"/>
  <c r="AG20" i="5" a="1"/>
  <c r="AG20" i="5" s="1"/>
  <c r="AF20" i="5" a="1"/>
  <c r="AF20" i="5" s="1"/>
  <c r="AE20" i="5" a="1"/>
  <c r="AE20" i="5" s="1"/>
  <c r="AD20" i="5" a="1"/>
  <c r="AD20" i="5" s="1"/>
  <c r="AC20" i="5" a="1"/>
  <c r="AC20" i="5" s="1"/>
  <c r="AB20" i="5" a="1"/>
  <c r="AB20" i="5" s="1"/>
  <c r="AA20" i="5" a="1"/>
  <c r="AA20" i="5" s="1"/>
  <c r="Z20" i="5" a="1"/>
  <c r="Z20" i="5"/>
  <c r="Y20" i="5" a="1"/>
  <c r="Y20" i="5" s="1"/>
  <c r="X20" i="5" a="1"/>
  <c r="X20" i="5" s="1"/>
  <c r="W20" i="5" a="1"/>
  <c r="W20" i="5" s="1"/>
  <c r="V20" i="5" a="1"/>
  <c r="V20" i="5" s="1"/>
  <c r="U20" i="5" a="1"/>
  <c r="U20" i="5" s="1"/>
  <c r="T20" i="5" a="1"/>
  <c r="T20" i="5" s="1"/>
  <c r="S20" i="5" a="1"/>
  <c r="S20" i="5" s="1"/>
  <c r="R20" i="5" a="1"/>
  <c r="R20" i="5" s="1"/>
  <c r="Q20" i="5" a="1"/>
  <c r="Q20" i="5" s="1"/>
  <c r="P20" i="5" a="1"/>
  <c r="P20" i="5" s="1"/>
  <c r="O20" i="5" a="1"/>
  <c r="O20" i="5"/>
  <c r="N20" i="5" a="1"/>
  <c r="N20" i="5" s="1"/>
  <c r="M20" i="5" a="1"/>
  <c r="M20" i="5"/>
  <c r="L20" i="5" a="1"/>
  <c r="L20" i="5"/>
  <c r="K20" i="5" a="1"/>
  <c r="K20" i="5"/>
  <c r="J20" i="5" a="1"/>
  <c r="J20" i="5" s="1"/>
  <c r="I20" i="5" a="1"/>
  <c r="I20" i="5" s="1"/>
  <c r="H20" i="5" a="1"/>
  <c r="H20" i="5" s="1"/>
  <c r="G20" i="5" a="1"/>
  <c r="G20" i="5" s="1"/>
  <c r="F20" i="5" a="1"/>
  <c r="F20" i="5" s="1"/>
  <c r="E20" i="5" a="1"/>
  <c r="E20" i="5" s="1"/>
  <c r="D20" i="5" a="1"/>
  <c r="D20" i="5" s="1"/>
  <c r="C20" i="5" a="1"/>
  <c r="C20" i="5" s="1"/>
  <c r="EF19" i="5" a="1"/>
  <c r="EF19" i="5"/>
  <c r="EE19" i="5" a="1"/>
  <c r="EE19" i="5" s="1"/>
  <c r="ED19" i="5" a="1"/>
  <c r="ED19" i="5"/>
  <c r="EC19" i="5" a="1"/>
  <c r="EC19" i="5" s="1"/>
  <c r="EB19" i="5" a="1"/>
  <c r="EB19" i="5" s="1"/>
  <c r="EA19" i="5" a="1"/>
  <c r="EA19" i="5"/>
  <c r="DZ19" i="5" a="1"/>
  <c r="DZ19" i="5" s="1"/>
  <c r="DY19" i="5" a="1"/>
  <c r="DY19" i="5" s="1"/>
  <c r="DX19" i="5" a="1"/>
  <c r="DX19" i="5"/>
  <c r="DW19" i="5" a="1"/>
  <c r="DW19" i="5" s="1"/>
  <c r="DV19" i="5" a="1"/>
  <c r="DV19" i="5" s="1"/>
  <c r="DU19" i="5" a="1"/>
  <c r="DU19" i="5"/>
  <c r="DT19" i="5" a="1"/>
  <c r="DT19" i="5" s="1"/>
  <c r="DS19" i="5" a="1"/>
  <c r="DS19" i="5" s="1"/>
  <c r="DR19" i="5" a="1"/>
  <c r="DR19" i="5" s="1"/>
  <c r="DQ19" i="5" a="1"/>
  <c r="DQ19" i="5" s="1"/>
  <c r="DP19" i="5" a="1"/>
  <c r="DP19" i="5"/>
  <c r="DO19" i="5" a="1"/>
  <c r="DO19" i="5" s="1"/>
  <c r="DN19" i="5" a="1"/>
  <c r="DN19" i="5" s="1"/>
  <c r="DM19" i="5" a="1"/>
  <c r="DM19" i="5" s="1"/>
  <c r="DL19" i="5" a="1"/>
  <c r="DL19" i="5" s="1"/>
  <c r="DK19" i="5" a="1"/>
  <c r="DK19" i="5" s="1"/>
  <c r="DJ19" i="5" a="1"/>
  <c r="DJ19" i="5"/>
  <c r="DI19" i="5" a="1"/>
  <c r="DI19" i="5"/>
  <c r="DH19" i="5" a="1"/>
  <c r="DH19" i="5" s="1"/>
  <c r="DG19" i="5" a="1"/>
  <c r="DG19" i="5" s="1"/>
  <c r="DF19" i="5" a="1"/>
  <c r="DF19" i="5" s="1"/>
  <c r="DE19" i="5" a="1"/>
  <c r="DE19" i="5"/>
  <c r="DD19" i="5" a="1"/>
  <c r="DD19" i="5" s="1"/>
  <c r="DC19" i="5" a="1"/>
  <c r="DC19" i="5" s="1"/>
  <c r="DB19" i="5" a="1"/>
  <c r="DB19" i="5" s="1"/>
  <c r="DA19" i="5" a="1"/>
  <c r="DA19" i="5"/>
  <c r="CZ19" i="5" a="1"/>
  <c r="CZ19" i="5" s="1"/>
  <c r="CY19" i="5" a="1"/>
  <c r="CY19" i="5"/>
  <c r="CX19" i="5" a="1"/>
  <c r="CX19" i="5" s="1"/>
  <c r="CW19" i="5" a="1"/>
  <c r="CW19" i="5" s="1"/>
  <c r="CV19" i="5" a="1"/>
  <c r="CV19" i="5" s="1"/>
  <c r="CU19" i="5" a="1"/>
  <c r="CU19" i="5"/>
  <c r="CT19" i="5" a="1"/>
  <c r="CT19" i="5"/>
  <c r="CS19" i="5" a="1"/>
  <c r="CS19" i="5" s="1"/>
  <c r="CR19" i="5" a="1"/>
  <c r="CR19" i="5" s="1"/>
  <c r="CQ19" i="5" a="1"/>
  <c r="CQ19" i="5"/>
  <c r="CP19" i="5" a="1"/>
  <c r="CP19" i="5" s="1"/>
  <c r="CO19" i="5" a="1"/>
  <c r="CO19" i="5" s="1"/>
  <c r="CN19" i="5" a="1"/>
  <c r="CN19" i="5"/>
  <c r="CM19" i="5" a="1"/>
  <c r="CM19" i="5" s="1"/>
  <c r="CL19" i="5" a="1"/>
  <c r="CL19" i="5" s="1"/>
  <c r="CK19" i="5" a="1"/>
  <c r="CK19" i="5" s="1"/>
  <c r="CJ19" i="5" a="1"/>
  <c r="CJ19" i="5" s="1"/>
  <c r="CI19" i="5" a="1"/>
  <c r="CI19" i="5" s="1"/>
  <c r="CH19" i="5" a="1"/>
  <c r="CH19" i="5" s="1"/>
  <c r="CG19" i="5" a="1"/>
  <c r="CG19" i="5" s="1"/>
  <c r="CF19" i="5" a="1"/>
  <c r="CF19" i="5" s="1"/>
  <c r="CE19" i="5" a="1"/>
  <c r="CE19" i="5" s="1"/>
  <c r="CD19" i="5" a="1"/>
  <c r="CD19" i="5" s="1"/>
  <c r="CC19" i="5" a="1"/>
  <c r="CC19" i="5" s="1"/>
  <c r="CB19" i="5" a="1"/>
  <c r="CB19" i="5" s="1"/>
  <c r="CA19" i="5" a="1"/>
  <c r="CA19" i="5" s="1"/>
  <c r="BZ19" i="5" a="1"/>
  <c r="BZ19" i="5" s="1"/>
  <c r="BY19" i="5" a="1"/>
  <c r="BY19" i="5"/>
  <c r="BX19" i="5" a="1"/>
  <c r="BX19" i="5"/>
  <c r="BW19" i="5" a="1"/>
  <c r="BW19" i="5"/>
  <c r="BV19" i="5" a="1"/>
  <c r="BV19" i="5" s="1"/>
  <c r="BU19" i="5" a="1"/>
  <c r="BU19" i="5" s="1"/>
  <c r="BT19" i="5" a="1"/>
  <c r="BT19" i="5" s="1"/>
  <c r="BS19" i="5" a="1"/>
  <c r="BS19" i="5" s="1"/>
  <c r="BR19" i="5" a="1"/>
  <c r="BR19" i="5"/>
  <c r="BQ19" i="5" a="1"/>
  <c r="BQ19" i="5"/>
  <c r="BP19" i="5" a="1"/>
  <c r="BP19" i="5" s="1"/>
  <c r="BO19" i="5" a="1"/>
  <c r="BO19" i="5" s="1"/>
  <c r="BN19" i="5" a="1"/>
  <c r="BN19" i="5" s="1"/>
  <c r="BM19" i="5" a="1"/>
  <c r="BM19" i="5" s="1"/>
  <c r="BL19" i="5" a="1"/>
  <c r="BL19" i="5" s="1"/>
  <c r="BK19" i="5" a="1"/>
  <c r="BK19" i="5"/>
  <c r="BJ19" i="5" a="1"/>
  <c r="BJ19" i="5" s="1"/>
  <c r="BI19" i="5" a="1"/>
  <c r="BI19" i="5" s="1"/>
  <c r="BH19" i="5" a="1"/>
  <c r="BH19" i="5" s="1"/>
  <c r="BG19" i="5" a="1"/>
  <c r="BG19" i="5" s="1"/>
  <c r="BF19" i="5" a="1"/>
  <c r="BF19" i="5" s="1"/>
  <c r="BE19" i="5" a="1"/>
  <c r="BE19" i="5"/>
  <c r="BD19" i="5" a="1"/>
  <c r="BD19" i="5" s="1"/>
  <c r="BC19" i="5" a="1"/>
  <c r="BC19" i="5" s="1"/>
  <c r="BB19" i="5" a="1"/>
  <c r="BB19" i="5" s="1"/>
  <c r="BA19" i="5" a="1"/>
  <c r="BA19" i="5" s="1"/>
  <c r="AZ19" i="5" a="1"/>
  <c r="AZ19" i="5" s="1"/>
  <c r="AY19" i="5" a="1"/>
  <c r="AY19" i="5" s="1"/>
  <c r="AX19" i="5" a="1"/>
  <c r="AX19" i="5" s="1"/>
  <c r="AW19" i="5" a="1"/>
  <c r="AW19" i="5" s="1"/>
  <c r="AV19" i="5" a="1"/>
  <c r="AV19" i="5"/>
  <c r="AU19" i="5" a="1"/>
  <c r="AU19" i="5"/>
  <c r="AT19" i="5" a="1"/>
  <c r="AT19" i="5" s="1"/>
  <c r="AS19" i="5" a="1"/>
  <c r="AS19" i="5" s="1"/>
  <c r="AR19" i="5" a="1"/>
  <c r="AR19" i="5" s="1"/>
  <c r="AQ19" i="5" a="1"/>
  <c r="AQ19" i="5"/>
  <c r="AP19" i="5" a="1"/>
  <c r="AP19" i="5"/>
  <c r="AO19" i="5" a="1"/>
  <c r="AO19" i="5"/>
  <c r="AN19" i="5" a="1"/>
  <c r="AN19" i="5" s="1"/>
  <c r="AM19" i="5" a="1"/>
  <c r="AM19" i="5" s="1"/>
  <c r="AL19" i="5" a="1"/>
  <c r="AL19" i="5" s="1"/>
  <c r="AK19" i="5" a="1"/>
  <c r="AK19" i="5" s="1"/>
  <c r="AJ19" i="5" a="1"/>
  <c r="AJ19" i="5" s="1"/>
  <c r="AI19" i="5" a="1"/>
  <c r="AI19" i="5" s="1"/>
  <c r="AH19" i="5" a="1"/>
  <c r="AH19" i="5" s="1"/>
  <c r="AG19" i="5" a="1"/>
  <c r="AG19" i="5" s="1"/>
  <c r="AF19" i="5" a="1"/>
  <c r="AF19" i="5" s="1"/>
  <c r="AE19" i="5" a="1"/>
  <c r="AE19" i="5"/>
  <c r="AD19" i="5" a="1"/>
  <c r="AD19" i="5"/>
  <c r="AC19" i="5" a="1"/>
  <c r="AC19" i="5"/>
  <c r="AB19" i="5" a="1"/>
  <c r="AB19" i="5"/>
  <c r="AA19" i="5" a="1"/>
  <c r="AA19" i="5" s="1"/>
  <c r="Z19" i="5" a="1"/>
  <c r="Z19" i="5" s="1"/>
  <c r="Y19" i="5" a="1"/>
  <c r="Y19" i="5"/>
  <c r="X19" i="5" a="1"/>
  <c r="X19" i="5"/>
  <c r="W19" i="5" a="1"/>
  <c r="W19" i="5" s="1"/>
  <c r="V19" i="5" a="1"/>
  <c r="V19" i="5" s="1"/>
  <c r="U19" i="5" a="1"/>
  <c r="U19" i="5" s="1"/>
  <c r="T19" i="5" a="1"/>
  <c r="T19" i="5" s="1"/>
  <c r="S19" i="5" a="1"/>
  <c r="S19" i="5" s="1"/>
  <c r="R19" i="5" a="1"/>
  <c r="R19" i="5" s="1"/>
  <c r="Q19" i="5" a="1"/>
  <c r="Q19" i="5" s="1"/>
  <c r="P19" i="5" a="1"/>
  <c r="P19" i="5" s="1"/>
  <c r="O19" i="5" a="1"/>
  <c r="O19" i="5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 a="1"/>
  <c r="H19" i="5"/>
  <c r="G19" i="5" a="1"/>
  <c r="G19" i="5" s="1"/>
  <c r="F19" i="5" a="1"/>
  <c r="F19" i="5" s="1"/>
  <c r="E19" i="5" a="1"/>
  <c r="E19" i="5" s="1"/>
  <c r="D19" i="5" a="1"/>
  <c r="D19" i="5" s="1"/>
  <c r="C19" i="5" a="1"/>
  <c r="C19" i="5" s="1"/>
  <c r="EF18" i="5" a="1"/>
  <c r="EF18" i="5" s="1"/>
  <c r="EE18" i="5" a="1"/>
  <c r="EE18" i="5"/>
  <c r="ED18" i="5" a="1"/>
  <c r="ED18" i="5"/>
  <c r="EC18" i="5" a="1"/>
  <c r="EC18" i="5" s="1"/>
  <c r="EB18" i="5" a="1"/>
  <c r="EB18" i="5" s="1"/>
  <c r="EA18" i="5" a="1"/>
  <c r="EA18" i="5" s="1"/>
  <c r="DZ18" i="5" a="1"/>
  <c r="DZ18" i="5" s="1"/>
  <c r="DY18" i="5" a="1"/>
  <c r="DY18" i="5"/>
  <c r="DX18" i="5" a="1"/>
  <c r="DX18" i="5"/>
  <c r="DW18" i="5" a="1"/>
  <c r="DW18" i="5"/>
  <c r="DV18" i="5" a="1"/>
  <c r="DV18" i="5" s="1"/>
  <c r="DU18" i="5" a="1"/>
  <c r="DU18" i="5" s="1"/>
  <c r="DT18" i="5" a="1"/>
  <c r="DT18" i="5" s="1"/>
  <c r="DS18" i="5" a="1"/>
  <c r="DS18" i="5" s="1"/>
  <c r="DR18" i="5" a="1"/>
  <c r="DR18" i="5" s="1"/>
  <c r="DQ18" i="5" a="1"/>
  <c r="DQ18" i="5" s="1"/>
  <c r="DP18" i="5" a="1"/>
  <c r="DP18" i="5" s="1"/>
  <c r="DO18" i="5" a="1"/>
  <c r="DO18" i="5" s="1"/>
  <c r="DN18" i="5" a="1"/>
  <c r="DN18" i="5" s="1"/>
  <c r="DM18" i="5" a="1"/>
  <c r="DM18" i="5" s="1"/>
  <c r="DL18" i="5" a="1"/>
  <c r="DL18" i="5" s="1"/>
  <c r="DK18" i="5" a="1"/>
  <c r="DK18" i="5" s="1"/>
  <c r="DJ18" i="5" a="1"/>
  <c r="DJ18" i="5"/>
  <c r="DI18" i="5" a="1"/>
  <c r="DI18" i="5" s="1"/>
  <c r="DH18" i="5" a="1"/>
  <c r="DH18" i="5" s="1"/>
  <c r="DG18" i="5" a="1"/>
  <c r="DG18" i="5" s="1"/>
  <c r="DF18" i="5" a="1"/>
  <c r="DF18" i="5" s="1"/>
  <c r="DE18" i="5" a="1"/>
  <c r="DE18" i="5" s="1"/>
  <c r="DD18" i="5" a="1"/>
  <c r="DD18" i="5" s="1"/>
  <c r="DC18" i="5" a="1"/>
  <c r="DC18" i="5" s="1"/>
  <c r="DB18" i="5" a="1"/>
  <c r="DB18" i="5"/>
  <c r="DA18" i="5" a="1"/>
  <c r="DA18" i="5" s="1"/>
  <c r="CZ18" i="5" a="1"/>
  <c r="CZ18" i="5" s="1"/>
  <c r="CY18" i="5" a="1"/>
  <c r="CY18" i="5" s="1"/>
  <c r="CX18" i="5" a="1"/>
  <c r="CX18" i="5" s="1"/>
  <c r="CW18" i="5" a="1"/>
  <c r="CW18" i="5" s="1"/>
  <c r="CV18" i="5" a="1"/>
  <c r="CV18" i="5" s="1"/>
  <c r="CU18" i="5" a="1"/>
  <c r="CU18" i="5" s="1"/>
  <c r="CT18" i="5" a="1"/>
  <c r="CT18" i="5" s="1"/>
  <c r="CS18" i="5" a="1"/>
  <c r="CS18" i="5" s="1"/>
  <c r="CR18" i="5" a="1"/>
  <c r="CR18" i="5"/>
  <c r="CQ18" i="5" a="1"/>
  <c r="CQ18" i="5" s="1"/>
  <c r="CP18" i="5" a="1"/>
  <c r="CP18" i="5" s="1"/>
  <c r="CO18" i="5" a="1"/>
  <c r="CO18" i="5" s="1"/>
  <c r="CN18" i="5" a="1"/>
  <c r="CN18" i="5"/>
  <c r="CM18" i="5" a="1"/>
  <c r="CM18" i="5" s="1"/>
  <c r="CL18" i="5" a="1"/>
  <c r="CL18" i="5" s="1"/>
  <c r="CK18" i="5" a="1"/>
  <c r="CK18" i="5" s="1"/>
  <c r="CJ18" i="5" a="1"/>
  <c r="CJ18" i="5"/>
  <c r="CI18" i="5" a="1"/>
  <c r="CI18" i="5" s="1"/>
  <c r="CH18" i="5" a="1"/>
  <c r="CH18" i="5" s="1"/>
  <c r="CG18" i="5" a="1"/>
  <c r="CG18" i="5"/>
  <c r="CF18" i="5" a="1"/>
  <c r="CF18" i="5"/>
  <c r="CE18" i="5" a="1"/>
  <c r="CE18" i="5" s="1"/>
  <c r="CD18" i="5" a="1"/>
  <c r="CD18" i="5" s="1"/>
  <c r="CC18" i="5" a="1"/>
  <c r="CC18" i="5" s="1"/>
  <c r="CB18" i="5" a="1"/>
  <c r="CB18" i="5" s="1"/>
  <c r="CA18" i="5" a="1"/>
  <c r="CA18" i="5" s="1"/>
  <c r="BZ18" i="5" a="1"/>
  <c r="BZ18" i="5" s="1"/>
  <c r="BY18" i="5" a="1"/>
  <c r="BY18" i="5"/>
  <c r="BX18" i="5" a="1"/>
  <c r="BX18" i="5" s="1"/>
  <c r="BW18" i="5" a="1"/>
  <c r="BW18" i="5" s="1"/>
  <c r="BV18" i="5" a="1"/>
  <c r="BV18" i="5" s="1"/>
  <c r="BU18" i="5" a="1"/>
  <c r="BU18" i="5" s="1"/>
  <c r="BT18" i="5" a="1"/>
  <c r="BT18" i="5" s="1"/>
  <c r="BS18" i="5" a="1"/>
  <c r="BS18" i="5" s="1"/>
  <c r="BR18" i="5" a="1"/>
  <c r="BR18" i="5" s="1"/>
  <c r="BQ18" i="5" a="1"/>
  <c r="BQ18" i="5" s="1"/>
  <c r="BP18" i="5" a="1"/>
  <c r="BP18" i="5" s="1"/>
  <c r="BO18" i="5" a="1"/>
  <c r="BO18" i="5" s="1"/>
  <c r="BN18" i="5" a="1"/>
  <c r="BN18" i="5" s="1"/>
  <c r="BM18" i="5" a="1"/>
  <c r="BM18" i="5" s="1"/>
  <c r="BL18" i="5" a="1"/>
  <c r="BL18" i="5" s="1"/>
  <c r="BK18" i="5" a="1"/>
  <c r="BK18" i="5"/>
  <c r="BJ18" i="5" a="1"/>
  <c r="BJ18" i="5" s="1"/>
  <c r="BI18" i="5" a="1"/>
  <c r="BI18" i="5" s="1"/>
  <c r="BH18" i="5" a="1"/>
  <c r="BH18" i="5" s="1"/>
  <c r="BG18" i="5" a="1"/>
  <c r="BG18" i="5" s="1"/>
  <c r="BF18" i="5" a="1"/>
  <c r="BF18" i="5" s="1"/>
  <c r="BE18" i="5" a="1"/>
  <c r="BE18" i="5" s="1"/>
  <c r="BD18" i="5" a="1"/>
  <c r="BD18" i="5" s="1"/>
  <c r="BC18" i="5" a="1"/>
  <c r="BC18" i="5"/>
  <c r="BB18" i="5" a="1"/>
  <c r="BB18" i="5" s="1"/>
  <c r="BA18" i="5" a="1"/>
  <c r="BA18" i="5" s="1"/>
  <c r="AZ18" i="5" a="1"/>
  <c r="AZ18" i="5" s="1"/>
  <c r="AY18" i="5" a="1"/>
  <c r="AY18" i="5" s="1"/>
  <c r="AX18" i="5" a="1"/>
  <c r="AX18" i="5" s="1"/>
  <c r="AW18" i="5" a="1"/>
  <c r="AW18" i="5" s="1"/>
  <c r="AV18" i="5" a="1"/>
  <c r="AV18" i="5"/>
  <c r="AU18" i="5" a="1"/>
  <c r="AU18" i="5" s="1"/>
  <c r="AT18" i="5" a="1"/>
  <c r="AT18" i="5" s="1"/>
  <c r="AS18" i="5" a="1"/>
  <c r="AS18" i="5" s="1"/>
  <c r="AR18" i="5" a="1"/>
  <c r="AR18" i="5" s="1"/>
  <c r="AQ18" i="5" a="1"/>
  <c r="AQ18" i="5" s="1"/>
  <c r="AP18" i="5" a="1"/>
  <c r="AP18" i="5" s="1"/>
  <c r="AO18" i="5" a="1"/>
  <c r="AO18" i="5"/>
  <c r="AN18" i="5" a="1"/>
  <c r="AN18" i="5"/>
  <c r="AM18" i="5" a="1"/>
  <c r="AM18" i="5" s="1"/>
  <c r="AL18" i="5" a="1"/>
  <c r="AL18" i="5" s="1"/>
  <c r="AK18" i="5" a="1"/>
  <c r="AK18" i="5"/>
  <c r="AJ18" i="5" a="1"/>
  <c r="AJ18" i="5" s="1"/>
  <c r="AI18" i="5" a="1"/>
  <c r="AI18" i="5" s="1"/>
  <c r="AH18" i="5" a="1"/>
  <c r="AH18" i="5" s="1"/>
  <c r="AG18" i="5" a="1"/>
  <c r="AG18" i="5"/>
  <c r="AF18" i="5" a="1"/>
  <c r="AF18" i="5" s="1"/>
  <c r="AE18" i="5" a="1"/>
  <c r="AE18" i="5" s="1"/>
  <c r="AD18" i="5" a="1"/>
  <c r="AD18" i="5" s="1"/>
  <c r="AC18" i="5" a="1"/>
  <c r="AC18" i="5"/>
  <c r="AB18" i="5" a="1"/>
  <c r="AB18" i="5" s="1"/>
  <c r="AA18" i="5" a="1"/>
  <c r="AA18" i="5" s="1"/>
  <c r="Z18" i="5" a="1"/>
  <c r="Z18" i="5" s="1"/>
  <c r="Y18" i="5" a="1"/>
  <c r="Y18" i="5" s="1"/>
  <c r="X18" i="5" a="1"/>
  <c r="X18" i="5" s="1"/>
  <c r="W18" i="5" a="1"/>
  <c r="W18" i="5" s="1"/>
  <c r="V18" i="5" a="1"/>
  <c r="V18" i="5" s="1"/>
  <c r="U18" i="5" a="1"/>
  <c r="U18" i="5" s="1"/>
  <c r="T18" i="5" a="1"/>
  <c r="T18" i="5" s="1"/>
  <c r="S18" i="5" a="1"/>
  <c r="S18" i="5"/>
  <c r="R18" i="5" a="1"/>
  <c r="R18" i="5" s="1"/>
  <c r="Q18" i="5" a="1"/>
  <c r="Q18" i="5" s="1"/>
  <c r="P18" i="5" a="1"/>
  <c r="P18" i="5" s="1"/>
  <c r="O18" i="5" a="1"/>
  <c r="O18" i="5"/>
  <c r="N18" i="5" a="1"/>
  <c r="N18" i="5" s="1"/>
  <c r="M18" i="5" a="1"/>
  <c r="M18" i="5" s="1"/>
  <c r="L18" i="5" a="1"/>
  <c r="L18" i="5" s="1"/>
  <c r="K18" i="5" a="1"/>
  <c r="K18" i="5"/>
  <c r="J18" i="5" a="1"/>
  <c r="J18" i="5" s="1"/>
  <c r="I18" i="5" a="1"/>
  <c r="I18" i="5" s="1"/>
  <c r="H18" i="5" a="1"/>
  <c r="H18" i="5" s="1"/>
  <c r="G18" i="5" a="1"/>
  <c r="G18" i="5"/>
  <c r="F18" i="5" a="1"/>
  <c r="F18" i="5" s="1"/>
  <c r="E18" i="5" a="1"/>
  <c r="E18" i="5" s="1"/>
  <c r="D18" i="5" a="1"/>
  <c r="D18" i="5"/>
  <c r="C18" i="5" a="1"/>
  <c r="C18" i="5" s="1"/>
  <c r="EF17" i="5" a="1"/>
  <c r="EF17" i="5" s="1"/>
  <c r="EE17" i="5" a="1"/>
  <c r="EE17" i="5" s="1"/>
  <c r="ED17" i="5" a="1"/>
  <c r="ED17" i="5"/>
  <c r="EC17" i="5" a="1"/>
  <c r="EC17" i="5" s="1"/>
  <c r="EB17" i="5" a="1"/>
  <c r="EB17" i="5" s="1"/>
  <c r="EA17" i="5" a="1"/>
  <c r="EA17" i="5"/>
  <c r="DZ17" i="5" a="1"/>
  <c r="DZ17" i="5"/>
  <c r="DY17" i="5" a="1"/>
  <c r="DY17" i="5" s="1"/>
  <c r="DX17" i="5" a="1"/>
  <c r="DX17" i="5" s="1"/>
  <c r="DW17" i="5" a="1"/>
  <c r="DW17" i="5"/>
  <c r="DV17" i="5" a="1"/>
  <c r="DV17" i="5" s="1"/>
  <c r="DU17" i="5" a="1"/>
  <c r="DU17" i="5" s="1"/>
  <c r="DT17" i="5" a="1"/>
  <c r="DT17" i="5" s="1"/>
  <c r="DS17" i="5" a="1"/>
  <c r="DS17" i="5" s="1"/>
  <c r="DR17" i="5" a="1"/>
  <c r="DR17" i="5" s="1"/>
  <c r="DQ17" i="5" a="1"/>
  <c r="DQ17" i="5" s="1"/>
  <c r="DP17" i="5" a="1"/>
  <c r="DP17" i="5"/>
  <c r="DO17" i="5" a="1"/>
  <c r="DO17" i="5"/>
  <c r="DN17" i="5" a="1"/>
  <c r="DN17" i="5" s="1"/>
  <c r="DM17" i="5" a="1"/>
  <c r="DM17" i="5" s="1"/>
  <c r="DL17" i="5" a="1"/>
  <c r="DL17" i="5"/>
  <c r="DK17" i="5" a="1"/>
  <c r="DK17" i="5" s="1"/>
  <c r="DJ17" i="5" a="1"/>
  <c r="DJ17" i="5" s="1"/>
  <c r="DI17" i="5" a="1"/>
  <c r="DI17" i="5" s="1"/>
  <c r="DH17" i="5" a="1"/>
  <c r="DH17" i="5"/>
  <c r="DG17" i="5" a="1"/>
  <c r="DG17" i="5" s="1"/>
  <c r="DF17" i="5" a="1"/>
  <c r="DF17" i="5" s="1"/>
  <c r="DE17" i="5" a="1"/>
  <c r="DE17" i="5" s="1"/>
  <c r="DD17" i="5" a="1"/>
  <c r="DD17" i="5"/>
  <c r="DC17" i="5" a="1"/>
  <c r="DC17" i="5" s="1"/>
  <c r="DB17" i="5" a="1"/>
  <c r="DB17" i="5" s="1"/>
  <c r="DA17" i="5" a="1"/>
  <c r="DA17" i="5" s="1"/>
  <c r="CZ17" i="5" a="1"/>
  <c r="CZ17" i="5" s="1"/>
  <c r="CY17" i="5" a="1"/>
  <c r="CY17" i="5" s="1"/>
  <c r="CX17" i="5" a="1"/>
  <c r="CX17" i="5" s="1"/>
  <c r="CW17" i="5" a="1"/>
  <c r="CW17" i="5" s="1"/>
  <c r="CV17" i="5" a="1"/>
  <c r="CV17" i="5" s="1"/>
  <c r="CU17" i="5" a="1"/>
  <c r="CU17" i="5" s="1"/>
  <c r="CT17" i="5" a="1"/>
  <c r="CT17" i="5"/>
  <c r="CS17" i="5" a="1"/>
  <c r="CS17" i="5" s="1"/>
  <c r="CR17" i="5" a="1"/>
  <c r="CR17" i="5" s="1"/>
  <c r="CQ17" i="5" a="1"/>
  <c r="CQ17" i="5" s="1"/>
  <c r="CP17" i="5" a="1"/>
  <c r="CP17" i="5"/>
  <c r="CO17" i="5" a="1"/>
  <c r="CO17" i="5" s="1"/>
  <c r="CN17" i="5" a="1"/>
  <c r="CN17" i="5" s="1"/>
  <c r="CM17" i="5" a="1"/>
  <c r="CM17" i="5" s="1"/>
  <c r="CL17" i="5" a="1"/>
  <c r="CL17" i="5"/>
  <c r="CK17" i="5" a="1"/>
  <c r="CK17" i="5" s="1"/>
  <c r="CJ17" i="5" a="1"/>
  <c r="CJ17" i="5" s="1"/>
  <c r="CI17" i="5" a="1"/>
  <c r="CI17" i="5" s="1"/>
  <c r="CH17" i="5" a="1"/>
  <c r="CH17" i="5" s="1"/>
  <c r="CG17" i="5" a="1"/>
  <c r="CG17" i="5" s="1"/>
  <c r="CF17" i="5" a="1"/>
  <c r="CF17" i="5"/>
  <c r="CE17" i="5" a="1"/>
  <c r="CE17" i="5" s="1"/>
  <c r="CD17" i="5" a="1"/>
  <c r="CD17" i="5" s="1"/>
  <c r="CC17" i="5" a="1"/>
  <c r="CC17" i="5" s="1"/>
  <c r="CB17" i="5" a="1"/>
  <c r="CB17" i="5" s="1"/>
  <c r="CA17" i="5" a="1"/>
  <c r="CA17" i="5" s="1"/>
  <c r="BZ17" i="5" a="1"/>
  <c r="BZ17" i="5" s="1"/>
  <c r="BY17" i="5" a="1"/>
  <c r="BY17" i="5" s="1"/>
  <c r="BX17" i="5" a="1"/>
  <c r="BX17" i="5" s="1"/>
  <c r="BW17" i="5" a="1"/>
  <c r="BW17" i="5"/>
  <c r="BV17" i="5" a="1"/>
  <c r="BV17" i="5" s="1"/>
  <c r="BU17" i="5" a="1"/>
  <c r="BU17" i="5" s="1"/>
  <c r="BT17" i="5" a="1"/>
  <c r="BT17" i="5" s="1"/>
  <c r="BS17" i="5" a="1"/>
  <c r="BS17" i="5" s="1"/>
  <c r="BR17" i="5" a="1"/>
  <c r="BR17" i="5" s="1"/>
  <c r="BQ17" i="5" a="1"/>
  <c r="BQ17" i="5" s="1"/>
  <c r="BP17" i="5" a="1"/>
  <c r="BP17" i="5" s="1"/>
  <c r="BO17" i="5" a="1"/>
  <c r="BO17" i="5" s="1"/>
  <c r="BN17" i="5" a="1"/>
  <c r="BN17" i="5" s="1"/>
  <c r="BM17" i="5" a="1"/>
  <c r="BM17" i="5" s="1"/>
  <c r="BL17" i="5" a="1"/>
  <c r="BL17" i="5" s="1"/>
  <c r="BK17" i="5" a="1"/>
  <c r="BK17" i="5" s="1"/>
  <c r="BJ17" i="5" a="1"/>
  <c r="BJ17" i="5" s="1"/>
  <c r="BI17" i="5" a="1"/>
  <c r="BI17" i="5" s="1"/>
  <c r="BH17" i="5" a="1"/>
  <c r="BH17" i="5" s="1"/>
  <c r="BG17" i="5" a="1"/>
  <c r="BG17" i="5" s="1"/>
  <c r="BF17" i="5" a="1"/>
  <c r="BF17" i="5" s="1"/>
  <c r="BE17" i="5" a="1"/>
  <c r="BE17" i="5" s="1"/>
  <c r="BD17" i="5" a="1"/>
  <c r="BD17" i="5" s="1"/>
  <c r="BC17" i="5" a="1"/>
  <c r="BC17" i="5" s="1"/>
  <c r="BB17" i="5" a="1"/>
  <c r="BB17" i="5" s="1"/>
  <c r="BA17" i="5" a="1"/>
  <c r="BA17" i="5" s="1"/>
  <c r="AZ17" i="5" a="1"/>
  <c r="AZ17" i="5" s="1"/>
  <c r="AY17" i="5" a="1"/>
  <c r="AY17" i="5" s="1"/>
  <c r="AX17" i="5" a="1"/>
  <c r="AX17" i="5" s="1"/>
  <c r="AW17" i="5" a="1"/>
  <c r="AW17" i="5" s="1"/>
  <c r="AV17" i="5" a="1"/>
  <c r="AV17" i="5" s="1"/>
  <c r="AU17" i="5" a="1"/>
  <c r="AU17" i="5" s="1"/>
  <c r="AT17" i="5" a="1"/>
  <c r="AT17" i="5" s="1"/>
  <c r="AS17" i="5" a="1"/>
  <c r="AS17" i="5" s="1"/>
  <c r="AR17" i="5" a="1"/>
  <c r="AR17" i="5" s="1"/>
  <c r="AQ17" i="5" a="1"/>
  <c r="AQ17" i="5" s="1"/>
  <c r="AP17" i="5" a="1"/>
  <c r="AP17" i="5" s="1"/>
  <c r="AO17" i="5" a="1"/>
  <c r="AO17" i="5" s="1"/>
  <c r="AN17" i="5" a="1"/>
  <c r="AN17" i="5" s="1"/>
  <c r="AM17" i="5" a="1"/>
  <c r="AM17" i="5" s="1"/>
  <c r="AL17" i="5" a="1"/>
  <c r="AL17" i="5" s="1"/>
  <c r="AK17" i="5" a="1"/>
  <c r="AK17" i="5" s="1"/>
  <c r="AJ17" i="5" a="1"/>
  <c r="AJ17" i="5" s="1"/>
  <c r="AI17" i="5" a="1"/>
  <c r="AI17" i="5"/>
  <c r="AH17" i="5" a="1"/>
  <c r="AH17" i="5" s="1"/>
  <c r="AG17" i="5" a="1"/>
  <c r="AG17" i="5" s="1"/>
  <c r="AF17" i="5" a="1"/>
  <c r="AF17" i="5" s="1"/>
  <c r="AE17" i="5" a="1"/>
  <c r="AE17" i="5"/>
  <c r="AD17" i="5" a="1"/>
  <c r="AD17" i="5" s="1"/>
  <c r="AC17" i="5" a="1"/>
  <c r="AC17" i="5"/>
  <c r="AB17" i="5" a="1"/>
  <c r="AB17" i="5"/>
  <c r="AA17" i="5" a="1"/>
  <c r="AA17" i="5" s="1"/>
  <c r="Z17" i="5" a="1"/>
  <c r="Z17" i="5" s="1"/>
  <c r="Y17" i="5" a="1"/>
  <c r="Y17" i="5" s="1"/>
  <c r="X17" i="5" a="1"/>
  <c r="X17" i="5" s="1"/>
  <c r="W17" i="5" a="1"/>
  <c r="W17" i="5" s="1"/>
  <c r="V17" i="5" a="1"/>
  <c r="V17" i="5" s="1"/>
  <c r="U17" i="5" a="1"/>
  <c r="U17" i="5" s="1"/>
  <c r="T17" i="5" a="1"/>
  <c r="T17" i="5" s="1"/>
  <c r="S17" i="5" a="1"/>
  <c r="S17" i="5" s="1"/>
  <c r="R17" i="5" a="1"/>
  <c r="R17" i="5" s="1"/>
  <c r="Q17" i="5" a="1"/>
  <c r="Q17" i="5"/>
  <c r="P17" i="5" a="1"/>
  <c r="P17" i="5" s="1"/>
  <c r="O17" i="5" a="1"/>
  <c r="O17" i="5" s="1"/>
  <c r="N17" i="5" a="1"/>
  <c r="N17" i="5" s="1"/>
  <c r="M17" i="5" a="1"/>
  <c r="M17" i="5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D17" i="5" a="1"/>
  <c r="D17" i="5" s="1"/>
  <c r="C17" i="5" a="1"/>
  <c r="C17" i="5" s="1"/>
  <c r="EF16" i="5" a="1"/>
  <c r="EF16" i="5" s="1"/>
  <c r="EE16" i="5" a="1"/>
  <c r="EE16" i="5" s="1"/>
  <c r="ED16" i="5" a="1"/>
  <c r="ED16" i="5" s="1"/>
  <c r="EC16" i="5" a="1"/>
  <c r="EC16" i="5" s="1"/>
  <c r="EB16" i="5" a="1"/>
  <c r="EB16" i="5" s="1"/>
  <c r="EA16" i="5" a="1"/>
  <c r="EA16" i="5" s="1"/>
  <c r="DZ16" i="5" a="1"/>
  <c r="DZ16" i="5" s="1"/>
  <c r="DY16" i="5" a="1"/>
  <c r="DY16" i="5"/>
  <c r="DX16" i="5" a="1"/>
  <c r="DX16" i="5" s="1"/>
  <c r="DW16" i="5" a="1"/>
  <c r="DW16" i="5"/>
  <c r="DV16" i="5" a="1"/>
  <c r="DV16" i="5" s="1"/>
  <c r="DU16" i="5" a="1"/>
  <c r="DU16" i="5" s="1"/>
  <c r="DT16" i="5" a="1"/>
  <c r="DT16" i="5" s="1"/>
  <c r="DS16" i="5" a="1"/>
  <c r="DS16" i="5" s="1"/>
  <c r="DR16" i="5" a="1"/>
  <c r="DR16" i="5" s="1"/>
  <c r="DQ16" i="5" a="1"/>
  <c r="DQ16" i="5" s="1"/>
  <c r="DP16" i="5" a="1"/>
  <c r="DP16" i="5" s="1"/>
  <c r="DO16" i="5" a="1"/>
  <c r="DO16" i="5" s="1"/>
  <c r="DN16" i="5" a="1"/>
  <c r="DN16" i="5"/>
  <c r="DM16" i="5" a="1"/>
  <c r="DM16" i="5" s="1"/>
  <c r="DL16" i="5" a="1"/>
  <c r="DL16" i="5" s="1"/>
  <c r="DK16" i="5" a="1"/>
  <c r="DK16" i="5" s="1"/>
  <c r="DJ16" i="5" a="1"/>
  <c r="DJ16" i="5" s="1"/>
  <c r="DI16" i="5" a="1"/>
  <c r="DI16" i="5" s="1"/>
  <c r="DH16" i="5" a="1"/>
  <c r="DH16" i="5" s="1"/>
  <c r="DG16" i="5" a="1"/>
  <c r="DG16" i="5" s="1"/>
  <c r="DF16" i="5" a="1"/>
  <c r="DF16" i="5" s="1"/>
  <c r="DE16" i="5" a="1"/>
  <c r="DE16" i="5" s="1"/>
  <c r="DD16" i="5" a="1"/>
  <c r="DD16" i="5"/>
  <c r="DC16" i="5" a="1"/>
  <c r="DC16" i="5" s="1"/>
  <c r="DB16" i="5" a="1"/>
  <c r="DB16" i="5" s="1"/>
  <c r="DA16" i="5" a="1"/>
  <c r="DA16" i="5" s="1"/>
  <c r="CZ16" i="5" a="1"/>
  <c r="CZ16" i="5"/>
  <c r="CY16" i="5" a="1"/>
  <c r="CY16" i="5" s="1"/>
  <c r="CX16" i="5" a="1"/>
  <c r="CX16" i="5" s="1"/>
  <c r="CW16" i="5" a="1"/>
  <c r="CW16" i="5" s="1"/>
  <c r="CV16" i="5" a="1"/>
  <c r="CV16" i="5" s="1"/>
  <c r="CU16" i="5" a="1"/>
  <c r="CU16" i="5" s="1"/>
  <c r="CT16" i="5" a="1"/>
  <c r="CT16" i="5" s="1"/>
  <c r="CS16" i="5" a="1"/>
  <c r="CS16" i="5"/>
  <c r="CR16" i="5" a="1"/>
  <c r="CR16" i="5" s="1"/>
  <c r="CQ16" i="5" a="1"/>
  <c r="CQ16" i="5" s="1"/>
  <c r="CP16" i="5" a="1"/>
  <c r="CP16" i="5" s="1"/>
  <c r="CO16" i="5" a="1"/>
  <c r="CO16" i="5" s="1"/>
  <c r="CN16" i="5" a="1"/>
  <c r="CN16" i="5" s="1"/>
  <c r="CM16" i="5" a="1"/>
  <c r="CM16" i="5" s="1"/>
  <c r="CL16" i="5" a="1"/>
  <c r="CL16" i="5" s="1"/>
  <c r="CK16" i="5" a="1"/>
  <c r="CK16" i="5" s="1"/>
  <c r="CJ16" i="5" a="1"/>
  <c r="CJ16" i="5"/>
  <c r="CI16" i="5" a="1"/>
  <c r="CI16" i="5" s="1"/>
  <c r="CH16" i="5" a="1"/>
  <c r="CH16" i="5" s="1"/>
  <c r="CG16" i="5" a="1"/>
  <c r="CG16" i="5" s="1"/>
  <c r="CF16" i="5" a="1"/>
  <c r="CF16" i="5" s="1"/>
  <c r="CE16" i="5" a="1"/>
  <c r="CE16" i="5" s="1"/>
  <c r="CD16" i="5" a="1"/>
  <c r="CD16" i="5" s="1"/>
  <c r="CC16" i="5" a="1"/>
  <c r="CC16" i="5" s="1"/>
  <c r="CB16" i="5" a="1"/>
  <c r="CB16" i="5" s="1"/>
  <c r="CA16" i="5" a="1"/>
  <c r="CA16" i="5" s="1"/>
  <c r="BZ16" i="5" a="1"/>
  <c r="BZ16" i="5" s="1"/>
  <c r="BY16" i="5" a="1"/>
  <c r="BY16" i="5" s="1"/>
  <c r="BX16" i="5" a="1"/>
  <c r="BX16" i="5" s="1"/>
  <c r="BW16" i="5" a="1"/>
  <c r="BW16" i="5" s="1"/>
  <c r="BV16" i="5" a="1"/>
  <c r="BV16" i="5"/>
  <c r="BU16" i="5" a="1"/>
  <c r="BU16" i="5" s="1"/>
  <c r="BT16" i="5" a="1"/>
  <c r="BT16" i="5" s="1"/>
  <c r="BS16" i="5" a="1"/>
  <c r="BS16" i="5" s="1"/>
  <c r="BR16" i="5" a="1"/>
  <c r="BR16" i="5" s="1"/>
  <c r="BQ16" i="5" a="1"/>
  <c r="BQ16" i="5" s="1"/>
  <c r="BP16" i="5" a="1"/>
  <c r="BP16" i="5" s="1"/>
  <c r="BO16" i="5" a="1"/>
  <c r="BO16" i="5" s="1"/>
  <c r="BN16" i="5" a="1"/>
  <c r="BN16" i="5" s="1"/>
  <c r="BM16" i="5" a="1"/>
  <c r="BM16" i="5" s="1"/>
  <c r="BL16" i="5" a="1"/>
  <c r="BL16" i="5" s="1"/>
  <c r="BK16" i="5" a="1"/>
  <c r="BK16" i="5"/>
  <c r="BJ16" i="5" a="1"/>
  <c r="BJ16" i="5" s="1"/>
  <c r="BI16" i="5" a="1"/>
  <c r="BI16" i="5" s="1"/>
  <c r="BH16" i="5" a="1"/>
  <c r="BH16" i="5"/>
  <c r="BG16" i="5" a="1"/>
  <c r="BG16" i="5" s="1"/>
  <c r="BF16" i="5" a="1"/>
  <c r="BF16" i="5" s="1"/>
  <c r="BE16" i="5" a="1"/>
  <c r="BE16" i="5" s="1"/>
  <c r="BD16" i="5" a="1"/>
  <c r="BD16" i="5" s="1"/>
  <c r="BC16" i="5" a="1"/>
  <c r="BC16" i="5"/>
  <c r="BB16" i="5" a="1"/>
  <c r="BB16" i="5" s="1"/>
  <c r="BA16" i="5" a="1"/>
  <c r="BA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 a="1"/>
  <c r="AQ16" i="5" s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/>
  <c r="AJ16" i="5" a="1"/>
  <c r="AJ16" i="5" s="1"/>
  <c r="AI16" i="5" a="1"/>
  <c r="AI16" i="5" s="1"/>
  <c r="AH16" i="5" a="1"/>
  <c r="AH16" i="5" s="1"/>
  <c r="AG16" i="5" a="1"/>
  <c r="AG16" i="5"/>
  <c r="AF16" i="5" a="1"/>
  <c r="AF16" i="5" s="1"/>
  <c r="AE16" i="5" a="1"/>
  <c r="AE16" i="5" s="1"/>
  <c r="AD16" i="5" a="1"/>
  <c r="AD16" i="5"/>
  <c r="AC16" i="5" a="1"/>
  <c r="AC16" i="5" s="1"/>
  <c r="AB16" i="5" a="1"/>
  <c r="AB16" i="5" s="1"/>
  <c r="AA16" i="5" a="1"/>
  <c r="AA16" i="5"/>
  <c r="Z16" i="5" a="1"/>
  <c r="Z16" i="5" s="1"/>
  <c r="Y16" i="5" a="1"/>
  <c r="Y16" i="5" s="1"/>
  <c r="X16" i="5" a="1"/>
  <c r="X16" i="5" s="1"/>
  <c r="W16" i="5" a="1"/>
  <c r="W16" i="5" s="1"/>
  <c r="V16" i="5" a="1"/>
  <c r="V16" i="5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/>
  <c r="N16" i="5" a="1"/>
  <c r="N16" i="5" s="1"/>
  <c r="M16" i="5" a="1"/>
  <c r="M16" i="5" s="1"/>
  <c r="L16" i="5" a="1"/>
  <c r="L16" i="5" s="1"/>
  <c r="K16" i="5" a="1"/>
  <c r="K16" i="5"/>
  <c r="J16" i="5" a="1"/>
  <c r="J16" i="5" s="1"/>
  <c r="I16" i="5" a="1"/>
  <c r="I16" i="5" s="1"/>
  <c r="H16" i="5" a="1"/>
  <c r="H16" i="5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EF15" i="5" a="1"/>
  <c r="EF15" i="5" s="1"/>
  <c r="EE15" i="5" a="1"/>
  <c r="EE15" i="5" s="1"/>
  <c r="ED15" i="5" a="1"/>
  <c r="ED15" i="5"/>
  <c r="EC15" i="5" a="1"/>
  <c r="EC15" i="5" s="1"/>
  <c r="EB15" i="5" a="1"/>
  <c r="EB15" i="5" s="1"/>
  <c r="EA15" i="5" a="1"/>
  <c r="EA15" i="5"/>
  <c r="DZ15" i="5" a="1"/>
  <c r="DZ15" i="5" s="1"/>
  <c r="DY15" i="5" a="1"/>
  <c r="DY15" i="5" s="1"/>
  <c r="DX15" i="5" a="1"/>
  <c r="DX15" i="5" s="1"/>
  <c r="DW15" i="5" a="1"/>
  <c r="DW15" i="5" s="1"/>
  <c r="DV15" i="5" a="1"/>
  <c r="DV15" i="5" s="1"/>
  <c r="DU15" i="5" a="1"/>
  <c r="DU15" i="5" s="1"/>
  <c r="DT15" i="5" a="1"/>
  <c r="DT15" i="5" s="1"/>
  <c r="DS15" i="5" a="1"/>
  <c r="DS15" i="5"/>
  <c r="DR15" i="5" a="1"/>
  <c r="DR15" i="5" s="1"/>
  <c r="DQ15" i="5" a="1"/>
  <c r="DQ15" i="5" s="1"/>
  <c r="DP15" i="5" a="1"/>
  <c r="DP15" i="5" s="1"/>
  <c r="DO15" i="5" a="1"/>
  <c r="DO15" i="5" s="1"/>
  <c r="DN15" i="5" a="1"/>
  <c r="DN15" i="5" s="1"/>
  <c r="DM15" i="5" a="1"/>
  <c r="DM15" i="5"/>
  <c r="DL15" i="5" a="1"/>
  <c r="DL15" i="5" s="1"/>
  <c r="DK15" i="5" a="1"/>
  <c r="DK15" i="5" s="1"/>
  <c r="DJ15" i="5" a="1"/>
  <c r="DJ15" i="5" s="1"/>
  <c r="DI15" i="5" a="1"/>
  <c r="DI15" i="5" s="1"/>
  <c r="DH15" i="5" a="1"/>
  <c r="DH15" i="5" s="1"/>
  <c r="DG15" i="5" a="1"/>
  <c r="DG15" i="5"/>
  <c r="DF15" i="5" a="1"/>
  <c r="DF15" i="5"/>
  <c r="DE15" i="5" a="1"/>
  <c r="DE15" i="5"/>
  <c r="DD15" i="5" a="1"/>
  <c r="DD15" i="5" s="1"/>
  <c r="DC15" i="5" a="1"/>
  <c r="DC15" i="5" s="1"/>
  <c r="DB15" i="5" a="1"/>
  <c r="DB15" i="5" s="1"/>
  <c r="DA15" i="5" a="1"/>
  <c r="DA15" i="5" s="1"/>
  <c r="CZ15" i="5" a="1"/>
  <c r="CZ15" i="5" s="1"/>
  <c r="CY15" i="5" a="1"/>
  <c r="CY15" i="5" s="1"/>
  <c r="CX15" i="5" a="1"/>
  <c r="CX15" i="5" s="1"/>
  <c r="CW15" i="5" a="1"/>
  <c r="CW15" i="5"/>
  <c r="CV15" i="5" a="1"/>
  <c r="CV15" i="5"/>
  <c r="CU15" i="5" a="1"/>
  <c r="CU15" i="5" s="1"/>
  <c r="CT15" i="5" a="1"/>
  <c r="CT15" i="5" s="1"/>
  <c r="CS15" i="5" a="1"/>
  <c r="CS15" i="5" s="1"/>
  <c r="CR15" i="5" a="1"/>
  <c r="CR15" i="5" s="1"/>
  <c r="CQ15" i="5" a="1"/>
  <c r="CQ15" i="5"/>
  <c r="CP15" i="5" a="1"/>
  <c r="CP15" i="5"/>
  <c r="CO15" i="5" a="1"/>
  <c r="CO15" i="5" s="1"/>
  <c r="CN15" i="5" a="1"/>
  <c r="CN15" i="5" s="1"/>
  <c r="CM15" i="5" a="1"/>
  <c r="CM15" i="5" s="1"/>
  <c r="CL15" i="5" a="1"/>
  <c r="CL15" i="5" s="1"/>
  <c r="CK15" i="5" a="1"/>
  <c r="CK15" i="5" s="1"/>
  <c r="CJ15" i="5" a="1"/>
  <c r="CJ15" i="5" s="1"/>
  <c r="CI15" i="5" a="1"/>
  <c r="CI15" i="5" s="1"/>
  <c r="CH15" i="5" a="1"/>
  <c r="CH15" i="5"/>
  <c r="CG15" i="5" a="1"/>
  <c r="CG15" i="5" s="1"/>
  <c r="CF15" i="5" a="1"/>
  <c r="CF15" i="5" s="1"/>
  <c r="CE15" i="5" a="1"/>
  <c r="CE15" i="5" s="1"/>
  <c r="CD15" i="5" a="1"/>
  <c r="CD15" i="5" s="1"/>
  <c r="CC15" i="5" a="1"/>
  <c r="CC15" i="5" s="1"/>
  <c r="CB15" i="5" a="1"/>
  <c r="CB15" i="5" s="1"/>
  <c r="CA15" i="5" a="1"/>
  <c r="CA15" i="5"/>
  <c r="BZ15" i="5" a="1"/>
  <c r="BZ15" i="5" s="1"/>
  <c r="BY15" i="5" a="1"/>
  <c r="BY15" i="5" s="1"/>
  <c r="BX15" i="5" a="1"/>
  <c r="BX15" i="5" s="1"/>
  <c r="BW15" i="5" a="1"/>
  <c r="BW15" i="5"/>
  <c r="BV15" i="5" a="1"/>
  <c r="BV15" i="5"/>
  <c r="BU15" i="5" a="1"/>
  <c r="BU15" i="5" s="1"/>
  <c r="BT15" i="5" a="1"/>
  <c r="BT15" i="5" s="1"/>
  <c r="BS15" i="5" a="1"/>
  <c r="BS15" i="5" s="1"/>
  <c r="BR15" i="5" a="1"/>
  <c r="BR15" i="5" s="1"/>
  <c r="BQ15" i="5" a="1"/>
  <c r="BQ15" i="5" s="1"/>
  <c r="BP15" i="5" a="1"/>
  <c r="BP15" i="5" s="1"/>
  <c r="BO15" i="5" a="1"/>
  <c r="BO15" i="5"/>
  <c r="BN15" i="5" a="1"/>
  <c r="BN15" i="5" s="1"/>
  <c r="BM15" i="5" a="1"/>
  <c r="BM15" i="5"/>
  <c r="BL15" i="5" a="1"/>
  <c r="BL15" i="5" s="1"/>
  <c r="BK15" i="5" a="1"/>
  <c r="BK15" i="5" s="1"/>
  <c r="BJ15" i="5" a="1"/>
  <c r="BJ15" i="5" s="1"/>
  <c r="BI15" i="5" a="1"/>
  <c r="BI15" i="5" s="1"/>
  <c r="BH15" i="5" a="1"/>
  <c r="BH15" i="5" s="1"/>
  <c r="BG15" i="5" a="1"/>
  <c r="BG15" i="5" s="1"/>
  <c r="BF15" i="5" a="1"/>
  <c r="BF15" i="5" s="1"/>
  <c r="BE15" i="5" a="1"/>
  <c r="BE15" i="5"/>
  <c r="BD15" i="5" a="1"/>
  <c r="BD15" i="5" s="1"/>
  <c r="BC15" i="5" a="1"/>
  <c r="BC15" i="5" s="1"/>
  <c r="BB15" i="5" a="1"/>
  <c r="BB15" i="5"/>
  <c r="BA15" i="5" a="1"/>
  <c r="BA15" i="5" s="1"/>
  <c r="AZ15" i="5" a="1"/>
  <c r="AZ15" i="5" s="1"/>
  <c r="AY15" i="5" a="1"/>
  <c r="AY15" i="5"/>
  <c r="AX15" i="5" a="1"/>
  <c r="AX15" i="5" s="1"/>
  <c r="AW15" i="5" a="1"/>
  <c r="AW15" i="5" s="1"/>
  <c r="AV15" i="5" a="1"/>
  <c r="AV15" i="5" s="1"/>
  <c r="AU15" i="5" a="1"/>
  <c r="AU15" i="5" s="1"/>
  <c r="AT15" i="5" a="1"/>
  <c r="AT15" i="5"/>
  <c r="AS15" i="5" a="1"/>
  <c r="AS15" i="5" s="1"/>
  <c r="AR15" i="5" a="1"/>
  <c r="AR15" i="5" s="1"/>
  <c r="AQ15" i="5" a="1"/>
  <c r="AQ15" i="5"/>
  <c r="AP15" i="5" a="1"/>
  <c r="AP15" i="5" s="1"/>
  <c r="AO15" i="5" a="1"/>
  <c r="AO15" i="5" s="1"/>
  <c r="AN15" i="5" a="1"/>
  <c r="AN15" i="5" s="1"/>
  <c r="AM15" i="5" a="1"/>
  <c r="AM15" i="5" s="1"/>
  <c r="AL15" i="5" a="1"/>
  <c r="AL15" i="5" s="1"/>
  <c r="AK15" i="5" a="1"/>
  <c r="AK15" i="5" s="1"/>
  <c r="AJ15" i="5" a="1"/>
  <c r="AJ15" i="5" s="1"/>
  <c r="AI15" i="5" a="1"/>
  <c r="AI15" i="5"/>
  <c r="AH15" i="5" a="1"/>
  <c r="AH15" i="5" s="1"/>
  <c r="AG15" i="5" a="1"/>
  <c r="AG15" i="5" s="1"/>
  <c r="AF15" i="5" a="1"/>
  <c r="AF15" i="5" s="1"/>
  <c r="AE15" i="5" a="1"/>
  <c r="AE15" i="5" s="1"/>
  <c r="AD15" i="5" a="1"/>
  <c r="AD15" i="5" s="1"/>
  <c r="AC15" i="5" a="1"/>
  <c r="AC15" i="5" s="1"/>
  <c r="AB15" i="5" a="1"/>
  <c r="AB15" i="5" s="1"/>
  <c r="AA15" i="5" a="1"/>
  <c r="AA15" i="5" s="1"/>
  <c r="Z15" i="5" a="1"/>
  <c r="Z15" i="5" s="1"/>
  <c r="Y15" i="5" a="1"/>
  <c r="Y15" i="5" s="1"/>
  <c r="X15" i="5" a="1"/>
  <c r="X15" i="5"/>
  <c r="W15" i="5" a="1"/>
  <c r="W15" i="5"/>
  <c r="V15" i="5" a="1"/>
  <c r="V15" i="5" s="1"/>
  <c r="U15" i="5" a="1"/>
  <c r="U15" i="5"/>
  <c r="T15" i="5" a="1"/>
  <c r="T15" i="5" s="1"/>
  <c r="S15" i="5" a="1"/>
  <c r="S15" i="5" s="1"/>
  <c r="R15" i="5" a="1"/>
  <c r="R15" i="5" s="1"/>
  <c r="Q15" i="5" a="1"/>
  <c r="Q15" i="5" s="1"/>
  <c r="P15" i="5" a="1"/>
  <c r="P15" i="5" s="1"/>
  <c r="O15" i="5" a="1"/>
  <c r="O15" i="5" s="1"/>
  <c r="N15" i="5" a="1"/>
  <c r="N15" i="5"/>
  <c r="M15" i="5" a="1"/>
  <c r="M15" i="5" s="1"/>
  <c r="L15" i="5" a="1"/>
  <c r="L15" i="5" s="1"/>
  <c r="K15" i="5" a="1"/>
  <c r="K15" i="5"/>
  <c r="J15" i="5" a="1"/>
  <c r="J15" i="5"/>
  <c r="I15" i="5" a="1"/>
  <c r="I15" i="5" s="1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/>
  <c r="EF14" i="5" a="1"/>
  <c r="EF14" i="5"/>
  <c r="EE14" i="5" a="1"/>
  <c r="EE14" i="5"/>
  <c r="ED14" i="5" a="1"/>
  <c r="ED14" i="5"/>
  <c r="EC14" i="5" a="1"/>
  <c r="EC14" i="5" s="1"/>
  <c r="EB14" i="5" a="1"/>
  <c r="EB14" i="5" s="1"/>
  <c r="EA14" i="5" a="1"/>
  <c r="EA14" i="5" s="1"/>
  <c r="DZ14" i="5" a="1"/>
  <c r="DZ14" i="5"/>
  <c r="DY14" i="5" a="1"/>
  <c r="DY14" i="5" s="1"/>
  <c r="DX14" i="5" a="1"/>
  <c r="DX14" i="5" s="1"/>
  <c r="DW14" i="5" a="1"/>
  <c r="DW14" i="5" s="1"/>
  <c r="DV14" i="5" a="1"/>
  <c r="DV14" i="5"/>
  <c r="DU14" i="5" a="1"/>
  <c r="DU14" i="5" s="1"/>
  <c r="DT14" i="5" a="1"/>
  <c r="DT14" i="5" s="1"/>
  <c r="DS14" i="5" a="1"/>
  <c r="DS14" i="5" s="1"/>
  <c r="DR14" i="5" a="1"/>
  <c r="DR14" i="5"/>
  <c r="DQ14" i="5" a="1"/>
  <c r="DQ14" i="5" s="1"/>
  <c r="DP14" i="5" a="1"/>
  <c r="DP14" i="5" s="1"/>
  <c r="DO14" i="5" a="1"/>
  <c r="DO14" i="5" s="1"/>
  <c r="DN14" i="5" a="1"/>
  <c r="DN14" i="5" s="1"/>
  <c r="DM14" i="5" a="1"/>
  <c r="DM14" i="5" s="1"/>
  <c r="DL14" i="5" a="1"/>
  <c r="DL14" i="5" s="1"/>
  <c r="DK14" i="5" a="1"/>
  <c r="DK14" i="5" s="1"/>
  <c r="DJ14" i="5" a="1"/>
  <c r="DJ14" i="5"/>
  <c r="DI14" i="5" a="1"/>
  <c r="DI14" i="5" s="1"/>
  <c r="DH14" i="5" a="1"/>
  <c r="DH14" i="5" s="1"/>
  <c r="DG14" i="5" a="1"/>
  <c r="DG14" i="5"/>
  <c r="DF14" i="5" a="1"/>
  <c r="DF14" i="5" s="1"/>
  <c r="DE14" i="5" a="1"/>
  <c r="DE14" i="5" s="1"/>
  <c r="DD14" i="5" a="1"/>
  <c r="DD14" i="5" s="1"/>
  <c r="DC14" i="5" a="1"/>
  <c r="DC14" i="5" s="1"/>
  <c r="DB14" i="5" a="1"/>
  <c r="DB14" i="5" s="1"/>
  <c r="DA14" i="5" a="1"/>
  <c r="DA14" i="5" s="1"/>
  <c r="CZ14" i="5" a="1"/>
  <c r="CZ14" i="5" s="1"/>
  <c r="CY14" i="5" a="1"/>
  <c r="CY14" i="5"/>
  <c r="CX14" i="5" a="1"/>
  <c r="CX14" i="5"/>
  <c r="CW14" i="5" a="1"/>
  <c r="CW14" i="5" s="1"/>
  <c r="CV14" i="5" a="1"/>
  <c r="CV14" i="5"/>
  <c r="CU14" i="5" a="1"/>
  <c r="CU14" i="5" s="1"/>
  <c r="CT14" i="5" a="1"/>
  <c r="CT14" i="5" s="1"/>
  <c r="CS14" i="5" a="1"/>
  <c r="CS14" i="5" s="1"/>
  <c r="CR14" i="5" a="1"/>
  <c r="CR14" i="5" s="1"/>
  <c r="CQ14" i="5" a="1"/>
  <c r="CQ14" i="5" s="1"/>
  <c r="CP14" i="5" a="1"/>
  <c r="CP14" i="5" s="1"/>
  <c r="CO14" i="5" a="1"/>
  <c r="CO14" i="5" s="1"/>
  <c r="CN14" i="5" a="1"/>
  <c r="CN14" i="5" s="1"/>
  <c r="CM14" i="5" a="1"/>
  <c r="CM14" i="5" s="1"/>
  <c r="CL14" i="5" a="1"/>
  <c r="CL14" i="5" s="1"/>
  <c r="CK14" i="5" a="1"/>
  <c r="CK14" i="5"/>
  <c r="CJ14" i="5" a="1"/>
  <c r="CJ14" i="5" s="1"/>
  <c r="CI14" i="5" a="1"/>
  <c r="CI14" i="5" s="1"/>
  <c r="CH14" i="5" a="1"/>
  <c r="CH14" i="5"/>
  <c r="CG14" i="5" a="1"/>
  <c r="CG14" i="5" s="1"/>
  <c r="CF14" i="5" a="1"/>
  <c r="CF14" i="5" s="1"/>
  <c r="CE14" i="5" a="1"/>
  <c r="CE14" i="5" s="1"/>
  <c r="CD14" i="5" a="1"/>
  <c r="CD14" i="5" s="1"/>
  <c r="CC14" i="5" a="1"/>
  <c r="CC14" i="5"/>
  <c r="CB14" i="5" a="1"/>
  <c r="CB14" i="5"/>
  <c r="CA14" i="5" a="1"/>
  <c r="CA14" i="5"/>
  <c r="BZ14" i="5" a="1"/>
  <c r="BZ14" i="5" s="1"/>
  <c r="BY14" i="5" a="1"/>
  <c r="BY14" i="5" s="1"/>
  <c r="BX14" i="5" a="1"/>
  <c r="BX14" i="5"/>
  <c r="BW14" i="5" a="1"/>
  <c r="BW14" i="5" s="1"/>
  <c r="BV14" i="5" a="1"/>
  <c r="BV14" i="5" s="1"/>
  <c r="BU14" i="5" a="1"/>
  <c r="BU14" i="5" s="1"/>
  <c r="BT14" i="5" a="1"/>
  <c r="BT14" i="5" s="1"/>
  <c r="BS14" i="5" a="1"/>
  <c r="BS14" i="5" s="1"/>
  <c r="BR14" i="5" a="1"/>
  <c r="BR14" i="5" s="1"/>
  <c r="BQ14" i="5" a="1"/>
  <c r="BQ14" i="5" s="1"/>
  <c r="BP14" i="5" a="1"/>
  <c r="BP14" i="5" s="1"/>
  <c r="BO14" i="5" a="1"/>
  <c r="BO14" i="5"/>
  <c r="BN14" i="5" a="1"/>
  <c r="BN14" i="5" s="1"/>
  <c r="BM14" i="5" a="1"/>
  <c r="BM14" i="5"/>
  <c r="BL14" i="5" a="1"/>
  <c r="BL14" i="5"/>
  <c r="BK14" i="5" a="1"/>
  <c r="BK14" i="5" s="1"/>
  <c r="BJ14" i="5" a="1"/>
  <c r="BJ14" i="5" s="1"/>
  <c r="BI14" i="5" a="1"/>
  <c r="BI14" i="5" s="1"/>
  <c r="BH14" i="5" a="1"/>
  <c r="BH14" i="5" s="1"/>
  <c r="BG14" i="5" a="1"/>
  <c r="BG14" i="5"/>
  <c r="BF14" i="5" a="1"/>
  <c r="BF14" i="5"/>
  <c r="BE14" i="5" a="1"/>
  <c r="BE14" i="5" s="1"/>
  <c r="BD14" i="5" a="1"/>
  <c r="BD14" i="5" s="1"/>
  <c r="BC14" i="5" a="1"/>
  <c r="BC14" i="5" s="1"/>
  <c r="BB14" i="5" a="1"/>
  <c r="BB14" i="5" s="1"/>
  <c r="BA14" i="5" a="1"/>
  <c r="BA14" i="5"/>
  <c r="AZ14" i="5" a="1"/>
  <c r="AZ14" i="5" s="1"/>
  <c r="AY14" i="5" a="1"/>
  <c r="AY14" i="5" s="1"/>
  <c r="AX14" i="5" a="1"/>
  <c r="AX14" i="5" s="1"/>
  <c r="AW14" i="5" a="1"/>
  <c r="AW14" i="5" s="1"/>
  <c r="AV14" i="5" a="1"/>
  <c r="AV14" i="5" s="1"/>
  <c r="AU14" i="5" a="1"/>
  <c r="AU14" i="5" s="1"/>
  <c r="AT14" i="5" a="1"/>
  <c r="AT14" i="5"/>
  <c r="AS14" i="5" a="1"/>
  <c r="AS14" i="5" s="1"/>
  <c r="AR14" i="5" a="1"/>
  <c r="AR14" i="5" s="1"/>
  <c r="AQ14" i="5" a="1"/>
  <c r="AQ14" i="5"/>
  <c r="AP14" i="5" a="1"/>
  <c r="AP14" i="5" s="1"/>
  <c r="AO14" i="5" a="1"/>
  <c r="AO14" i="5" s="1"/>
  <c r="AN14" i="5" a="1"/>
  <c r="AN14" i="5" s="1"/>
  <c r="AM14" i="5" a="1"/>
  <c r="AM14" i="5" s="1"/>
  <c r="AL14" i="5" a="1"/>
  <c r="AL14" i="5" s="1"/>
  <c r="AK14" i="5" a="1"/>
  <c r="AK14" i="5"/>
  <c r="AJ14" i="5" a="1"/>
  <c r="AJ14" i="5" s="1"/>
  <c r="AI14" i="5" a="1"/>
  <c r="AI14" i="5" s="1"/>
  <c r="AH14" i="5" a="1"/>
  <c r="AH14" i="5"/>
  <c r="AG14" i="5" a="1"/>
  <c r="AG14" i="5" s="1"/>
  <c r="AF14" i="5" a="1"/>
  <c r="AF14" i="5"/>
  <c r="AE14" i="5" a="1"/>
  <c r="AE14" i="5"/>
  <c r="AD14" i="5" a="1"/>
  <c r="AD14" i="5" s="1"/>
  <c r="AC14" i="5" a="1"/>
  <c r="AC14" i="5" s="1"/>
  <c r="AB14" i="5" a="1"/>
  <c r="AB14" i="5" s="1"/>
  <c r="AA14" i="5" a="1"/>
  <c r="AA14" i="5" s="1"/>
  <c r="Z14" i="5" a="1"/>
  <c r="Z14" i="5"/>
  <c r="Y14" i="5" a="1"/>
  <c r="Y14" i="5" s="1"/>
  <c r="X14" i="5" a="1"/>
  <c r="X14" i="5"/>
  <c r="W14" i="5" a="1"/>
  <c r="W14" i="5"/>
  <c r="V14" i="5" a="1"/>
  <c r="V14" i="5" s="1"/>
  <c r="U14" i="5" a="1"/>
  <c r="U14" i="5" s="1"/>
  <c r="T14" i="5" a="1"/>
  <c r="T14" i="5" s="1"/>
  <c r="S14" i="5" a="1"/>
  <c r="S14" i="5" s="1"/>
  <c r="R14" i="5" a="1"/>
  <c r="R14" i="5" s="1"/>
  <c r="Q14" i="5" a="1"/>
  <c r="Q14" i="5" s="1"/>
  <c r="P14" i="5" a="1"/>
  <c r="P14" i="5"/>
  <c r="O14" i="5" a="1"/>
  <c r="O14" i="5" s="1"/>
  <c r="N14" i="5" a="1"/>
  <c r="N14" i="5"/>
  <c r="M14" i="5" a="1"/>
  <c r="M14" i="5" s="1"/>
  <c r="L14" i="5" a="1"/>
  <c r="L14" i="5" s="1"/>
  <c r="K14" i="5" a="1"/>
  <c r="K14" i="5" s="1"/>
  <c r="J14" i="5" a="1"/>
  <c r="J14" i="5" s="1"/>
  <c r="I14" i="5" a="1"/>
  <c r="I14" i="5" s="1"/>
  <c r="H14" i="5" a="1"/>
  <c r="H14" i="5" s="1"/>
  <c r="G14" i="5" a="1"/>
  <c r="G14" i="5" s="1"/>
  <c r="F14" i="5" a="1"/>
  <c r="F14" i="5" s="1"/>
  <c r="E14" i="5" a="1"/>
  <c r="E14" i="5"/>
  <c r="D14" i="5" a="1"/>
  <c r="D14" i="5"/>
  <c r="C14" i="5" a="1"/>
  <c r="C14" i="5" s="1"/>
  <c r="EF13" i="5" a="1"/>
  <c r="EF13" i="5" s="1"/>
  <c r="EE13" i="5" a="1"/>
  <c r="EE13" i="5"/>
  <c r="ED13" i="5" a="1"/>
  <c r="ED13" i="5" s="1"/>
  <c r="EC13" i="5" a="1"/>
  <c r="EC13" i="5"/>
  <c r="EB13" i="5" a="1"/>
  <c r="EB13" i="5" s="1"/>
  <c r="EA13" i="5" a="1"/>
  <c r="EA13" i="5" s="1"/>
  <c r="DZ13" i="5" a="1"/>
  <c r="DZ13" i="5" s="1"/>
  <c r="DY13" i="5" a="1"/>
  <c r="DY13" i="5" s="1"/>
  <c r="DX13" i="5" a="1"/>
  <c r="DX13" i="5" s="1"/>
  <c r="DW13" i="5" a="1"/>
  <c r="DW13" i="5"/>
  <c r="DV13" i="5" a="1"/>
  <c r="DV13" i="5" s="1"/>
  <c r="DU13" i="5" a="1"/>
  <c r="DU13" i="5" s="1"/>
  <c r="DT13" i="5" a="1"/>
  <c r="DT13" i="5"/>
  <c r="DS13" i="5" a="1"/>
  <c r="DS13" i="5" s="1"/>
  <c r="DR13" i="5" a="1"/>
  <c r="DR13" i="5"/>
  <c r="DQ13" i="5" a="1"/>
  <c r="DQ13" i="5" s="1"/>
  <c r="DP13" i="5" a="1"/>
  <c r="DP13" i="5"/>
  <c r="DO13" i="5" a="1"/>
  <c r="DO13" i="5" s="1"/>
  <c r="DN13" i="5" a="1"/>
  <c r="DN13" i="5" s="1"/>
  <c r="DM13" i="5" a="1"/>
  <c r="DM13" i="5" s="1"/>
  <c r="DL13" i="5" a="1"/>
  <c r="DL13" i="5" s="1"/>
  <c r="DK13" i="5" a="1"/>
  <c r="DK13" i="5"/>
  <c r="DJ13" i="5" a="1"/>
  <c r="DJ13" i="5" s="1"/>
  <c r="DI13" i="5" a="1"/>
  <c r="DI13" i="5"/>
  <c r="DH13" i="5" a="1"/>
  <c r="DH13" i="5" s="1"/>
  <c r="DG13" i="5" a="1"/>
  <c r="DG13" i="5"/>
  <c r="DF13" i="5" a="1"/>
  <c r="DF13" i="5"/>
  <c r="DE13" i="5" a="1"/>
  <c r="DE13" i="5" s="1"/>
  <c r="DD13" i="5" a="1"/>
  <c r="DD13" i="5" s="1"/>
  <c r="DC13" i="5" a="1"/>
  <c r="DC13" i="5" s="1"/>
  <c r="DB13" i="5" a="1"/>
  <c r="DB13" i="5"/>
  <c r="DA13" i="5" a="1"/>
  <c r="DA13" i="5" s="1"/>
  <c r="CZ13" i="5" a="1"/>
  <c r="CZ13" i="5" s="1"/>
  <c r="CY13" i="5" a="1"/>
  <c r="CY13" i="5" s="1"/>
  <c r="CX13" i="5" a="1"/>
  <c r="CX13" i="5" s="1"/>
  <c r="CW13" i="5" a="1"/>
  <c r="CW13" i="5" s="1"/>
  <c r="CV13" i="5" a="1"/>
  <c r="CV13" i="5" s="1"/>
  <c r="CU13" i="5" a="1"/>
  <c r="CU13" i="5"/>
  <c r="CT13" i="5" a="1"/>
  <c r="CT13" i="5" s="1"/>
  <c r="CS13" i="5" a="1"/>
  <c r="CS13" i="5" s="1"/>
  <c r="CR13" i="5" a="1"/>
  <c r="CR13" i="5" s="1"/>
  <c r="CQ13" i="5" a="1"/>
  <c r="CQ13" i="5" s="1"/>
  <c r="CP13" i="5" a="1"/>
  <c r="CP13" i="5" s="1"/>
  <c r="CO13" i="5" a="1"/>
  <c r="CO13" i="5" s="1"/>
  <c r="CN13" i="5" a="1"/>
  <c r="CN13" i="5"/>
  <c r="CM13" i="5" a="1"/>
  <c r="CM13" i="5"/>
  <c r="CL13" i="5" a="1"/>
  <c r="CL13" i="5" s="1"/>
  <c r="CK13" i="5" a="1"/>
  <c r="CK13" i="5" s="1"/>
  <c r="CJ13" i="5" a="1"/>
  <c r="CJ13" i="5" s="1"/>
  <c r="CI13" i="5" a="1"/>
  <c r="CI13" i="5" s="1"/>
  <c r="CH13" i="5" a="1"/>
  <c r="CH13" i="5" s="1"/>
  <c r="CG13" i="5" a="1"/>
  <c r="CG13" i="5" s="1"/>
  <c r="CF13" i="5" a="1"/>
  <c r="CF13" i="5" s="1"/>
  <c r="CE13" i="5" a="1"/>
  <c r="CE13" i="5"/>
  <c r="CD13" i="5" a="1"/>
  <c r="CD13" i="5"/>
  <c r="CC13" i="5" a="1"/>
  <c r="CC13" i="5"/>
  <c r="CB13" i="5" a="1"/>
  <c r="CB13" i="5" s="1"/>
  <c r="CA13" i="5" a="1"/>
  <c r="CA13" i="5" s="1"/>
  <c r="BZ13" i="5" a="1"/>
  <c r="BZ13" i="5" s="1"/>
  <c r="BY13" i="5" a="1"/>
  <c r="BY13" i="5"/>
  <c r="BX13" i="5" a="1"/>
  <c r="BX13" i="5"/>
  <c r="BW13" i="5" a="1"/>
  <c r="BW13" i="5" s="1"/>
  <c r="BV13" i="5" a="1"/>
  <c r="BV13" i="5" s="1"/>
  <c r="BU13" i="5" a="1"/>
  <c r="BU13" i="5" s="1"/>
  <c r="BT13" i="5" a="1"/>
  <c r="BT13" i="5"/>
  <c r="BS13" i="5" a="1"/>
  <c r="BS13" i="5" s="1"/>
  <c r="BR13" i="5" a="1"/>
  <c r="BR13" i="5"/>
  <c r="BQ13" i="5" a="1"/>
  <c r="BQ13" i="5" s="1"/>
  <c r="BP13" i="5" a="1"/>
  <c r="BP13" i="5" s="1"/>
  <c r="BO13" i="5" a="1"/>
  <c r="BO13" i="5"/>
  <c r="BN13" i="5" a="1"/>
  <c r="BN13" i="5" s="1"/>
  <c r="BM13" i="5" a="1"/>
  <c r="BM13" i="5" s="1"/>
  <c r="BL13" i="5" a="1"/>
  <c r="BL13" i="5" s="1"/>
  <c r="BK13" i="5" a="1"/>
  <c r="BK13" i="5"/>
  <c r="BJ13" i="5" a="1"/>
  <c r="BJ13" i="5" s="1"/>
  <c r="BI13" i="5" a="1"/>
  <c r="BI13" i="5"/>
  <c r="BH13" i="5" a="1"/>
  <c r="BH13" i="5"/>
  <c r="BG13" i="5" a="1"/>
  <c r="BG13" i="5" s="1"/>
  <c r="BF13" i="5" a="1"/>
  <c r="BF13" i="5" s="1"/>
  <c r="BE13" i="5" a="1"/>
  <c r="BE13" i="5" s="1"/>
  <c r="BD13" i="5" a="1"/>
  <c r="BD13" i="5"/>
  <c r="BC13" i="5" a="1"/>
  <c r="BC13" i="5"/>
  <c r="BB13" i="5" a="1"/>
  <c r="BB13" i="5" s="1"/>
  <c r="BA13" i="5" a="1"/>
  <c r="BA13" i="5" s="1"/>
  <c r="AZ13" i="5" a="1"/>
  <c r="AZ13" i="5" s="1"/>
  <c r="AY13" i="5" a="1"/>
  <c r="AY13" i="5" s="1"/>
  <c r="AX13" i="5" a="1"/>
  <c r="AX13" i="5" s="1"/>
  <c r="AW13" i="5" a="1"/>
  <c r="AW13" i="5"/>
  <c r="AV13" i="5" a="1"/>
  <c r="AV13" i="5" s="1"/>
  <c r="AU13" i="5" a="1"/>
  <c r="AU13" i="5" s="1"/>
  <c r="AT13" i="5" a="1"/>
  <c r="AT13" i="5" s="1"/>
  <c r="AS13" i="5" a="1"/>
  <c r="AS13" i="5" s="1"/>
  <c r="AR13" i="5" a="1"/>
  <c r="AR13" i="5" s="1"/>
  <c r="AQ13" i="5" a="1"/>
  <c r="AQ13" i="5" s="1"/>
  <c r="AP13" i="5" a="1"/>
  <c r="AP13" i="5" s="1"/>
  <c r="AO13" i="5" a="1"/>
  <c r="AO13" i="5" s="1"/>
  <c r="AN13" i="5" a="1"/>
  <c r="AN13" i="5" s="1"/>
  <c r="AM13" i="5" a="1"/>
  <c r="AM13" i="5" s="1"/>
  <c r="AL13" i="5" a="1"/>
  <c r="AL13" i="5" s="1"/>
  <c r="AK13" i="5" a="1"/>
  <c r="AK13" i="5"/>
  <c r="AJ13" i="5" a="1"/>
  <c r="AJ13" i="5"/>
  <c r="AI13" i="5" a="1"/>
  <c r="AI13" i="5" s="1"/>
  <c r="AH13" i="5" a="1"/>
  <c r="AH13" i="5" s="1"/>
  <c r="AG13" i="5" a="1"/>
  <c r="AG13" i="5" s="1"/>
  <c r="AF13" i="5" a="1"/>
  <c r="AF13" i="5" s="1"/>
  <c r="AE13" i="5" a="1"/>
  <c r="AE13" i="5" s="1"/>
  <c r="AD13" i="5" a="1"/>
  <c r="AD13" i="5" s="1"/>
  <c r="AC13" i="5" a="1"/>
  <c r="AC13" i="5" s="1"/>
  <c r="AB13" i="5" a="1"/>
  <c r="AB13" i="5"/>
  <c r="AA13" i="5" a="1"/>
  <c r="AA13" i="5" s="1"/>
  <c r="Z13" i="5" a="1"/>
  <c r="Z13" i="5" s="1"/>
  <c r="Y13" i="5" a="1"/>
  <c r="Y13" i="5" s="1"/>
  <c r="X13" i="5" a="1"/>
  <c r="X13" i="5" s="1"/>
  <c r="W13" i="5" a="1"/>
  <c r="W13" i="5" s="1"/>
  <c r="V13" i="5" a="1"/>
  <c r="V13" i="5"/>
  <c r="U13" i="5" a="1"/>
  <c r="U13" i="5" s="1"/>
  <c r="T13" i="5" a="1"/>
  <c r="T13" i="5" s="1"/>
  <c r="S13" i="5" a="1"/>
  <c r="S13" i="5"/>
  <c r="R13" i="5" a="1"/>
  <c r="R13" i="5" s="1"/>
  <c r="Q13" i="5" a="1"/>
  <c r="Q13" i="5"/>
  <c r="P13" i="5" a="1"/>
  <c r="P13" i="5"/>
  <c r="O13" i="5" a="1"/>
  <c r="O13" i="5" s="1"/>
  <c r="N13" i="5" a="1"/>
  <c r="N13" i="5" s="1"/>
  <c r="M13" i="5" a="1"/>
  <c r="M13" i="5" s="1"/>
  <c r="L13" i="5" a="1"/>
  <c r="L13" i="5"/>
  <c r="K13" i="5" a="1"/>
  <c r="K13" i="5" s="1"/>
  <c r="J13" i="5" a="1"/>
  <c r="J13" i="5" s="1"/>
  <c r="I13" i="5" a="1"/>
  <c r="I13" i="5" s="1"/>
  <c r="H13" i="5" a="1"/>
  <c r="H13" i="5"/>
  <c r="G13" i="5" a="1"/>
  <c r="G13" i="5" s="1"/>
  <c r="F13" i="5" a="1"/>
  <c r="F13" i="5" s="1"/>
  <c r="E13" i="5" a="1"/>
  <c r="E13" i="5" s="1"/>
  <c r="D13" i="5" a="1"/>
  <c r="D13" i="5" s="1"/>
  <c r="C13" i="5" a="1"/>
  <c r="C13" i="5" s="1"/>
  <c r="EF12" i="5" a="1"/>
  <c r="EF12" i="5" s="1"/>
  <c r="EE12" i="5" a="1"/>
  <c r="EE12" i="5"/>
  <c r="ED12" i="5" a="1"/>
  <c r="ED12" i="5"/>
  <c r="EC12" i="5" a="1"/>
  <c r="EC12" i="5"/>
  <c r="EB12" i="5" a="1"/>
  <c r="EB12" i="5" s="1"/>
  <c r="EA12" i="5" a="1"/>
  <c r="EA12" i="5"/>
  <c r="DZ12" i="5" a="1"/>
  <c r="DZ12" i="5" s="1"/>
  <c r="DY12" i="5" a="1"/>
  <c r="DY12" i="5"/>
  <c r="DX12" i="5" a="1"/>
  <c r="DX12" i="5" s="1"/>
  <c r="DW12" i="5" a="1"/>
  <c r="DW12" i="5" s="1"/>
  <c r="DV12" i="5" a="1"/>
  <c r="DV12" i="5" s="1"/>
  <c r="DU12" i="5" a="1"/>
  <c r="DU12" i="5" s="1"/>
  <c r="DT12" i="5" a="1"/>
  <c r="DT12" i="5" s="1"/>
  <c r="DS12" i="5" a="1"/>
  <c r="DS12" i="5"/>
  <c r="DR12" i="5" a="1"/>
  <c r="DR12" i="5" s="1"/>
  <c r="DQ12" i="5" a="1"/>
  <c r="DQ12" i="5" s="1"/>
  <c r="DP12" i="5" a="1"/>
  <c r="DP12" i="5"/>
  <c r="DO12" i="5" a="1"/>
  <c r="DO12" i="5" s="1"/>
  <c r="DN12" i="5" a="1"/>
  <c r="DN12" i="5"/>
  <c r="DM12" i="5" a="1"/>
  <c r="DM12" i="5" s="1"/>
  <c r="DL12" i="5" a="1"/>
  <c r="DL12" i="5" s="1"/>
  <c r="DK12" i="5" a="1"/>
  <c r="DK12" i="5"/>
  <c r="DJ12" i="5" a="1"/>
  <c r="DJ12" i="5" s="1"/>
  <c r="DI12" i="5" a="1"/>
  <c r="DI12" i="5" s="1"/>
  <c r="DH12" i="5" a="1"/>
  <c r="DH12" i="5" s="1"/>
  <c r="DG12" i="5" a="1"/>
  <c r="DG12" i="5" s="1"/>
  <c r="DF12" i="5" a="1"/>
  <c r="DF12" i="5" s="1"/>
  <c r="DE12" i="5" a="1"/>
  <c r="DE12" i="5"/>
  <c r="DD12" i="5" a="1"/>
  <c r="DD12" i="5" s="1"/>
  <c r="DC12" i="5" a="1"/>
  <c r="DC12" i="5" s="1"/>
  <c r="DB12" i="5" a="1"/>
  <c r="DB12" i="5" s="1"/>
  <c r="DA12" i="5" a="1"/>
  <c r="DA12" i="5"/>
  <c r="CZ12" i="5" a="1"/>
  <c r="CZ12" i="5" s="1"/>
  <c r="CY12" i="5" a="1"/>
  <c r="CY12" i="5" s="1"/>
  <c r="CX12" i="5" a="1"/>
  <c r="CX12" i="5"/>
  <c r="CW12" i="5" a="1"/>
  <c r="CW12" i="5"/>
  <c r="CV12" i="5" a="1"/>
  <c r="CV12" i="5" s="1"/>
  <c r="CU12" i="5" a="1"/>
  <c r="CU12" i="5" s="1"/>
  <c r="CT12" i="5" a="1"/>
  <c r="CT12" i="5" s="1"/>
  <c r="CS12" i="5" a="1"/>
  <c r="CS12" i="5" s="1"/>
  <c r="CR12" i="5" a="1"/>
  <c r="CR12" i="5" s="1"/>
  <c r="CQ12" i="5" a="1"/>
  <c r="CQ12" i="5" s="1"/>
  <c r="CP12" i="5" a="1"/>
  <c r="CP12" i="5"/>
  <c r="CO12" i="5" a="1"/>
  <c r="CO12" i="5" s="1"/>
  <c r="CN12" i="5" a="1"/>
  <c r="CN12" i="5" s="1"/>
  <c r="CM12" i="5" a="1"/>
  <c r="CM12" i="5"/>
  <c r="CL12" i="5" a="1"/>
  <c r="CL12" i="5" s="1"/>
  <c r="CK12" i="5" a="1"/>
  <c r="CK12" i="5" s="1"/>
  <c r="CJ12" i="5" a="1"/>
  <c r="CJ12" i="5" s="1"/>
  <c r="CI12" i="5" a="1"/>
  <c r="CI12" i="5"/>
  <c r="CH12" i="5" a="1"/>
  <c r="CH12" i="5" s="1"/>
  <c r="CG12" i="5" a="1"/>
  <c r="CG12" i="5" s="1"/>
  <c r="CF12" i="5" a="1"/>
  <c r="CF12" i="5" s="1"/>
  <c r="CE12" i="5" a="1"/>
  <c r="CE12" i="5" s="1"/>
  <c r="CD12" i="5" a="1"/>
  <c r="CD12" i="5" s="1"/>
  <c r="CC12" i="5" a="1"/>
  <c r="CC12" i="5" s="1"/>
  <c r="CB12" i="5" a="1"/>
  <c r="CB12" i="5"/>
  <c r="CA12" i="5" a="1"/>
  <c r="CA12" i="5"/>
  <c r="BZ12" i="5" a="1"/>
  <c r="BZ12" i="5" s="1"/>
  <c r="BY12" i="5" a="1"/>
  <c r="BY12" i="5" s="1"/>
  <c r="BX12" i="5" a="1"/>
  <c r="BX12" i="5" s="1"/>
  <c r="BW12" i="5" a="1"/>
  <c r="BW12" i="5" s="1"/>
  <c r="BV12" i="5" a="1"/>
  <c r="BV12" i="5" s="1"/>
  <c r="BU12" i="5" a="1"/>
  <c r="BU12" i="5"/>
  <c r="BT12" i="5" a="1"/>
  <c r="BT12" i="5" s="1"/>
  <c r="BS12" i="5" a="1"/>
  <c r="BS12" i="5" s="1"/>
  <c r="BR12" i="5" a="1"/>
  <c r="BR12" i="5" s="1"/>
  <c r="BQ12" i="5" a="1"/>
  <c r="BQ12" i="5" s="1"/>
  <c r="BP12" i="5" a="1"/>
  <c r="BP12" i="5" s="1"/>
  <c r="BO12" i="5" a="1"/>
  <c r="BO12" i="5"/>
  <c r="BN12" i="5" a="1"/>
  <c r="BN12" i="5" s="1"/>
  <c r="BM12" i="5" a="1"/>
  <c r="BM12" i="5" s="1"/>
  <c r="BL12" i="5" a="1"/>
  <c r="BL12" i="5" s="1"/>
  <c r="BK12" i="5" a="1"/>
  <c r="BK12" i="5"/>
  <c r="BJ12" i="5" a="1"/>
  <c r="BJ12" i="5" s="1"/>
  <c r="BI12" i="5" a="1"/>
  <c r="BI12" i="5" s="1"/>
  <c r="BH12" i="5" a="1"/>
  <c r="BH12" i="5" s="1"/>
  <c r="BG12" i="5" a="1"/>
  <c r="BG12" i="5" s="1"/>
  <c r="BF12" i="5" a="1"/>
  <c r="BF12" i="5"/>
  <c r="BE12" i="5" a="1"/>
  <c r="BE12" i="5"/>
  <c r="BD12" i="5" a="1"/>
  <c r="BD12" i="5" s="1"/>
  <c r="BC12" i="5" a="1"/>
  <c r="BC12" i="5" s="1"/>
  <c r="BB12" i="5" a="1"/>
  <c r="BB12" i="5" s="1"/>
  <c r="BA12" i="5" a="1"/>
  <c r="BA12" i="5" s="1"/>
  <c r="AZ12" i="5" a="1"/>
  <c r="AZ12" i="5"/>
  <c r="AY12" i="5" a="1"/>
  <c r="AY12" i="5"/>
  <c r="AX12" i="5" a="1"/>
  <c r="AX12" i="5"/>
  <c r="AW12" i="5" a="1"/>
  <c r="AW12" i="5"/>
  <c r="AV12" i="5" a="1"/>
  <c r="AV12" i="5" s="1"/>
  <c r="AU12" i="5" a="1"/>
  <c r="AU12" i="5"/>
  <c r="AT12" i="5" a="1"/>
  <c r="AT12" i="5"/>
  <c r="AS12" i="5" a="1"/>
  <c r="AS12" i="5"/>
  <c r="AR12" i="5" a="1"/>
  <c r="AR12" i="5" s="1"/>
  <c r="AQ12" i="5" a="1"/>
  <c r="AQ12" i="5" s="1"/>
  <c r="AP12" i="5" a="1"/>
  <c r="AP12" i="5" s="1"/>
  <c r="AO12" i="5" a="1"/>
  <c r="AO12" i="5" s="1"/>
  <c r="AN12" i="5" a="1"/>
  <c r="AN12" i="5"/>
  <c r="AM12" i="5" a="1"/>
  <c r="AM12" i="5"/>
  <c r="AL12" i="5" a="1"/>
  <c r="AL12" i="5"/>
  <c r="AK12" i="5" a="1"/>
  <c r="AK12" i="5" s="1"/>
  <c r="AJ12" i="5" a="1"/>
  <c r="AJ12" i="5" s="1"/>
  <c r="AI12" i="5" a="1"/>
  <c r="AI12" i="5" s="1"/>
  <c r="AH12" i="5" a="1"/>
  <c r="AH12" i="5"/>
  <c r="AG12" i="5" a="1"/>
  <c r="AG12" i="5" s="1"/>
  <c r="AF12" i="5" a="1"/>
  <c r="AF12" i="5"/>
  <c r="AE12" i="5" a="1"/>
  <c r="AE12" i="5" s="1"/>
  <c r="AD12" i="5" a="1"/>
  <c r="AD12" i="5"/>
  <c r="AC12" i="5" a="1"/>
  <c r="AC12" i="5" s="1"/>
  <c r="AB12" i="5" a="1"/>
  <c r="AB12" i="5" s="1"/>
  <c r="AA12" i="5" a="1"/>
  <c r="AA12" i="5" s="1"/>
  <c r="Z12" i="5" a="1"/>
  <c r="Z12" i="5" s="1"/>
  <c r="Y12" i="5" a="1"/>
  <c r="Y12" i="5"/>
  <c r="X12" i="5" a="1"/>
  <c r="X12" i="5"/>
  <c r="W12" i="5" a="1"/>
  <c r="W12" i="5" s="1"/>
  <c r="V12" i="5" a="1"/>
  <c r="V12" i="5" s="1"/>
  <c r="U12" i="5" a="1"/>
  <c r="U12" i="5"/>
  <c r="T12" i="5" a="1"/>
  <c r="T12" i="5" s="1"/>
  <c r="S12" i="5" a="1"/>
  <c r="S12" i="5"/>
  <c r="R12" i="5" a="1"/>
  <c r="R12" i="5"/>
  <c r="Q12" i="5" a="1"/>
  <c r="Q12" i="5" s="1"/>
  <c r="P12" i="5" a="1"/>
  <c r="P12" i="5" s="1"/>
  <c r="O12" i="5" a="1"/>
  <c r="O12" i="5" s="1"/>
  <c r="N12" i="5" a="1"/>
  <c r="N12" i="5"/>
  <c r="M12" i="5" a="1"/>
  <c r="M12" i="5" s="1"/>
  <c r="L12" i="5" a="1"/>
  <c r="L12" i="5" s="1"/>
  <c r="K12" i="5" a="1"/>
  <c r="K12" i="5" s="1"/>
  <c r="J12" i="5" a="1"/>
  <c r="J12" i="5" s="1"/>
  <c r="I12" i="5" a="1"/>
  <c r="I12" i="5" s="1"/>
  <c r="H12" i="5" a="1"/>
  <c r="H12" i="5"/>
  <c r="G12" i="5" a="1"/>
  <c r="G12" i="5"/>
  <c r="F12" i="5" a="1"/>
  <c r="F12" i="5" s="1"/>
  <c r="E12" i="5" a="1"/>
  <c r="E12" i="5" s="1"/>
  <c r="D12" i="5" a="1"/>
  <c r="D12" i="5" s="1"/>
  <c r="C12" i="5" a="1"/>
  <c r="C12" i="5"/>
  <c r="EC8" i="5"/>
  <c r="DX8" i="5"/>
  <c r="DT8" i="5"/>
  <c r="DS8" i="5"/>
  <c r="DR8" i="5"/>
  <c r="DQ8" i="5"/>
  <c r="DO8" i="5"/>
  <c r="DN8" i="5"/>
  <c r="DM8" i="5"/>
  <c r="DG8" i="5"/>
  <c r="DD8" i="5"/>
  <c r="DB8" i="5"/>
  <c r="CX8" i="5"/>
  <c r="CV8" i="5"/>
  <c r="CQ8" i="5"/>
  <c r="CM8" i="5"/>
  <c r="CL8" i="5"/>
  <c r="CK8" i="5"/>
  <c r="CJ8" i="5"/>
  <c r="CF8" i="5"/>
  <c r="BU8" i="5"/>
  <c r="BN8" i="5"/>
  <c r="BJ8" i="5"/>
  <c r="BD8" i="5"/>
  <c r="AY8" i="5"/>
  <c r="AN8" i="5"/>
  <c r="AJ8" i="5"/>
  <c r="T8" i="5"/>
  <c r="R8" i="5"/>
  <c r="G8" i="5"/>
  <c r="C8" i="5"/>
  <c r="EF7" i="5"/>
  <c r="EA7" i="5"/>
  <c r="DO7" i="5"/>
  <c r="DJ7" i="5"/>
  <c r="DI7" i="5"/>
  <c r="DD7" i="5"/>
  <c r="CY7" i="5"/>
  <c r="CW7" i="5"/>
  <c r="CS7" i="5"/>
  <c r="CJ7" i="5"/>
  <c r="CH7" i="5"/>
  <c r="CD7" i="5"/>
  <c r="CA7" i="5"/>
  <c r="BN7" i="5"/>
  <c r="BM7" i="5"/>
  <c r="BH7" i="5"/>
  <c r="AW7" i="5"/>
  <c r="AF7" i="5"/>
  <c r="AE7" i="5"/>
  <c r="Z7" i="5"/>
  <c r="T7" i="5"/>
  <c r="P7" i="5"/>
  <c r="O7" i="5"/>
  <c r="EF6" i="5" a="1"/>
  <c r="EF6" i="5" s="1"/>
  <c r="EF8" i="5" s="1"/>
  <c r="EE6" i="5" a="1"/>
  <c r="EE6" i="5" s="1"/>
  <c r="ED6" i="5" a="1"/>
  <c r="ED6" i="5" s="1"/>
  <c r="EC6" i="5" a="1"/>
  <c r="EC6" i="5"/>
  <c r="EC7" i="5" s="1"/>
  <c r="EB6" i="5" a="1"/>
  <c r="EB6" i="5" s="1"/>
  <c r="EA6" i="5" a="1"/>
  <c r="EA6" i="5"/>
  <c r="EA8" i="5" s="1"/>
  <c r="DZ6" i="5" a="1"/>
  <c r="DZ6" i="5"/>
  <c r="DY6" i="5" a="1"/>
  <c r="DY6" i="5"/>
  <c r="DX6" i="5" a="1"/>
  <c r="DX6" i="5"/>
  <c r="DX7" i="5" s="1"/>
  <c r="DW6" i="5" a="1"/>
  <c r="DW6" i="5"/>
  <c r="DV6" i="5" a="1"/>
  <c r="DV6" i="5"/>
  <c r="DV8" i="5" s="1"/>
  <c r="DU6" i="5" a="1"/>
  <c r="DU6" i="5" s="1"/>
  <c r="DU8" i="5" s="1"/>
  <c r="DT6" i="5" a="1"/>
  <c r="DT6" i="5"/>
  <c r="DT7" i="5" s="1"/>
  <c r="DS6" i="5" a="1"/>
  <c r="DS6" i="5" s="1"/>
  <c r="DS7" i="5" s="1"/>
  <c r="DR6" i="5" a="1"/>
  <c r="DR6" i="5"/>
  <c r="DR7" i="5" s="1"/>
  <c r="DQ6" i="5" a="1"/>
  <c r="DQ6" i="5" s="1"/>
  <c r="DQ7" i="5" s="1"/>
  <c r="DP6" i="5" a="1"/>
  <c r="DP6" i="5" s="1"/>
  <c r="DP8" i="5" s="1"/>
  <c r="DO6" i="5" a="1"/>
  <c r="DO6" i="5"/>
  <c r="DN6" i="5" a="1"/>
  <c r="DN6" i="5"/>
  <c r="DN7" i="5" s="1"/>
  <c r="DM6" i="5" a="1"/>
  <c r="DM6" i="5"/>
  <c r="DM7" i="5" s="1"/>
  <c r="DL6" i="5" a="1"/>
  <c r="DL6" i="5"/>
  <c r="DK6" i="5" a="1"/>
  <c r="DK6" i="5"/>
  <c r="DK8" i="5" s="1"/>
  <c r="DJ6" i="5" a="1"/>
  <c r="DJ6" i="5" s="1"/>
  <c r="DJ8" i="5" s="1"/>
  <c r="DI6" i="5" a="1"/>
  <c r="DI6" i="5" s="1"/>
  <c r="DI8" i="5" s="1"/>
  <c r="DH6" i="5" a="1"/>
  <c r="DH6" i="5" s="1"/>
  <c r="DH7" i="5" s="1"/>
  <c r="DG6" i="5" a="1"/>
  <c r="DG6" i="5"/>
  <c r="DG7" i="5" s="1"/>
  <c r="DF6" i="5" a="1"/>
  <c r="DF6" i="5"/>
  <c r="DF7" i="5" s="1"/>
  <c r="DE6" i="5" a="1"/>
  <c r="DE6" i="5" s="1"/>
  <c r="DD6" i="5" a="1"/>
  <c r="DD6" i="5"/>
  <c r="DC6" i="5" a="1"/>
  <c r="DC6" i="5" s="1"/>
  <c r="DB6" i="5" a="1"/>
  <c r="DB6" i="5"/>
  <c r="DB7" i="5" s="1"/>
  <c r="DA6" i="5" a="1"/>
  <c r="DA6" i="5"/>
  <c r="CZ6" i="5" a="1"/>
  <c r="CZ6" i="5" s="1"/>
  <c r="CY6" i="5" a="1"/>
  <c r="CY6" i="5" s="1"/>
  <c r="CY8" i="5" s="1"/>
  <c r="CX6" i="5" a="1"/>
  <c r="CX6" i="5" s="1"/>
  <c r="CX7" i="5" s="1"/>
  <c r="CW6" i="5" a="1"/>
  <c r="CW6" i="5" s="1"/>
  <c r="CW8" i="5" s="1"/>
  <c r="CV6" i="5" a="1"/>
  <c r="CV6" i="5"/>
  <c r="CV7" i="5" s="1"/>
  <c r="CU6" i="5" a="1"/>
  <c r="CU6" i="5" s="1"/>
  <c r="CT6" i="5" a="1"/>
  <c r="CT6" i="5" s="1"/>
  <c r="CS6" i="5" a="1"/>
  <c r="CS6" i="5"/>
  <c r="CS8" i="5" s="1"/>
  <c r="CR6" i="5" a="1"/>
  <c r="CR6" i="5" s="1"/>
  <c r="CQ6" i="5" a="1"/>
  <c r="CQ6" i="5"/>
  <c r="CQ7" i="5" s="1"/>
  <c r="CP6" i="5" a="1"/>
  <c r="CP6" i="5"/>
  <c r="CO6" i="5" a="1"/>
  <c r="CO6" i="5" s="1"/>
  <c r="CN6" i="5" a="1"/>
  <c r="CN6" i="5" s="1"/>
  <c r="CM6" i="5" a="1"/>
  <c r="CM6" i="5" s="1"/>
  <c r="CM7" i="5" s="1"/>
  <c r="CL6" i="5" a="1"/>
  <c r="CL6" i="5" s="1"/>
  <c r="CL7" i="5" s="1"/>
  <c r="CK6" i="5" a="1"/>
  <c r="CK6" i="5"/>
  <c r="CK7" i="5" s="1"/>
  <c r="CJ6" i="5" a="1"/>
  <c r="CJ6" i="5"/>
  <c r="CI6" i="5" a="1"/>
  <c r="CI6" i="5"/>
  <c r="CH6" i="5" a="1"/>
  <c r="CH6" i="5"/>
  <c r="CH8" i="5" s="1"/>
  <c r="CG6" i="5" a="1"/>
  <c r="CG6" i="5" s="1"/>
  <c r="CF6" i="5" a="1"/>
  <c r="CF6" i="5"/>
  <c r="CF7" i="5" s="1"/>
  <c r="CE6" i="5" a="1"/>
  <c r="CE6" i="5" s="1"/>
  <c r="CD6" i="5" a="1"/>
  <c r="CD6" i="5"/>
  <c r="CD8" i="5" s="1"/>
  <c r="CC6" i="5" a="1"/>
  <c r="CC6" i="5"/>
  <c r="CB6" i="5" a="1"/>
  <c r="CB6" i="5"/>
  <c r="CA6" i="5" a="1"/>
  <c r="CA6" i="5" s="1"/>
  <c r="CA8" i="5" s="1"/>
  <c r="BZ6" i="5" a="1"/>
  <c r="BZ6" i="5"/>
  <c r="BZ7" i="5" s="1"/>
  <c r="BY6" i="5" a="1"/>
  <c r="BY6" i="5" s="1"/>
  <c r="BX6" i="5" a="1"/>
  <c r="BX6" i="5"/>
  <c r="BW6" i="5" a="1"/>
  <c r="BW6" i="5"/>
  <c r="BV6" i="5" a="1"/>
  <c r="BV6" i="5"/>
  <c r="BV7" i="5" s="1"/>
  <c r="BU6" i="5" a="1"/>
  <c r="BU6" i="5"/>
  <c r="BU7" i="5" s="1"/>
  <c r="BT6" i="5" a="1"/>
  <c r="BT6" i="5"/>
  <c r="BS6" i="5" a="1"/>
  <c r="BS6" i="5"/>
  <c r="BR6" i="5" a="1"/>
  <c r="BR6" i="5"/>
  <c r="BR8" i="5" s="1"/>
  <c r="BQ6" i="5" a="1"/>
  <c r="BQ6" i="5"/>
  <c r="BP6" i="5" a="1"/>
  <c r="BP6" i="5" s="1"/>
  <c r="BO6" i="5" a="1"/>
  <c r="BO6" i="5"/>
  <c r="BN6" i="5" a="1"/>
  <c r="BN6" i="5"/>
  <c r="BM6" i="5" a="1"/>
  <c r="BM6" i="5"/>
  <c r="BM8" i="5" s="1"/>
  <c r="BL6" i="5" a="1"/>
  <c r="BL6" i="5"/>
  <c r="BK6" i="5" a="1"/>
  <c r="BK6" i="5" s="1"/>
  <c r="BJ6" i="5" a="1"/>
  <c r="BJ6" i="5"/>
  <c r="BJ7" i="5" s="1"/>
  <c r="BI6" i="5" a="1"/>
  <c r="BI6" i="5" s="1"/>
  <c r="BH6" i="5" a="1"/>
  <c r="BH6" i="5" s="1"/>
  <c r="BH8" i="5" s="1"/>
  <c r="BG6" i="5" a="1"/>
  <c r="BG6" i="5" s="1"/>
  <c r="BF6" i="5" a="1"/>
  <c r="BF6" i="5"/>
  <c r="BE6" i="5" a="1"/>
  <c r="BE6" i="5" s="1"/>
  <c r="BE7" i="5" s="1"/>
  <c r="BD6" i="5" a="1"/>
  <c r="BD6" i="5"/>
  <c r="BD7" i="5" s="1"/>
  <c r="BC6" i="5" a="1"/>
  <c r="BC6" i="5" s="1"/>
  <c r="BB6" i="5" a="1"/>
  <c r="BB6" i="5" s="1"/>
  <c r="BB8" i="5" s="1"/>
  <c r="BA6" i="5" a="1"/>
  <c r="BA6" i="5" s="1"/>
  <c r="AZ6" i="5" a="1"/>
  <c r="AZ6" i="5" s="1"/>
  <c r="AY6" i="5" a="1"/>
  <c r="AY6" i="5"/>
  <c r="AY7" i="5" s="1"/>
  <c r="AX6" i="5" a="1"/>
  <c r="AX6" i="5"/>
  <c r="AW6" i="5" a="1"/>
  <c r="AW6" i="5"/>
  <c r="AW8" i="5" s="1"/>
  <c r="AV6" i="5" a="1"/>
  <c r="AV6" i="5"/>
  <c r="AU6" i="5" a="1"/>
  <c r="AU6" i="5" s="1"/>
  <c r="AT6" i="5" a="1"/>
  <c r="AT6" i="5" s="1"/>
  <c r="AS6" i="5" a="1"/>
  <c r="AS6" i="5"/>
  <c r="AR6" i="5" a="1"/>
  <c r="AR6" i="5"/>
  <c r="AQ6" i="5" a="1"/>
  <c r="AQ6" i="5"/>
  <c r="AQ8" i="5" s="1"/>
  <c r="AP6" i="5" a="1"/>
  <c r="AP6" i="5"/>
  <c r="AO6" i="5" a="1"/>
  <c r="AO6" i="5" s="1"/>
  <c r="AN6" i="5" a="1"/>
  <c r="AN6" i="5"/>
  <c r="AN7" i="5" s="1"/>
  <c r="AM6" i="5" a="1"/>
  <c r="AM6" i="5"/>
  <c r="AL6" i="5" a="1"/>
  <c r="AL6" i="5" s="1"/>
  <c r="AK6" i="5" a="1"/>
  <c r="AK6" i="5" s="1"/>
  <c r="AJ6" i="5" a="1"/>
  <c r="AJ6" i="5"/>
  <c r="AJ7" i="5" s="1"/>
  <c r="AI6" i="5" a="1"/>
  <c r="AI6" i="5" s="1"/>
  <c r="AH6" i="5" a="1"/>
  <c r="AH6" i="5"/>
  <c r="AH7" i="5" s="1"/>
  <c r="AG6" i="5" a="1"/>
  <c r="AG6" i="5" s="1"/>
  <c r="AF6" i="5" a="1"/>
  <c r="AF6" i="5" s="1"/>
  <c r="AF8" i="5" s="1"/>
  <c r="AE6" i="5" a="1"/>
  <c r="AE6" i="5" s="1"/>
  <c r="AE8" i="5" s="1"/>
  <c r="AD6" i="5" a="1"/>
  <c r="AD6" i="5"/>
  <c r="AC6" i="5" a="1"/>
  <c r="AC6" i="5"/>
  <c r="AB6" i="5" a="1"/>
  <c r="AB6" i="5" s="1"/>
  <c r="AA6" i="5" a="1"/>
  <c r="AA6" i="5" s="1"/>
  <c r="Z6" i="5" a="1"/>
  <c r="Z6" i="5"/>
  <c r="Z8" i="5" s="1"/>
  <c r="Y6" i="5" a="1"/>
  <c r="Y6" i="5"/>
  <c r="X6" i="5" a="1"/>
  <c r="X6" i="5" s="1"/>
  <c r="W6" i="5" a="1"/>
  <c r="W6" i="5" s="1"/>
  <c r="V6" i="5" a="1"/>
  <c r="V6" i="5"/>
  <c r="U6" i="5" a="1"/>
  <c r="U6" i="5" s="1"/>
  <c r="T6" i="5" a="1"/>
  <c r="T6" i="5"/>
  <c r="S6" i="5" a="1"/>
  <c r="S6" i="5"/>
  <c r="S7" i="5" s="1"/>
  <c r="R6" i="5" a="1"/>
  <c r="R6" i="5"/>
  <c r="R7" i="5" s="1"/>
  <c r="Q6" i="5" a="1"/>
  <c r="Q6" i="5" s="1"/>
  <c r="P6" i="5" a="1"/>
  <c r="P6" i="5" s="1"/>
  <c r="P8" i="5" s="1"/>
  <c r="O6" i="5" a="1"/>
  <c r="O6" i="5" s="1"/>
  <c r="O8" i="5" s="1"/>
  <c r="N6" i="5" a="1"/>
  <c r="N6" i="5" s="1"/>
  <c r="N8" i="5" s="1"/>
  <c r="M6" i="5" a="1"/>
  <c r="M6" i="5" s="1"/>
  <c r="L6" i="5" a="1"/>
  <c r="L6" i="5"/>
  <c r="K6" i="5" a="1"/>
  <c r="K6" i="5" s="1"/>
  <c r="J6" i="5" a="1"/>
  <c r="J6" i="5"/>
  <c r="I6" i="5" a="1"/>
  <c r="I6" i="5" s="1"/>
  <c r="H6" i="5" a="1"/>
  <c r="H6" i="5" s="1"/>
  <c r="G6" i="5" a="1"/>
  <c r="G6" i="5"/>
  <c r="G7" i="5" s="1"/>
  <c r="F6" i="5" a="1"/>
  <c r="F6" i="5" s="1"/>
  <c r="E6" i="5" a="1"/>
  <c r="E6" i="5" s="1"/>
  <c r="D6" i="5" a="1"/>
  <c r="D6" i="5" s="1"/>
  <c r="C6" i="5" a="1"/>
  <c r="C6" i="5"/>
  <c r="C7" i="5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24" i="4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4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8" i="4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7" i="4"/>
  <c r="E17" i="4" s="1"/>
  <c r="F17" i="4" s="1"/>
  <c r="G17" i="4" s="1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F8" i="4"/>
  <c r="ED8" i="4"/>
  <c r="DV8" i="4"/>
  <c r="DT8" i="4"/>
  <c r="DP8" i="4"/>
  <c r="DM8" i="4"/>
  <c r="DE8" i="4"/>
  <c r="CZ8" i="4"/>
  <c r="CY8" i="4"/>
  <c r="CQ8" i="4"/>
  <c r="CP8" i="4"/>
  <c r="CO8" i="4"/>
  <c r="CN8" i="4"/>
  <c r="CI8" i="4"/>
  <c r="CB8" i="4"/>
  <c r="CA8" i="4"/>
  <c r="BX8" i="4"/>
  <c r="BV8" i="4"/>
  <c r="BM8" i="4"/>
  <c r="BJ8" i="4"/>
  <c r="BI8" i="4"/>
  <c r="BD8" i="4"/>
  <c r="BB8" i="4"/>
  <c r="AO8" i="4"/>
  <c r="AN8" i="4"/>
  <c r="AL8" i="4"/>
  <c r="AK8" i="4"/>
  <c r="AJ8" i="4"/>
  <c r="Z8" i="4"/>
  <c r="S8" i="4"/>
  <c r="N8" i="4"/>
  <c r="EF7" i="4"/>
  <c r="EE7" i="4"/>
  <c r="DP7" i="4"/>
  <c r="DM7" i="4"/>
  <c r="DL7" i="4"/>
  <c r="DK7" i="4"/>
  <c r="DA7" i="4"/>
  <c r="CZ7" i="4"/>
  <c r="CY7" i="4"/>
  <c r="CP7" i="4"/>
  <c r="CO7" i="4"/>
  <c r="CI7" i="4"/>
  <c r="CH7" i="4"/>
  <c r="CD7" i="4"/>
  <c r="CC7" i="4"/>
  <c r="CB7" i="4"/>
  <c r="BZ7" i="4"/>
  <c r="BX7" i="4"/>
  <c r="BW7" i="4"/>
  <c r="BM7" i="4"/>
  <c r="BK7" i="4"/>
  <c r="BJ7" i="4"/>
  <c r="BI7" i="4"/>
  <c r="BB7" i="4"/>
  <c r="AX7" i="4"/>
  <c r="AW7" i="4"/>
  <c r="AV7" i="4"/>
  <c r="AL7" i="4"/>
  <c r="AF7" i="4"/>
  <c r="AB7" i="4"/>
  <c r="Z7" i="4"/>
  <c r="W7" i="4"/>
  <c r="T7" i="4"/>
  <c r="EF6" i="4" a="1"/>
  <c r="EF6" i="4"/>
  <c r="EE6" i="4" a="1"/>
  <c r="EE6" i="4"/>
  <c r="EE8" i="4" s="1"/>
  <c r="ED6" i="4" a="1"/>
  <c r="ED6" i="4"/>
  <c r="ED7" i="4" s="1"/>
  <c r="EC6" i="4" a="1"/>
  <c r="EC6" i="4"/>
  <c r="EC7" i="4" s="1"/>
  <c r="EB6" i="4" a="1"/>
  <c r="EB6" i="4"/>
  <c r="EA6" i="4" a="1"/>
  <c r="EA6" i="4"/>
  <c r="DZ6" i="4" a="1"/>
  <c r="DZ6" i="4" s="1"/>
  <c r="DZ8" i="4" s="1"/>
  <c r="DY6" i="4" a="1"/>
  <c r="DY6" i="4"/>
  <c r="DY8" i="4" s="1"/>
  <c r="DX6" i="4" a="1"/>
  <c r="DX6" i="4"/>
  <c r="DX8" i="4" s="1"/>
  <c r="DW6" i="4" a="1"/>
  <c r="DW6" i="4"/>
  <c r="DV6" i="4" a="1"/>
  <c r="DV6" i="4"/>
  <c r="DV7" i="4" s="1"/>
  <c r="DU6" i="4" a="1"/>
  <c r="DU6" i="4"/>
  <c r="DT6" i="4" a="1"/>
  <c r="DT6" i="4"/>
  <c r="DT7" i="4" s="1"/>
  <c r="DS6" i="4" a="1"/>
  <c r="DS6" i="4" s="1"/>
  <c r="DR6" i="4" a="1"/>
  <c r="DR6" i="4"/>
  <c r="DQ6" i="4" a="1"/>
  <c r="DQ6" i="4" s="1"/>
  <c r="DP6" i="4" a="1"/>
  <c r="DP6" i="4"/>
  <c r="DO6" i="4" a="1"/>
  <c r="DO6" i="4" s="1"/>
  <c r="DO7" i="4" s="1"/>
  <c r="DN6" i="4" a="1"/>
  <c r="DN6" i="4" s="1"/>
  <c r="DM6" i="4" a="1"/>
  <c r="DM6" i="4"/>
  <c r="DL6" i="4" a="1"/>
  <c r="DL6" i="4"/>
  <c r="DL8" i="4" s="1"/>
  <c r="DK6" i="4" a="1"/>
  <c r="DK6" i="4" s="1"/>
  <c r="DK8" i="4" s="1"/>
  <c r="DJ6" i="4" a="1"/>
  <c r="DJ6" i="4" s="1"/>
  <c r="DI6" i="4" a="1"/>
  <c r="DI6" i="4"/>
  <c r="DH6" i="4" a="1"/>
  <c r="DH6" i="4" s="1"/>
  <c r="DG6" i="4" a="1"/>
  <c r="DG6" i="4" s="1"/>
  <c r="DF6" i="4" a="1"/>
  <c r="DF6" i="4" s="1"/>
  <c r="DE6" i="4" a="1"/>
  <c r="DE6" i="4"/>
  <c r="DE7" i="4" s="1"/>
  <c r="DD6" i="4" a="1"/>
  <c r="DD6" i="4"/>
  <c r="DC6" i="4" a="1"/>
  <c r="DC6" i="4"/>
  <c r="DB6" i="4" a="1"/>
  <c r="DB6" i="4" s="1"/>
  <c r="DA6" i="4" a="1"/>
  <c r="DA6" i="4"/>
  <c r="DA8" i="4" s="1"/>
  <c r="CZ6" i="4" a="1"/>
  <c r="CZ6" i="4" s="1"/>
  <c r="CY6" i="4" a="1"/>
  <c r="CY6" i="4" s="1"/>
  <c r="CX6" i="4" a="1"/>
  <c r="CX6" i="4" s="1"/>
  <c r="CW6" i="4" a="1"/>
  <c r="CW6" i="4" s="1"/>
  <c r="CV6" i="4" a="1"/>
  <c r="CV6" i="4"/>
  <c r="CV8" i="4" s="1"/>
  <c r="CU6" i="4" a="1"/>
  <c r="CU6" i="4" s="1"/>
  <c r="CT6" i="4" a="1"/>
  <c r="CT6" i="4"/>
  <c r="CT8" i="4" s="1"/>
  <c r="CS6" i="4" a="1"/>
  <c r="CS6" i="4"/>
  <c r="CR6" i="4" a="1"/>
  <c r="CR6" i="4" s="1"/>
  <c r="CQ6" i="4" a="1"/>
  <c r="CQ6" i="4" s="1"/>
  <c r="CQ7" i="4" s="1"/>
  <c r="CP6" i="4" a="1"/>
  <c r="CP6" i="4" s="1"/>
  <c r="CO6" i="4" a="1"/>
  <c r="CO6" i="4" s="1"/>
  <c r="CN6" i="4" a="1"/>
  <c r="CN6" i="4" s="1"/>
  <c r="CN7" i="4" s="1"/>
  <c r="CM6" i="4" a="1"/>
  <c r="CM6" i="4"/>
  <c r="CM7" i="4" s="1"/>
  <c r="CL6" i="4" a="1"/>
  <c r="CL6" i="4" s="1"/>
  <c r="CK6" i="4" a="1"/>
  <c r="CK6" i="4" s="1"/>
  <c r="CJ6" i="4" a="1"/>
  <c r="CJ6" i="4" s="1"/>
  <c r="CI6" i="4" a="1"/>
  <c r="CI6" i="4"/>
  <c r="CH6" i="4" a="1"/>
  <c r="CH6" i="4"/>
  <c r="CH8" i="4" s="1"/>
  <c r="CG6" i="4" a="1"/>
  <c r="CG6" i="4"/>
  <c r="CF6" i="4" a="1"/>
  <c r="CF6" i="4" s="1"/>
  <c r="CE6" i="4" a="1"/>
  <c r="CE6" i="4"/>
  <c r="CD6" i="4" a="1"/>
  <c r="CD6" i="4" s="1"/>
  <c r="CD8" i="4" s="1"/>
  <c r="CC6" i="4" a="1"/>
  <c r="CC6" i="4" s="1"/>
  <c r="CC8" i="4" s="1"/>
  <c r="CB6" i="4" a="1"/>
  <c r="CB6" i="4"/>
  <c r="CA6" i="4" a="1"/>
  <c r="CA6" i="4"/>
  <c r="CA7" i="4" s="1"/>
  <c r="BZ6" i="4" a="1"/>
  <c r="BZ6" i="4"/>
  <c r="BZ8" i="4" s="1"/>
  <c r="BY6" i="4" a="1"/>
  <c r="BY6" i="4"/>
  <c r="BX6" i="4" a="1"/>
  <c r="BX6" i="4"/>
  <c r="BW6" i="4" a="1"/>
  <c r="BW6" i="4"/>
  <c r="BW8" i="4" s="1"/>
  <c r="BV6" i="4" a="1"/>
  <c r="BV6" i="4"/>
  <c r="BV7" i="4" s="1"/>
  <c r="BU6" i="4" a="1"/>
  <c r="BU6" i="4"/>
  <c r="BT6" i="4" a="1"/>
  <c r="BT6" i="4" s="1"/>
  <c r="BS6" i="4" a="1"/>
  <c r="BS6" i="4" s="1"/>
  <c r="BR6" i="4" a="1"/>
  <c r="BR6" i="4" s="1"/>
  <c r="BQ6" i="4" a="1"/>
  <c r="BQ6" i="4" s="1"/>
  <c r="BP6" i="4" a="1"/>
  <c r="BP6" i="4"/>
  <c r="BP7" i="4" s="1"/>
  <c r="BO6" i="4" a="1"/>
  <c r="BO6" i="4"/>
  <c r="BO8" i="4" s="1"/>
  <c r="BN6" i="4" a="1"/>
  <c r="BN6" i="4"/>
  <c r="BM6" i="4" a="1"/>
  <c r="BM6" i="4"/>
  <c r="BL6" i="4" a="1"/>
  <c r="BL6" i="4"/>
  <c r="BK6" i="4" a="1"/>
  <c r="BK6" i="4" s="1"/>
  <c r="BK8" i="4" s="1"/>
  <c r="BJ6" i="4" a="1"/>
  <c r="BJ6" i="4"/>
  <c r="BI6" i="4" a="1"/>
  <c r="BI6" i="4"/>
  <c r="BH6" i="4" a="1"/>
  <c r="BH6" i="4" s="1"/>
  <c r="BG6" i="4" a="1"/>
  <c r="BG6" i="4" s="1"/>
  <c r="BF6" i="4" a="1"/>
  <c r="BF6" i="4" s="1"/>
  <c r="BE6" i="4" a="1"/>
  <c r="BE6" i="4" s="1"/>
  <c r="BD6" i="4" a="1"/>
  <c r="BD6" i="4"/>
  <c r="BD7" i="4" s="1"/>
  <c r="BC6" i="4" a="1"/>
  <c r="BC6" i="4"/>
  <c r="BB6" i="4" a="1"/>
  <c r="BB6" i="4"/>
  <c r="BA6" i="4" a="1"/>
  <c r="BA6" i="4"/>
  <c r="AZ6" i="4" a="1"/>
  <c r="AZ6" i="4" s="1"/>
  <c r="AY6" i="4" a="1"/>
  <c r="AY6" i="4" s="1"/>
  <c r="AX6" i="4" a="1"/>
  <c r="AX6" i="4"/>
  <c r="AX8" i="4" s="1"/>
  <c r="AW6" i="4" a="1"/>
  <c r="AW6" i="4" s="1"/>
  <c r="AW8" i="4" s="1"/>
  <c r="AV6" i="4" a="1"/>
  <c r="AV6" i="4" s="1"/>
  <c r="AV8" i="4" s="1"/>
  <c r="AU6" i="4" a="1"/>
  <c r="AU6" i="4" s="1"/>
  <c r="AT6" i="4" a="1"/>
  <c r="AT6" i="4"/>
  <c r="AS6" i="4" a="1"/>
  <c r="AS6" i="4" s="1"/>
  <c r="AR6" i="4" a="1"/>
  <c r="AR6" i="4"/>
  <c r="AQ6" i="4" a="1"/>
  <c r="AQ6" i="4"/>
  <c r="AQ7" i="4" s="1"/>
  <c r="AP6" i="4" a="1"/>
  <c r="AP6" i="4"/>
  <c r="AO6" i="4" a="1"/>
  <c r="AO6" i="4"/>
  <c r="AO7" i="4" s="1"/>
  <c r="AN6" i="4" a="1"/>
  <c r="AN6" i="4"/>
  <c r="AN7" i="4" s="1"/>
  <c r="AM6" i="4" a="1"/>
  <c r="AM6" i="4" s="1"/>
  <c r="AM8" i="4" s="1"/>
  <c r="AL6" i="4" a="1"/>
  <c r="AL6" i="4" s="1"/>
  <c r="AK6" i="4" a="1"/>
  <c r="AK6" i="4" s="1"/>
  <c r="AK7" i="4" s="1"/>
  <c r="AJ6" i="4" a="1"/>
  <c r="AJ6" i="4"/>
  <c r="AJ7" i="4" s="1"/>
  <c r="AI6" i="4" a="1"/>
  <c r="AI6" i="4"/>
  <c r="AH6" i="4" a="1"/>
  <c r="AH6" i="4"/>
  <c r="AG6" i="4" a="1"/>
  <c r="AG6" i="4"/>
  <c r="AF6" i="4" a="1"/>
  <c r="AF6" i="4"/>
  <c r="AF8" i="4" s="1"/>
  <c r="AE6" i="4" a="1"/>
  <c r="AE6" i="4"/>
  <c r="AD6" i="4" a="1"/>
  <c r="AD6" i="4"/>
  <c r="AC6" i="4" a="1"/>
  <c r="AC6" i="4" s="1"/>
  <c r="AB6" i="4" a="1"/>
  <c r="AB6" i="4" s="1"/>
  <c r="AB8" i="4" s="1"/>
  <c r="AA6" i="4" a="1"/>
  <c r="AA6" i="4" s="1"/>
  <c r="Z6" i="4" a="1"/>
  <c r="Z6" i="4" s="1"/>
  <c r="Y6" i="4" a="1"/>
  <c r="Y6" i="4" s="1"/>
  <c r="X6" i="4" a="1"/>
  <c r="X6" i="4" s="1"/>
  <c r="W6" i="4" a="1"/>
  <c r="W6" i="4"/>
  <c r="W8" i="4" s="1"/>
  <c r="V6" i="4" a="1"/>
  <c r="V6" i="4" s="1"/>
  <c r="U6" i="4" a="1"/>
  <c r="U6" i="4"/>
  <c r="T6" i="4" a="1"/>
  <c r="T6" i="4"/>
  <c r="T8" i="4" s="1"/>
  <c r="S6" i="4" a="1"/>
  <c r="S6" i="4"/>
  <c r="S7" i="4" s="1"/>
  <c r="R6" i="4" a="1"/>
  <c r="R6" i="4"/>
  <c r="Q6" i="4" a="1"/>
  <c r="Q6" i="4"/>
  <c r="P6" i="4" a="1"/>
  <c r="P6" i="4" s="1"/>
  <c r="O6" i="4" a="1"/>
  <c r="O6" i="4"/>
  <c r="N6" i="4" a="1"/>
  <c r="N6" i="4"/>
  <c r="N7" i="4" s="1"/>
  <c r="M6" i="4" a="1"/>
  <c r="M6" i="4"/>
  <c r="L6" i="4" a="1"/>
  <c r="L6" i="4"/>
  <c r="K6" i="4" a="1"/>
  <c r="K6" i="4"/>
  <c r="J6" i="4" a="1"/>
  <c r="J6" i="4"/>
  <c r="I6" i="4" a="1"/>
  <c r="I6" i="4" s="1"/>
  <c r="H6" i="4" a="1"/>
  <c r="H6" i="4" s="1"/>
  <c r="H8" i="4" s="1"/>
  <c r="G6" i="4" a="1"/>
  <c r="G6" i="4" s="1"/>
  <c r="F6" i="4" a="1"/>
  <c r="F6" i="4" s="1"/>
  <c r="F8" i="4" s="1"/>
  <c r="E6" i="4" a="1"/>
  <c r="E6" i="4" s="1"/>
  <c r="D6" i="4" a="1"/>
  <c r="D6" i="4"/>
  <c r="C6" i="4" a="1"/>
  <c r="C6" i="4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EF25" i="3" s="1"/>
  <c r="D25" i="3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D24" i="3"/>
  <c r="E24" i="3" s="1"/>
  <c r="E23" i="3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D23" i="3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H18" i="3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D18" i="3"/>
  <c r="E18" i="3" s="1"/>
  <c r="F18" i="3" s="1"/>
  <c r="G18" i="3" s="1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D17" i="3"/>
  <c r="F16" i="3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D16" i="3"/>
  <c r="E16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I14" i="3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D14" i="3"/>
  <c r="E14" i="3" s="1"/>
  <c r="F14" i="3" s="1"/>
  <c r="G14" i="3" s="1"/>
  <c r="H14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ED8" i="3"/>
  <c r="DV8" i="3"/>
  <c r="DT8" i="3"/>
  <c r="DN8" i="3"/>
  <c r="DM8" i="3"/>
  <c r="DK8" i="3"/>
  <c r="DJ8" i="3"/>
  <c r="CZ8" i="3"/>
  <c r="CY8" i="3"/>
  <c r="CQ8" i="3"/>
  <c r="CG8" i="3"/>
  <c r="CA8" i="3"/>
  <c r="BV8" i="3"/>
  <c r="BO8" i="3"/>
  <c r="BK8" i="3"/>
  <c r="BG8" i="3"/>
  <c r="AZ8" i="3"/>
  <c r="AO8" i="3"/>
  <c r="AK8" i="3"/>
  <c r="AI8" i="3"/>
  <c r="Y8" i="3"/>
  <c r="W8" i="3"/>
  <c r="S8" i="3"/>
  <c r="O8" i="3"/>
  <c r="F8" i="3"/>
  <c r="E8" i="3"/>
  <c r="C8" i="3"/>
  <c r="EA7" i="3"/>
  <c r="DZ7" i="3"/>
  <c r="DX7" i="3"/>
  <c r="DT7" i="3"/>
  <c r="DO7" i="3"/>
  <c r="DN7" i="3"/>
  <c r="DM7" i="3"/>
  <c r="DJ7" i="3"/>
  <c r="DE7" i="3"/>
  <c r="CW7" i="3"/>
  <c r="CT7" i="3"/>
  <c r="CO7" i="3"/>
  <c r="CM7" i="3"/>
  <c r="CL7" i="3"/>
  <c r="CA7" i="3"/>
  <c r="BV7" i="3"/>
  <c r="BU7" i="3"/>
  <c r="BT7" i="3"/>
  <c r="BI7" i="3"/>
  <c r="BG7" i="3"/>
  <c r="AX7" i="3"/>
  <c r="AK7" i="3"/>
  <c r="AI7" i="3"/>
  <c r="AC7" i="3"/>
  <c r="S7" i="3"/>
  <c r="H7" i="3"/>
  <c r="EF6" i="3" a="1"/>
  <c r="EF6" i="3" s="1"/>
  <c r="EF7" i="3" s="1"/>
  <c r="EE6" i="3" a="1"/>
  <c r="EE6" i="3"/>
  <c r="ED6" i="3" a="1"/>
  <c r="ED6" i="3"/>
  <c r="ED7" i="3" s="1"/>
  <c r="EC6" i="3" a="1"/>
  <c r="EC6" i="3"/>
  <c r="EB6" i="3" a="1"/>
  <c r="EB6" i="3"/>
  <c r="EB7" i="3" s="1"/>
  <c r="EA6" i="3" a="1"/>
  <c r="EA6" i="3"/>
  <c r="EA8" i="3" s="1"/>
  <c r="DZ6" i="3" a="1"/>
  <c r="DZ6" i="3"/>
  <c r="DZ8" i="3" s="1"/>
  <c r="DY6" i="3" a="1"/>
  <c r="DY6" i="3"/>
  <c r="DY7" i="3" s="1"/>
  <c r="DX6" i="3" a="1"/>
  <c r="DX6" i="3" s="1"/>
  <c r="DX8" i="3" s="1"/>
  <c r="DW6" i="3" a="1"/>
  <c r="DW6" i="3"/>
  <c r="DV6" i="3" a="1"/>
  <c r="DV6" i="3" s="1"/>
  <c r="DV7" i="3" s="1"/>
  <c r="DU6" i="3" a="1"/>
  <c r="DU6" i="3" s="1"/>
  <c r="DT6" i="3" a="1"/>
  <c r="DT6" i="3"/>
  <c r="DS6" i="3" a="1"/>
  <c r="DS6" i="3" s="1"/>
  <c r="DS8" i="3" s="1"/>
  <c r="DR6" i="3" a="1"/>
  <c r="DR6" i="3" s="1"/>
  <c r="DQ6" i="3" a="1"/>
  <c r="DQ6" i="3"/>
  <c r="DQ7" i="3" s="1"/>
  <c r="DP6" i="3" a="1"/>
  <c r="DP6" i="3" s="1"/>
  <c r="DO6" i="3" a="1"/>
  <c r="DO6" i="3"/>
  <c r="DO8" i="3" s="1"/>
  <c r="DN6" i="3" a="1"/>
  <c r="DN6" i="3"/>
  <c r="DM6" i="3" a="1"/>
  <c r="DM6" i="3" s="1"/>
  <c r="DL6" i="3" a="1"/>
  <c r="DL6" i="3"/>
  <c r="DL7" i="3" s="1"/>
  <c r="DK6" i="3" a="1"/>
  <c r="DK6" i="3"/>
  <c r="DK7" i="3" s="1"/>
  <c r="DJ6" i="3" a="1"/>
  <c r="DJ6" i="3" s="1"/>
  <c r="DI6" i="3" a="1"/>
  <c r="DI6" i="3"/>
  <c r="DH6" i="3" a="1"/>
  <c r="DH6" i="3"/>
  <c r="DG6" i="3" a="1"/>
  <c r="DG6" i="3" s="1"/>
  <c r="DF6" i="3" a="1"/>
  <c r="DF6" i="3"/>
  <c r="DF7" i="3" s="1"/>
  <c r="DE6" i="3" a="1"/>
  <c r="DE6" i="3"/>
  <c r="DE8" i="3" s="1"/>
  <c r="DD6" i="3" a="1"/>
  <c r="DD6" i="3"/>
  <c r="DC6" i="3" a="1"/>
  <c r="DC6" i="3" s="1"/>
  <c r="DB6" i="3" a="1"/>
  <c r="DB6" i="3" s="1"/>
  <c r="DA6" i="3" a="1"/>
  <c r="DA6" i="3" s="1"/>
  <c r="DA8" i="3" s="1"/>
  <c r="CZ6" i="3" a="1"/>
  <c r="CZ6" i="3"/>
  <c r="CZ7" i="3" s="1"/>
  <c r="CY6" i="3" a="1"/>
  <c r="CY6" i="3" s="1"/>
  <c r="CY7" i="3" s="1"/>
  <c r="CX6" i="3" a="1"/>
  <c r="CX6" i="3"/>
  <c r="CX7" i="3" s="1"/>
  <c r="CW6" i="3" a="1"/>
  <c r="CW6" i="3" s="1"/>
  <c r="CW8" i="3" s="1"/>
  <c r="CV6" i="3" a="1"/>
  <c r="CV6" i="3" s="1"/>
  <c r="CU6" i="3" a="1"/>
  <c r="CU6" i="3" s="1"/>
  <c r="CT6" i="3" a="1"/>
  <c r="CT6" i="3"/>
  <c r="CT8" i="3" s="1"/>
  <c r="CS6" i="3" a="1"/>
  <c r="CS6" i="3"/>
  <c r="CS8" i="3" s="1"/>
  <c r="CR6" i="3" a="1"/>
  <c r="CR6" i="3" s="1"/>
  <c r="CQ6" i="3" a="1"/>
  <c r="CQ6" i="3"/>
  <c r="CQ7" i="3" s="1"/>
  <c r="CP6" i="3" a="1"/>
  <c r="CP6" i="3"/>
  <c r="CO6" i="3" a="1"/>
  <c r="CO6" i="3" s="1"/>
  <c r="CO8" i="3" s="1"/>
  <c r="CN6" i="3" a="1"/>
  <c r="CN6" i="3" s="1"/>
  <c r="CN7" i="3" s="1"/>
  <c r="CM6" i="3" a="1"/>
  <c r="CM6" i="3" s="1"/>
  <c r="CM8" i="3" s="1"/>
  <c r="CL6" i="3" a="1"/>
  <c r="CL6" i="3"/>
  <c r="CL8" i="3" s="1"/>
  <c r="CK6" i="3" a="1"/>
  <c r="CK6" i="3"/>
  <c r="CK7" i="3" s="1"/>
  <c r="CJ6" i="3" a="1"/>
  <c r="CJ6" i="3"/>
  <c r="CJ7" i="3" s="1"/>
  <c r="CI6" i="3" a="1"/>
  <c r="CI6" i="3"/>
  <c r="CH6" i="3" a="1"/>
  <c r="CH6" i="3"/>
  <c r="CH8" i="3" s="1"/>
  <c r="CG6" i="3" a="1"/>
  <c r="CG6" i="3"/>
  <c r="CG7" i="3" s="1"/>
  <c r="CF6" i="3" a="1"/>
  <c r="CF6" i="3" s="1"/>
  <c r="CE6" i="3" a="1"/>
  <c r="CE6" i="3" s="1"/>
  <c r="CD6" i="3" a="1"/>
  <c r="CD6" i="3"/>
  <c r="CD7" i="3" s="1"/>
  <c r="CC6" i="3" a="1"/>
  <c r="CC6" i="3" s="1"/>
  <c r="CB6" i="3" a="1"/>
  <c r="CB6" i="3" s="1"/>
  <c r="CA6" i="3" a="1"/>
  <c r="CA6" i="3"/>
  <c r="BZ6" i="3" a="1"/>
  <c r="BZ6" i="3" s="1"/>
  <c r="BY6" i="3" a="1"/>
  <c r="BY6" i="3"/>
  <c r="BY7" i="3" s="1"/>
  <c r="BX6" i="3" a="1"/>
  <c r="BX6" i="3" s="1"/>
  <c r="BW6" i="3" a="1"/>
  <c r="BW6" i="3"/>
  <c r="BV6" i="3" a="1"/>
  <c r="BV6" i="3" s="1"/>
  <c r="BU6" i="3" a="1"/>
  <c r="BU6" i="3"/>
  <c r="BU8" i="3" s="1"/>
  <c r="BT6" i="3" a="1"/>
  <c r="BT6" i="3"/>
  <c r="BT8" i="3" s="1"/>
  <c r="BS6" i="3" a="1"/>
  <c r="BS6" i="3"/>
  <c r="BR6" i="3" a="1"/>
  <c r="BR6" i="3" s="1"/>
  <c r="BR8" i="3" s="1"/>
  <c r="BQ6" i="3" a="1"/>
  <c r="BQ6" i="3"/>
  <c r="BQ7" i="3" s="1"/>
  <c r="BP6" i="3" a="1"/>
  <c r="BP6" i="3"/>
  <c r="BO6" i="3" a="1"/>
  <c r="BO6" i="3" s="1"/>
  <c r="BO7" i="3" s="1"/>
  <c r="BN6" i="3" a="1"/>
  <c r="BN6" i="3" s="1"/>
  <c r="BM6" i="3" a="1"/>
  <c r="BM6" i="3"/>
  <c r="BM8" i="3" s="1"/>
  <c r="BL6" i="3" a="1"/>
  <c r="BL6" i="3" s="1"/>
  <c r="BK6" i="3" a="1"/>
  <c r="BK6" i="3" s="1"/>
  <c r="BK7" i="3" s="1"/>
  <c r="BJ6" i="3" a="1"/>
  <c r="BJ6" i="3" s="1"/>
  <c r="BI6" i="3" a="1"/>
  <c r="BI6" i="3"/>
  <c r="BI8" i="3" s="1"/>
  <c r="BH6" i="3" a="1"/>
  <c r="BH6" i="3" s="1"/>
  <c r="BG6" i="3" a="1"/>
  <c r="BG6" i="3"/>
  <c r="BF6" i="3" a="1"/>
  <c r="BF6" i="3" s="1"/>
  <c r="BE6" i="3" a="1"/>
  <c r="BE6" i="3"/>
  <c r="BE8" i="3" s="1"/>
  <c r="BD6" i="3" a="1"/>
  <c r="BD6" i="3" s="1"/>
  <c r="BD7" i="3" s="1"/>
  <c r="BC6" i="3" a="1"/>
  <c r="BC6" i="3"/>
  <c r="BB6" i="3" a="1"/>
  <c r="BB6" i="3" s="1"/>
  <c r="BA6" i="3" a="1"/>
  <c r="BA6" i="3"/>
  <c r="AZ6" i="3" a="1"/>
  <c r="AZ6" i="3" s="1"/>
  <c r="AZ7" i="3" s="1"/>
  <c r="AY6" i="3" a="1"/>
  <c r="AY6" i="3"/>
  <c r="AY8" i="3" s="1"/>
  <c r="AX6" i="3" a="1"/>
  <c r="AX6" i="3"/>
  <c r="AX8" i="3" s="1"/>
  <c r="AW6" i="3" a="1"/>
  <c r="AW6" i="3"/>
  <c r="AW7" i="3" s="1"/>
  <c r="AV6" i="3" a="1"/>
  <c r="AV6" i="3" s="1"/>
  <c r="AU6" i="3" a="1"/>
  <c r="AU6" i="3"/>
  <c r="AU7" i="3" s="1"/>
  <c r="AT6" i="3" a="1"/>
  <c r="AT6" i="3"/>
  <c r="AT8" i="3" s="1"/>
  <c r="AS6" i="3" a="1"/>
  <c r="AS6" i="3" s="1"/>
  <c r="AR6" i="3" a="1"/>
  <c r="AR6" i="3" s="1"/>
  <c r="AQ6" i="3" a="1"/>
  <c r="AQ6" i="3"/>
  <c r="AP6" i="3" a="1"/>
  <c r="AP6" i="3" s="1"/>
  <c r="AO6" i="3" a="1"/>
  <c r="AO6" i="3" s="1"/>
  <c r="AO7" i="3" s="1"/>
  <c r="AN6" i="3" a="1"/>
  <c r="AN6" i="3"/>
  <c r="AM6" i="3" a="1"/>
  <c r="AM6" i="3"/>
  <c r="AM8" i="3" s="1"/>
  <c r="AL6" i="3" a="1"/>
  <c r="AL6" i="3" s="1"/>
  <c r="AK6" i="3" a="1"/>
  <c r="AK6" i="3"/>
  <c r="AJ6" i="3" a="1"/>
  <c r="AJ6" i="3" s="1"/>
  <c r="AI6" i="3" a="1"/>
  <c r="AI6" i="3"/>
  <c r="AH6" i="3" a="1"/>
  <c r="AH6" i="3" s="1"/>
  <c r="AH7" i="3" s="1"/>
  <c r="AG6" i="3" a="1"/>
  <c r="AG6" i="3"/>
  <c r="AG7" i="3" s="1"/>
  <c r="AF6" i="3" a="1"/>
  <c r="AF6" i="3" s="1"/>
  <c r="AE6" i="3" a="1"/>
  <c r="AE6" i="3"/>
  <c r="AD6" i="3" a="1"/>
  <c r="AD6" i="3" s="1"/>
  <c r="AC6" i="3" a="1"/>
  <c r="AC6" i="3"/>
  <c r="AC8" i="3" s="1"/>
  <c r="AB6" i="3" a="1"/>
  <c r="AB6" i="3"/>
  <c r="AB8" i="3" s="1"/>
  <c r="AA6" i="3" a="1"/>
  <c r="AA6" i="3"/>
  <c r="Z6" i="3" a="1"/>
  <c r="Z6" i="3" s="1"/>
  <c r="Y6" i="3" a="1"/>
  <c r="Y6" i="3"/>
  <c r="Y7" i="3" s="1"/>
  <c r="X6" i="3" a="1"/>
  <c r="X6" i="3"/>
  <c r="X8" i="3" s="1"/>
  <c r="W6" i="3" a="1"/>
  <c r="W6" i="3" s="1"/>
  <c r="W7" i="3" s="1"/>
  <c r="V6" i="3" a="1"/>
  <c r="V6" i="3"/>
  <c r="V7" i="3" s="1"/>
  <c r="U6" i="3" a="1"/>
  <c r="U6" i="3"/>
  <c r="U8" i="3" s="1"/>
  <c r="T6" i="3" a="1"/>
  <c r="T6" i="3" s="1"/>
  <c r="S6" i="3" a="1"/>
  <c r="S6" i="3"/>
  <c r="R6" i="3" a="1"/>
  <c r="R6" i="3" s="1"/>
  <c r="Q6" i="3" a="1"/>
  <c r="Q6" i="3"/>
  <c r="P6" i="3" a="1"/>
  <c r="P6" i="3" s="1"/>
  <c r="O6" i="3" a="1"/>
  <c r="O6" i="3"/>
  <c r="O7" i="3" s="1"/>
  <c r="N6" i="3" a="1"/>
  <c r="N6" i="3" s="1"/>
  <c r="M6" i="3" a="1"/>
  <c r="M6" i="3" s="1"/>
  <c r="L6" i="3" a="1"/>
  <c r="L6" i="3" s="1"/>
  <c r="K6" i="3" a="1"/>
  <c r="K6" i="3"/>
  <c r="K7" i="3" s="1"/>
  <c r="J6" i="3" a="1"/>
  <c r="J6" i="3"/>
  <c r="J8" i="3" s="1"/>
  <c r="I6" i="3" a="1"/>
  <c r="I6" i="3"/>
  <c r="H6" i="3" a="1"/>
  <c r="H6" i="3" s="1"/>
  <c r="H8" i="3" s="1"/>
  <c r="G6" i="3" a="1"/>
  <c r="G6" i="3"/>
  <c r="F6" i="3" a="1"/>
  <c r="F6" i="3"/>
  <c r="F7" i="3" s="1"/>
  <c r="E6" i="3" a="1"/>
  <c r="E6" i="3"/>
  <c r="E7" i="3" s="1"/>
  <c r="D6" i="3" a="1"/>
  <c r="D6" i="3"/>
  <c r="C6" i="3" a="1"/>
  <c r="C6" i="3"/>
  <c r="C7" i="3" s="1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H19" i="2" s="1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EH18" i="2" s="1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DZ8" i="2"/>
  <c r="DD8" i="2"/>
  <c r="CX8" i="2"/>
  <c r="CS8" i="2"/>
  <c r="CH8" i="2"/>
  <c r="BQ8" i="2"/>
  <c r="BL8" i="2"/>
  <c r="AU8" i="2"/>
  <c r="AJ8" i="2"/>
  <c r="AE8" i="2"/>
  <c r="Y8" i="2"/>
  <c r="I8" i="2"/>
  <c r="EF7" i="2"/>
  <c r="ED7" i="2"/>
  <c r="DS7" i="2"/>
  <c r="DJ7" i="2"/>
  <c r="CZ7" i="2"/>
  <c r="CO7" i="2"/>
  <c r="CE7" i="2"/>
  <c r="CD7" i="2"/>
  <c r="CC7" i="2"/>
  <c r="BE7" i="2"/>
  <c r="AK7" i="2"/>
  <c r="AI7" i="2"/>
  <c r="Z7" i="2"/>
  <c r="X7" i="2"/>
  <c r="M7" i="2"/>
  <c r="K7" i="2"/>
  <c r="F7" i="2"/>
  <c r="D7" i="2"/>
  <c r="EF6" i="2" a="1"/>
  <c r="EF6" i="2" s="1"/>
  <c r="EF8" i="2" s="1"/>
  <c r="EE6" i="2" a="1"/>
  <c r="EE6" i="2" s="1"/>
  <c r="EE7" i="2" s="1"/>
  <c r="ED6" i="2" a="1"/>
  <c r="ED6" i="2" s="1"/>
  <c r="ED8" i="2" s="1"/>
  <c r="EC6" i="2" a="1"/>
  <c r="EC6" i="2"/>
  <c r="EB6" i="2" a="1"/>
  <c r="EB6" i="2"/>
  <c r="EB8" i="2" s="1"/>
  <c r="EA6" i="2" a="1"/>
  <c r="EA6" i="2"/>
  <c r="DZ6" i="2" a="1"/>
  <c r="DZ6" i="2"/>
  <c r="DZ7" i="2" s="1"/>
  <c r="DY6" i="2" a="1"/>
  <c r="DY6" i="2"/>
  <c r="DY8" i="2" s="1"/>
  <c r="DX6" i="2" a="1"/>
  <c r="DX6" i="2"/>
  <c r="DX8" i="2" s="1"/>
  <c r="DW6" i="2" a="1"/>
  <c r="DW6" i="2" s="1"/>
  <c r="DV6" i="2" a="1"/>
  <c r="DV6" i="2" s="1"/>
  <c r="DV8" i="2" s="1"/>
  <c r="DU6" i="2" a="1"/>
  <c r="DU6" i="2" s="1"/>
  <c r="DU8" i="2" s="1"/>
  <c r="DT6" i="2" a="1"/>
  <c r="DT6" i="2" s="1"/>
  <c r="DT7" i="2" s="1"/>
  <c r="DS6" i="2" a="1"/>
  <c r="DS6" i="2" s="1"/>
  <c r="DS8" i="2" s="1"/>
  <c r="DR6" i="2" a="1"/>
  <c r="DR6" i="2"/>
  <c r="DQ6" i="2" a="1"/>
  <c r="DQ6" i="2" s="1"/>
  <c r="DP6" i="2" a="1"/>
  <c r="DP6" i="2"/>
  <c r="DO6" i="2" a="1"/>
  <c r="DO6" i="2"/>
  <c r="DO7" i="2" s="1"/>
  <c r="DN6" i="2" a="1"/>
  <c r="DN6" i="2"/>
  <c r="DN8" i="2" s="1"/>
  <c r="DM6" i="2" a="1"/>
  <c r="DM6" i="2"/>
  <c r="DM8" i="2" s="1"/>
  <c r="DL6" i="2" a="1"/>
  <c r="DL6" i="2"/>
  <c r="DL8" i="2" s="1"/>
  <c r="DK6" i="2" a="1"/>
  <c r="DK6" i="2" s="1"/>
  <c r="DK8" i="2" s="1"/>
  <c r="DJ6" i="2" a="1"/>
  <c r="DJ6" i="2" s="1"/>
  <c r="DJ8" i="2" s="1"/>
  <c r="DI6" i="2" a="1"/>
  <c r="DI6" i="2" s="1"/>
  <c r="DI7" i="2" s="1"/>
  <c r="DH6" i="2" a="1"/>
  <c r="DH6" i="2" s="1"/>
  <c r="DH8" i="2" s="1"/>
  <c r="DG6" i="2" a="1"/>
  <c r="DG6" i="2"/>
  <c r="DF6" i="2" a="1"/>
  <c r="DF6" i="2" s="1"/>
  <c r="DE6" i="2" a="1"/>
  <c r="DE6" i="2"/>
  <c r="DD6" i="2" a="1"/>
  <c r="DD6" i="2"/>
  <c r="DD7" i="2" s="1"/>
  <c r="DC6" i="2" a="1"/>
  <c r="DC6" i="2"/>
  <c r="DC8" i="2" s="1"/>
  <c r="DB6" i="2" a="1"/>
  <c r="DB6" i="2"/>
  <c r="DB8" i="2" s="1"/>
  <c r="DA6" i="2" a="1"/>
  <c r="DA6" i="2"/>
  <c r="DA8" i="2" s="1"/>
  <c r="CZ6" i="2" a="1"/>
  <c r="CZ6" i="2" s="1"/>
  <c r="CZ8" i="2" s="1"/>
  <c r="CY6" i="2" a="1"/>
  <c r="CY6" i="2" s="1"/>
  <c r="CY8" i="2" s="1"/>
  <c r="CX6" i="2" a="1"/>
  <c r="CX6" i="2" s="1"/>
  <c r="CX7" i="2" s="1"/>
  <c r="CW6" i="2" a="1"/>
  <c r="CW6" i="2" s="1"/>
  <c r="CW8" i="2" s="1"/>
  <c r="CV6" i="2" a="1"/>
  <c r="CV6" i="2"/>
  <c r="CU6" i="2" a="1"/>
  <c r="CU6" i="2" s="1"/>
  <c r="CT6" i="2" a="1"/>
  <c r="CT6" i="2"/>
  <c r="CS6" i="2" a="1"/>
  <c r="CS6" i="2"/>
  <c r="CS7" i="2" s="1"/>
  <c r="CR6" i="2" a="1"/>
  <c r="CR6" i="2"/>
  <c r="CR8" i="2" s="1"/>
  <c r="CQ6" i="2" a="1"/>
  <c r="CQ6" i="2"/>
  <c r="CQ8" i="2" s="1"/>
  <c r="CP6" i="2" a="1"/>
  <c r="CP6" i="2"/>
  <c r="CP8" i="2" s="1"/>
  <c r="CO6" i="2" a="1"/>
  <c r="CO6" i="2" s="1"/>
  <c r="CO8" i="2" s="1"/>
  <c r="CN6" i="2" a="1"/>
  <c r="CN6" i="2" s="1"/>
  <c r="CN8" i="2" s="1"/>
  <c r="CM6" i="2" a="1"/>
  <c r="CM6" i="2" s="1"/>
  <c r="CM7" i="2" s="1"/>
  <c r="CL6" i="2" a="1"/>
  <c r="CL6" i="2" s="1"/>
  <c r="CL8" i="2" s="1"/>
  <c r="CK6" i="2" a="1"/>
  <c r="CK6" i="2"/>
  <c r="CJ6" i="2" a="1"/>
  <c r="CJ6" i="2"/>
  <c r="CJ8" i="2" s="1"/>
  <c r="CI6" i="2" a="1"/>
  <c r="CI6" i="2"/>
  <c r="CH6" i="2" a="1"/>
  <c r="CH6" i="2"/>
  <c r="CH7" i="2" s="1"/>
  <c r="CG6" i="2" a="1"/>
  <c r="CG6" i="2"/>
  <c r="CG8" i="2" s="1"/>
  <c r="CF6" i="2" a="1"/>
  <c r="CF6" i="2"/>
  <c r="CF8" i="2" s="1"/>
  <c r="CE6" i="2" a="1"/>
  <c r="CE6" i="2"/>
  <c r="CE8" i="2" s="1"/>
  <c r="CD6" i="2" a="1"/>
  <c r="CD6" i="2" s="1"/>
  <c r="CD8" i="2" s="1"/>
  <c r="CC6" i="2" a="1"/>
  <c r="CC6" i="2" s="1"/>
  <c r="CC8" i="2" s="1"/>
  <c r="CB6" i="2" a="1"/>
  <c r="CB6" i="2" s="1"/>
  <c r="CB7" i="2" s="1"/>
  <c r="CA6" i="2" a="1"/>
  <c r="CA6" i="2" s="1"/>
  <c r="CA8" i="2" s="1"/>
  <c r="BZ6" i="2" a="1"/>
  <c r="BZ6" i="2"/>
  <c r="BY6" i="2" a="1"/>
  <c r="BY6" i="2"/>
  <c r="BY8" i="2" s="1"/>
  <c r="BX6" i="2" a="1"/>
  <c r="BX6" i="2"/>
  <c r="BW6" i="2" a="1"/>
  <c r="BW6" i="2"/>
  <c r="BW7" i="2" s="1"/>
  <c r="BV6" i="2" a="1"/>
  <c r="BV6" i="2"/>
  <c r="BV8" i="2" s="1"/>
  <c r="BU6" i="2" a="1"/>
  <c r="BU6" i="2"/>
  <c r="BU8" i="2" s="1"/>
  <c r="BT6" i="2" a="1"/>
  <c r="BT6" i="2" s="1"/>
  <c r="BS6" i="2" a="1"/>
  <c r="BS6" i="2" s="1"/>
  <c r="BR6" i="2" a="1"/>
  <c r="BR6" i="2" s="1"/>
  <c r="BR8" i="2" s="1"/>
  <c r="BQ6" i="2" a="1"/>
  <c r="BQ6" i="2" s="1"/>
  <c r="BQ7" i="2" s="1"/>
  <c r="BP6" i="2" a="1"/>
  <c r="BP6" i="2" s="1"/>
  <c r="BP8" i="2" s="1"/>
  <c r="BO6" i="2" a="1"/>
  <c r="BO6" i="2"/>
  <c r="BN6" i="2" a="1"/>
  <c r="BN6" i="2" s="1"/>
  <c r="BM6" i="2" a="1"/>
  <c r="BM6" i="2" s="1"/>
  <c r="BL6" i="2" a="1"/>
  <c r="BL6" i="2"/>
  <c r="BL7" i="2" s="1"/>
  <c r="BK6" i="2" a="1"/>
  <c r="BK6" i="2"/>
  <c r="BK8" i="2" s="1"/>
  <c r="BJ6" i="2" a="1"/>
  <c r="BJ6" i="2"/>
  <c r="BJ8" i="2" s="1"/>
  <c r="BI6" i="2" a="1"/>
  <c r="BI6" i="2"/>
  <c r="BI8" i="2" s="1"/>
  <c r="BH6" i="2" a="1"/>
  <c r="BH6" i="2"/>
  <c r="BH8" i="2" s="1"/>
  <c r="BG6" i="2" a="1"/>
  <c r="BG6" i="2" s="1"/>
  <c r="BG8" i="2" s="1"/>
  <c r="BF6" i="2" a="1"/>
  <c r="BF6" i="2" s="1"/>
  <c r="BF7" i="2" s="1"/>
  <c r="BE6" i="2" a="1"/>
  <c r="BE6" i="2" s="1"/>
  <c r="BE8" i="2" s="1"/>
  <c r="BD6" i="2" a="1"/>
  <c r="BD6" i="2"/>
  <c r="BC6" i="2" a="1"/>
  <c r="BC6" i="2" s="1"/>
  <c r="BB6" i="2" a="1"/>
  <c r="BB6" i="2"/>
  <c r="BA6" i="2" a="1"/>
  <c r="BA6" i="2"/>
  <c r="BA7" i="2" s="1"/>
  <c r="AZ6" i="2" a="1"/>
  <c r="AZ6" i="2"/>
  <c r="AZ8" i="2" s="1"/>
  <c r="AY6" i="2" a="1"/>
  <c r="AY6" i="2"/>
  <c r="AY8" i="2" s="1"/>
  <c r="AX6" i="2" a="1"/>
  <c r="AX6" i="2"/>
  <c r="AX8" i="2" s="1"/>
  <c r="AW6" i="2" a="1"/>
  <c r="AW6" i="2" s="1"/>
  <c r="AV6" i="2" a="1"/>
  <c r="AV6" i="2" s="1"/>
  <c r="AV8" i="2" s="1"/>
  <c r="AU6" i="2" a="1"/>
  <c r="AU6" i="2" s="1"/>
  <c r="AU7" i="2" s="1"/>
  <c r="AT6" i="2" a="1"/>
  <c r="AT6" i="2" s="1"/>
  <c r="AT8" i="2" s="1"/>
  <c r="AS6" i="2" a="1"/>
  <c r="AS6" i="2"/>
  <c r="AR6" i="2" a="1"/>
  <c r="AR6" i="2"/>
  <c r="AR8" i="2" s="1"/>
  <c r="AQ6" i="2" a="1"/>
  <c r="AQ6" i="2"/>
  <c r="AP6" i="2" a="1"/>
  <c r="AP6" i="2"/>
  <c r="AP7" i="2" s="1"/>
  <c r="AO6" i="2" a="1"/>
  <c r="AO6" i="2"/>
  <c r="AO8" i="2" s="1"/>
  <c r="AN6" i="2" a="1"/>
  <c r="AN6" i="2"/>
  <c r="AN8" i="2" s="1"/>
  <c r="AM6" i="2" a="1"/>
  <c r="AM6" i="2" s="1"/>
  <c r="AL6" i="2" a="1"/>
  <c r="AL6" i="2"/>
  <c r="AL8" i="2" s="1"/>
  <c r="AK6" i="2" a="1"/>
  <c r="AK6" i="2" s="1"/>
  <c r="AK8" i="2" s="1"/>
  <c r="AJ6" i="2" a="1"/>
  <c r="AJ6" i="2" s="1"/>
  <c r="AJ7" i="2" s="1"/>
  <c r="AI6" i="2" a="1"/>
  <c r="AI6" i="2" s="1"/>
  <c r="AI8" i="2" s="1"/>
  <c r="AH6" i="2" a="1"/>
  <c r="AH6" i="2"/>
  <c r="AG6" i="2" a="1"/>
  <c r="AG6" i="2" s="1"/>
  <c r="AF6" i="2" a="1"/>
  <c r="AF6" i="2" s="1"/>
  <c r="AE6" i="2" a="1"/>
  <c r="AE6" i="2"/>
  <c r="AE7" i="2" s="1"/>
  <c r="AD6" i="2" a="1"/>
  <c r="AD6" i="2"/>
  <c r="AD8" i="2" s="1"/>
  <c r="AC6" i="2" a="1"/>
  <c r="AC6" i="2"/>
  <c r="AC8" i="2" s="1"/>
  <c r="AB6" i="2" a="1"/>
  <c r="AB6" i="2"/>
  <c r="AB8" i="2" s="1"/>
  <c r="AA6" i="2" a="1"/>
  <c r="AA6" i="2"/>
  <c r="AA8" i="2" s="1"/>
  <c r="Z6" i="2" a="1"/>
  <c r="Z6" i="2" s="1"/>
  <c r="Z8" i="2" s="1"/>
  <c r="Y6" i="2" a="1"/>
  <c r="Y6" i="2" s="1"/>
  <c r="Y7" i="2" s="1"/>
  <c r="X6" i="2" a="1"/>
  <c r="X6" i="2" s="1"/>
  <c r="X8" i="2" s="1"/>
  <c r="W6" i="2" a="1"/>
  <c r="W6" i="2"/>
  <c r="V6" i="2" a="1"/>
  <c r="V6" i="2"/>
  <c r="V7" i="2" s="1"/>
  <c r="U6" i="2" a="1"/>
  <c r="U6" i="2"/>
  <c r="T6" i="2" a="1"/>
  <c r="T6" i="2"/>
  <c r="T7" i="2" s="1"/>
  <c r="S6" i="2" a="1"/>
  <c r="S6" i="2"/>
  <c r="S8" i="2" s="1"/>
  <c r="R6" i="2" a="1"/>
  <c r="R6" i="2"/>
  <c r="R8" i="2" s="1"/>
  <c r="Q6" i="2" a="1"/>
  <c r="Q6" i="2" s="1"/>
  <c r="P6" i="2" a="1"/>
  <c r="P6" i="2" s="1"/>
  <c r="O6" i="2" a="1"/>
  <c r="O6" i="2" s="1"/>
  <c r="O8" i="2" s="1"/>
  <c r="N6" i="2" a="1"/>
  <c r="N6" i="2" s="1"/>
  <c r="N7" i="2" s="1"/>
  <c r="M6" i="2" a="1"/>
  <c r="M6" i="2" s="1"/>
  <c r="M8" i="2" s="1"/>
  <c r="L6" i="2" a="1"/>
  <c r="L6" i="2"/>
  <c r="K6" i="2" a="1"/>
  <c r="K6" i="2"/>
  <c r="K8" i="2" s="1"/>
  <c r="J6" i="2" a="1"/>
  <c r="J6" i="2" s="1"/>
  <c r="I6" i="2" a="1"/>
  <c r="I6" i="2"/>
  <c r="I7" i="2" s="1"/>
  <c r="H6" i="2" a="1"/>
  <c r="H6" i="2"/>
  <c r="H8" i="2" s="1"/>
  <c r="G6" i="2" a="1"/>
  <c r="G6" i="2"/>
  <c r="G8" i="2" s="1"/>
  <c r="F6" i="2" a="1"/>
  <c r="F6" i="2"/>
  <c r="F8" i="2" s="1"/>
  <c r="E6" i="2" a="1"/>
  <c r="E6" i="2" s="1"/>
  <c r="D6" i="2" a="1"/>
  <c r="D6" i="2" s="1"/>
  <c r="D8" i="2" s="1"/>
  <c r="C6" i="2" a="1"/>
  <c r="C6" i="2" s="1"/>
  <c r="C7" i="2" s="1"/>
  <c r="EC8" i="1"/>
  <c r="EB8" i="1"/>
  <c r="DR8" i="1"/>
  <c r="DQ8" i="1"/>
  <c r="DN8" i="1"/>
  <c r="DG8" i="1"/>
  <c r="DF8" i="1"/>
  <c r="DE8" i="1"/>
  <c r="CV8" i="1"/>
  <c r="CU8" i="1"/>
  <c r="CS8" i="1"/>
  <c r="CP8" i="1"/>
  <c r="CK8" i="1"/>
  <c r="CJ8" i="1"/>
  <c r="CG8" i="1"/>
  <c r="CE8" i="1"/>
  <c r="BZ8" i="1"/>
  <c r="BY8" i="1"/>
  <c r="BO8" i="1"/>
  <c r="BN8" i="1"/>
  <c r="BK8" i="1"/>
  <c r="BI8" i="1"/>
  <c r="BD8" i="1"/>
  <c r="BC8" i="1"/>
  <c r="BA8" i="1"/>
  <c r="AZ8" i="1"/>
  <c r="AX8" i="1"/>
  <c r="AS8" i="1"/>
  <c r="AR8" i="1"/>
  <c r="AH8" i="1"/>
  <c r="AG8" i="1"/>
  <c r="AD8" i="1"/>
  <c r="W8" i="1"/>
  <c r="V8" i="1"/>
  <c r="U8" i="1"/>
  <c r="L8" i="1"/>
  <c r="K8" i="1"/>
  <c r="EE7" i="1"/>
  <c r="EC7" i="1"/>
  <c r="EB7" i="1"/>
  <c r="DS7" i="1"/>
  <c r="DR7" i="1"/>
  <c r="DQ7" i="1"/>
  <c r="DG7" i="1"/>
  <c r="DF7" i="1"/>
  <c r="DC7" i="1"/>
  <c r="CX7" i="1"/>
  <c r="CW7" i="1"/>
  <c r="CV7" i="1"/>
  <c r="CU7" i="1"/>
  <c r="CK7" i="1"/>
  <c r="CJ7" i="1"/>
  <c r="CG7" i="1"/>
  <c r="BZ7" i="1"/>
  <c r="BY7" i="1"/>
  <c r="BP7" i="1"/>
  <c r="BO7" i="1"/>
  <c r="BN7" i="1"/>
  <c r="BM7" i="1"/>
  <c r="BK7" i="1"/>
  <c r="BE7" i="1"/>
  <c r="BD7" i="1"/>
  <c r="BC7" i="1"/>
  <c r="AS7" i="1"/>
  <c r="AR7" i="1"/>
  <c r="AH7" i="1"/>
  <c r="AG7" i="1"/>
  <c r="AD7" i="1"/>
  <c r="X7" i="1"/>
  <c r="W7" i="1"/>
  <c r="V7" i="1"/>
  <c r="S7" i="1"/>
  <c r="N7" i="1"/>
  <c r="L7" i="1"/>
  <c r="K7" i="1"/>
  <c r="EF6" i="1" a="1"/>
  <c r="EF6" i="1"/>
  <c r="EE6" i="1" a="1"/>
  <c r="EE6" i="1"/>
  <c r="EE8" i="1" s="1"/>
  <c r="ED6" i="1" a="1"/>
  <c r="ED6" i="1"/>
  <c r="ED8" i="1" s="1"/>
  <c r="EC6" i="1" a="1"/>
  <c r="EC6" i="1"/>
  <c r="EB6" i="1" a="1"/>
  <c r="EB6" i="1"/>
  <c r="EA6" i="1" a="1"/>
  <c r="EA6" i="1" s="1"/>
  <c r="DZ6" i="1" a="1"/>
  <c r="DZ6" i="1" s="1"/>
  <c r="DY6" i="1" a="1"/>
  <c r="DY6" i="1" s="1"/>
  <c r="DY7" i="1" s="1"/>
  <c r="DX6" i="1" a="1"/>
  <c r="DX6" i="1" s="1"/>
  <c r="DW6" i="1" a="1"/>
  <c r="DW6" i="1" s="1"/>
  <c r="DW7" i="1" s="1"/>
  <c r="DV6" i="1" a="1"/>
  <c r="DV6" i="1"/>
  <c r="DU6" i="1" a="1"/>
  <c r="DU6" i="1" s="1"/>
  <c r="DT6" i="1" a="1"/>
  <c r="DT6" i="1" s="1"/>
  <c r="DS6" i="1" a="1"/>
  <c r="DS6" i="1"/>
  <c r="DS8" i="1" s="1"/>
  <c r="DR6" i="1" a="1"/>
  <c r="DR6" i="1"/>
  <c r="DQ6" i="1" a="1"/>
  <c r="DQ6" i="1"/>
  <c r="DP6" i="1" a="1"/>
  <c r="DP6" i="1"/>
  <c r="DP8" i="1" s="1"/>
  <c r="DO6" i="1" a="1"/>
  <c r="DO6" i="1"/>
  <c r="DO7" i="1" s="1"/>
  <c r="DN6" i="1" a="1"/>
  <c r="DN6" i="1" s="1"/>
  <c r="DN7" i="1" s="1"/>
  <c r="DM6" i="1" a="1"/>
  <c r="DM6" i="1" s="1"/>
  <c r="DL6" i="1" a="1"/>
  <c r="DL6" i="1" s="1"/>
  <c r="DL7" i="1" s="1"/>
  <c r="DK6" i="1" a="1"/>
  <c r="DK6" i="1"/>
  <c r="DJ6" i="1" a="1"/>
  <c r="DJ6" i="1" s="1"/>
  <c r="DI6" i="1" a="1"/>
  <c r="DI6" i="1"/>
  <c r="DI8" i="1" s="1"/>
  <c r="DH6" i="1" a="1"/>
  <c r="DH6" i="1"/>
  <c r="DH8" i="1" s="1"/>
  <c r="DG6" i="1" a="1"/>
  <c r="DG6" i="1"/>
  <c r="DF6" i="1" a="1"/>
  <c r="DF6" i="1"/>
  <c r="DE6" i="1" a="1"/>
  <c r="DE6" i="1"/>
  <c r="DE7" i="1" s="1"/>
  <c r="DD6" i="1" a="1"/>
  <c r="DD6" i="1" s="1"/>
  <c r="DC6" i="1" a="1"/>
  <c r="DC6" i="1" s="1"/>
  <c r="DC8" i="1" s="1"/>
  <c r="DB6" i="1" a="1"/>
  <c r="DB6" i="1" s="1"/>
  <c r="DA6" i="1" a="1"/>
  <c r="DA6" i="1" s="1"/>
  <c r="DA7" i="1" s="1"/>
  <c r="CZ6" i="1" a="1"/>
  <c r="CZ6" i="1"/>
  <c r="CY6" i="1" a="1"/>
  <c r="CY6" i="1"/>
  <c r="CX6" i="1" a="1"/>
  <c r="CX6" i="1"/>
  <c r="CX8" i="1" s="1"/>
  <c r="CW6" i="1" a="1"/>
  <c r="CW6" i="1"/>
  <c r="CW8" i="1" s="1"/>
  <c r="CV6" i="1" a="1"/>
  <c r="CV6" i="1"/>
  <c r="CU6" i="1" a="1"/>
  <c r="CU6" i="1"/>
  <c r="CT6" i="1" a="1"/>
  <c r="CT6" i="1" s="1"/>
  <c r="CS6" i="1" a="1"/>
  <c r="CS6" i="1"/>
  <c r="CS7" i="1" s="1"/>
  <c r="CR6" i="1" a="1"/>
  <c r="CR6" i="1" s="1"/>
  <c r="CR7" i="1" s="1"/>
  <c r="CQ6" i="1" a="1"/>
  <c r="CQ6" i="1" s="1"/>
  <c r="CP6" i="1" a="1"/>
  <c r="CP6" i="1" s="1"/>
  <c r="CP7" i="1" s="1"/>
  <c r="CO6" i="1" a="1"/>
  <c r="CO6" i="1"/>
  <c r="CN6" i="1" a="1"/>
  <c r="CN6" i="1" s="1"/>
  <c r="CM6" i="1" a="1"/>
  <c r="CM6" i="1" s="1"/>
  <c r="CL6" i="1" a="1"/>
  <c r="CL6" i="1"/>
  <c r="CL8" i="1" s="1"/>
  <c r="CK6" i="1" a="1"/>
  <c r="CK6" i="1"/>
  <c r="CJ6" i="1" a="1"/>
  <c r="CJ6" i="1"/>
  <c r="CI6" i="1" a="1"/>
  <c r="CI6" i="1"/>
  <c r="CI7" i="1" s="1"/>
  <c r="CH6" i="1" a="1"/>
  <c r="CH6" i="1"/>
  <c r="CH7" i="1" s="1"/>
  <c r="CG6" i="1" a="1"/>
  <c r="CG6" i="1" s="1"/>
  <c r="CF6" i="1" a="1"/>
  <c r="CF6" i="1" s="1"/>
  <c r="CE6" i="1" a="1"/>
  <c r="CE6" i="1" s="1"/>
  <c r="CE7" i="1" s="1"/>
  <c r="CD6" i="1" a="1"/>
  <c r="CD6" i="1"/>
  <c r="CC6" i="1" a="1"/>
  <c r="CC6" i="1"/>
  <c r="CB6" i="1" a="1"/>
  <c r="CB6" i="1"/>
  <c r="CB8" i="1" s="1"/>
  <c r="CA6" i="1" a="1"/>
  <c r="CA6" i="1"/>
  <c r="CA8" i="1" s="1"/>
  <c r="BZ6" i="1" a="1"/>
  <c r="BZ6" i="1"/>
  <c r="BY6" i="1" a="1"/>
  <c r="BY6" i="1"/>
  <c r="BX6" i="1" a="1"/>
  <c r="BX6" i="1" s="1"/>
  <c r="BW6" i="1" a="1"/>
  <c r="BW6" i="1" s="1"/>
  <c r="BV6" i="1" a="1"/>
  <c r="BV6" i="1" s="1"/>
  <c r="BV7" i="1" s="1"/>
  <c r="BU6" i="1" a="1"/>
  <c r="BU6" i="1" s="1"/>
  <c r="BT6" i="1" a="1"/>
  <c r="BT6" i="1" s="1"/>
  <c r="BT7" i="1" s="1"/>
  <c r="BS6" i="1" a="1"/>
  <c r="BS6" i="1"/>
  <c r="BR6" i="1" a="1"/>
  <c r="BR6" i="1"/>
  <c r="BQ6" i="1" a="1"/>
  <c r="BQ6" i="1" s="1"/>
  <c r="BP6" i="1" a="1"/>
  <c r="BP6" i="1"/>
  <c r="BP8" i="1" s="1"/>
  <c r="BO6" i="1" a="1"/>
  <c r="BO6" i="1"/>
  <c r="BN6" i="1" a="1"/>
  <c r="BN6" i="1"/>
  <c r="BM6" i="1" a="1"/>
  <c r="BM6" i="1"/>
  <c r="BM8" i="1" s="1"/>
  <c r="BL6" i="1" a="1"/>
  <c r="BL6" i="1" s="1"/>
  <c r="BK6" i="1" a="1"/>
  <c r="BK6" i="1" s="1"/>
  <c r="BJ6" i="1" a="1"/>
  <c r="BJ6" i="1" s="1"/>
  <c r="BI6" i="1" a="1"/>
  <c r="BI6" i="1" s="1"/>
  <c r="BI7" i="1" s="1"/>
  <c r="BH6" i="1" a="1"/>
  <c r="BH6" i="1"/>
  <c r="BG6" i="1" a="1"/>
  <c r="BG6" i="1" s="1"/>
  <c r="BF6" i="1" a="1"/>
  <c r="BF6" i="1"/>
  <c r="BF8" i="1" s="1"/>
  <c r="BE6" i="1" a="1"/>
  <c r="BE6" i="1"/>
  <c r="BE8" i="1" s="1"/>
  <c r="BD6" i="1" a="1"/>
  <c r="BD6" i="1"/>
  <c r="BC6" i="1" a="1"/>
  <c r="BC6" i="1"/>
  <c r="BB6" i="1" a="1"/>
  <c r="BB6" i="1"/>
  <c r="BB7" i="1" s="1"/>
  <c r="BA6" i="1" a="1"/>
  <c r="BA6" i="1"/>
  <c r="BA7" i="1" s="1"/>
  <c r="AZ6" i="1" a="1"/>
  <c r="AZ6" i="1" s="1"/>
  <c r="AZ7" i="1" s="1"/>
  <c r="AY6" i="1" a="1"/>
  <c r="AY6" i="1" s="1"/>
  <c r="AX6" i="1" a="1"/>
  <c r="AX6" i="1" s="1"/>
  <c r="AX7" i="1" s="1"/>
  <c r="AW6" i="1" a="1"/>
  <c r="AW6" i="1"/>
  <c r="AV6" i="1" a="1"/>
  <c r="AV6" i="1"/>
  <c r="AU6" i="1" a="1"/>
  <c r="AU6" i="1"/>
  <c r="AU8" i="1" s="1"/>
  <c r="AT6" i="1" a="1"/>
  <c r="AT6" i="1"/>
  <c r="AT8" i="1" s="1"/>
  <c r="AS6" i="1" a="1"/>
  <c r="AS6" i="1"/>
  <c r="AR6" i="1" a="1"/>
  <c r="AR6" i="1"/>
  <c r="AQ6" i="1" a="1"/>
  <c r="AQ6" i="1" s="1"/>
  <c r="AP6" i="1" a="1"/>
  <c r="AP6" i="1" s="1"/>
  <c r="AO6" i="1" a="1"/>
  <c r="AO6" i="1" s="1"/>
  <c r="AO8" i="1" s="1"/>
  <c r="AN6" i="1" a="1"/>
  <c r="AN6" i="1" s="1"/>
  <c r="AM6" i="1" a="1"/>
  <c r="AM6" i="1" s="1"/>
  <c r="AM7" i="1" s="1"/>
  <c r="AL6" i="1" a="1"/>
  <c r="AL6" i="1"/>
  <c r="AK6" i="1" a="1"/>
  <c r="AK6" i="1" s="1"/>
  <c r="AJ6" i="1" a="1"/>
  <c r="AJ6" i="1" s="1"/>
  <c r="AI6" i="1" a="1"/>
  <c r="AI6" i="1"/>
  <c r="AI8" i="1" s="1"/>
  <c r="AH6" i="1" a="1"/>
  <c r="AH6" i="1"/>
  <c r="AG6" i="1" a="1"/>
  <c r="AG6" i="1"/>
  <c r="AF6" i="1" a="1"/>
  <c r="AF6" i="1" s="1"/>
  <c r="AE6" i="1" a="1"/>
  <c r="AE6" i="1"/>
  <c r="AE7" i="1" s="1"/>
  <c r="AD6" i="1" a="1"/>
  <c r="AD6" i="1" s="1"/>
  <c r="AC6" i="1" a="1"/>
  <c r="AC6" i="1" s="1"/>
  <c r="AB6" i="1" a="1"/>
  <c r="AB6" i="1" s="1"/>
  <c r="AB7" i="1" s="1"/>
  <c r="AA6" i="1" a="1"/>
  <c r="AA6" i="1"/>
  <c r="Z6" i="1" a="1"/>
  <c r="Z6" i="1"/>
  <c r="Y6" i="1" a="1"/>
  <c r="Y6" i="1" s="1"/>
  <c r="X6" i="1" a="1"/>
  <c r="X6" i="1"/>
  <c r="X8" i="1" s="1"/>
  <c r="W6" i="1" a="1"/>
  <c r="W6" i="1"/>
  <c r="V6" i="1" a="1"/>
  <c r="V6" i="1"/>
  <c r="U6" i="1" a="1"/>
  <c r="U6" i="1"/>
  <c r="U7" i="1" s="1"/>
  <c r="T6" i="1" a="1"/>
  <c r="T6" i="1"/>
  <c r="T7" i="1" s="1"/>
  <c r="S6" i="1" a="1"/>
  <c r="S6" i="1" s="1"/>
  <c r="S8" i="1" s="1"/>
  <c r="R6" i="1" a="1"/>
  <c r="R6" i="1" s="1"/>
  <c r="Q6" i="1" a="1"/>
  <c r="Q6" i="1" s="1"/>
  <c r="Q7" i="1" s="1"/>
  <c r="P6" i="1" a="1"/>
  <c r="P6" i="1"/>
  <c r="O6" i="1" a="1"/>
  <c r="O6" i="1"/>
  <c r="N6" i="1" a="1"/>
  <c r="N6" i="1"/>
  <c r="N8" i="1" s="1"/>
  <c r="M6" i="1" a="1"/>
  <c r="M6" i="1"/>
  <c r="M8" i="1" s="1"/>
  <c r="L6" i="1" a="1"/>
  <c r="L6" i="1"/>
  <c r="K6" i="1" a="1"/>
  <c r="K6" i="1"/>
  <c r="J6" i="1" a="1"/>
  <c r="J6" i="1" s="1"/>
  <c r="I6" i="1" a="1"/>
  <c r="I6" i="1" s="1"/>
  <c r="H6" i="1" a="1"/>
  <c r="H6" i="1" s="1"/>
  <c r="H7" i="1" s="1"/>
  <c r="G6" i="1" a="1"/>
  <c r="G6" i="1" s="1"/>
  <c r="F6" i="1" a="1"/>
  <c r="F6" i="1" s="1"/>
  <c r="F7" i="1" s="1"/>
  <c r="E6" i="1" a="1"/>
  <c r="E6" i="1"/>
  <c r="D6" i="1" a="1"/>
  <c r="D6" i="1" s="1"/>
  <c r="C6" i="1" a="1"/>
  <c r="C6" i="1" s="1"/>
  <c r="EH15" i="2" l="1"/>
  <c r="EH22" i="2"/>
  <c r="EH13" i="2"/>
  <c r="EG18" i="2"/>
  <c r="EG24" i="2"/>
  <c r="BG8" i="1"/>
  <c r="BG7" i="1"/>
  <c r="EA7" i="1"/>
  <c r="EA8" i="1"/>
  <c r="E8" i="2"/>
  <c r="E7" i="2"/>
  <c r="AF7" i="2"/>
  <c r="AF8" i="2"/>
  <c r="C8" i="1"/>
  <c r="C7" i="1"/>
  <c r="AF7" i="1"/>
  <c r="AF8" i="1"/>
  <c r="BW7" i="1"/>
  <c r="BW8" i="1"/>
  <c r="AG8" i="2"/>
  <c r="AG7" i="2"/>
  <c r="DF8" i="2"/>
  <c r="DF7" i="2"/>
  <c r="D8" i="1"/>
  <c r="D7" i="1"/>
  <c r="Y8" i="1"/>
  <c r="Y7" i="1"/>
  <c r="BX7" i="1"/>
  <c r="BX8" i="1"/>
  <c r="DT8" i="1"/>
  <c r="DT7" i="1"/>
  <c r="AW8" i="2"/>
  <c r="AW7" i="2"/>
  <c r="BC7" i="2"/>
  <c r="BC8" i="2"/>
  <c r="DW8" i="2"/>
  <c r="DW7" i="2"/>
  <c r="AP7" i="1"/>
  <c r="AP8" i="1"/>
  <c r="BQ8" i="1"/>
  <c r="BQ7" i="1"/>
  <c r="CT7" i="1"/>
  <c r="CT8" i="1"/>
  <c r="DU8" i="1"/>
  <c r="DU7" i="1"/>
  <c r="BS8" i="2"/>
  <c r="BS7" i="2"/>
  <c r="AQ8" i="1"/>
  <c r="AQ7" i="1"/>
  <c r="BT8" i="2"/>
  <c r="BT7" i="2"/>
  <c r="BL7" i="1"/>
  <c r="BL8" i="1"/>
  <c r="CM8" i="1"/>
  <c r="CM7" i="1"/>
  <c r="P8" i="2"/>
  <c r="P7" i="2"/>
  <c r="CU7" i="2"/>
  <c r="CU8" i="2"/>
  <c r="CN8" i="1"/>
  <c r="CN7" i="1"/>
  <c r="Q8" i="2"/>
  <c r="Q7" i="2"/>
  <c r="DQ7" i="2"/>
  <c r="DQ8" i="2"/>
  <c r="I7" i="1"/>
  <c r="I8" i="1"/>
  <c r="AJ8" i="1"/>
  <c r="AJ7" i="1"/>
  <c r="BM7" i="2"/>
  <c r="BM8" i="2"/>
  <c r="J7" i="1"/>
  <c r="J8" i="1"/>
  <c r="AK8" i="1"/>
  <c r="AK7" i="1"/>
  <c r="DD7" i="1"/>
  <c r="DD8" i="1"/>
  <c r="DJ8" i="1"/>
  <c r="DJ7" i="1"/>
  <c r="J7" i="2"/>
  <c r="J8" i="2"/>
  <c r="AM8" i="2"/>
  <c r="AM7" i="2"/>
  <c r="BN7" i="2"/>
  <c r="BN8" i="2"/>
  <c r="DZ7" i="1"/>
  <c r="DZ8" i="1"/>
  <c r="BS8" i="1"/>
  <c r="BS7" i="1"/>
  <c r="CF7" i="1"/>
  <c r="CF8" i="1"/>
  <c r="CY8" i="1"/>
  <c r="CY7" i="1"/>
  <c r="DP7" i="1"/>
  <c r="F8" i="1"/>
  <c r="CH8" i="1"/>
  <c r="DW8" i="1"/>
  <c r="L8" i="2"/>
  <c r="L7" i="2"/>
  <c r="BX7" i="2"/>
  <c r="BX8" i="2"/>
  <c r="CK8" i="2"/>
  <c r="CK7" i="2"/>
  <c r="AA7" i="2"/>
  <c r="AX7" i="2"/>
  <c r="BY7" i="2"/>
  <c r="CW7" i="2"/>
  <c r="DU7" i="2"/>
  <c r="V8" i="2"/>
  <c r="EE8" i="2"/>
  <c r="AL7" i="3"/>
  <c r="AL8" i="3"/>
  <c r="AA8" i="1"/>
  <c r="AA7" i="1"/>
  <c r="AN7" i="1"/>
  <c r="AN8" i="1"/>
  <c r="AO7" i="1"/>
  <c r="BF7" i="1"/>
  <c r="CA7" i="1"/>
  <c r="H8" i="1"/>
  <c r="AB8" i="1"/>
  <c r="CI8" i="1"/>
  <c r="DY8" i="1"/>
  <c r="AB7" i="2"/>
  <c r="CA7" i="2"/>
  <c r="CY7" i="2"/>
  <c r="DV7" i="2"/>
  <c r="BF8" i="2"/>
  <c r="EH12" i="2"/>
  <c r="EH16" i="2"/>
  <c r="EG16" i="2"/>
  <c r="R7" i="3"/>
  <c r="R8" i="3"/>
  <c r="BH7" i="3"/>
  <c r="BH8" i="3"/>
  <c r="CR7" i="3"/>
  <c r="CR8" i="3"/>
  <c r="O8" i="1"/>
  <c r="O7" i="1"/>
  <c r="CZ8" i="1"/>
  <c r="CZ7" i="1"/>
  <c r="DM7" i="1"/>
  <c r="DM8" i="1"/>
  <c r="EF8" i="1"/>
  <c r="EF7" i="1"/>
  <c r="CB7" i="1"/>
  <c r="AS8" i="2"/>
  <c r="AS7" i="2"/>
  <c r="EA7" i="2"/>
  <c r="EA8" i="2"/>
  <c r="EB7" i="2"/>
  <c r="EH17" i="2"/>
  <c r="EG17" i="2"/>
  <c r="EH21" i="2"/>
  <c r="EG21" i="2"/>
  <c r="AF8" i="3"/>
  <c r="AF7" i="3"/>
  <c r="CE7" i="3"/>
  <c r="CE8" i="3"/>
  <c r="BH8" i="1"/>
  <c r="BH7" i="1"/>
  <c r="BU7" i="1"/>
  <c r="BU8" i="1"/>
  <c r="AE8" i="1"/>
  <c r="BT8" i="1"/>
  <c r="CT7" i="2"/>
  <c r="CT8" i="2"/>
  <c r="DG8" i="2"/>
  <c r="DG7" i="2"/>
  <c r="BG7" i="2"/>
  <c r="DA7" i="2"/>
  <c r="Z7" i="3"/>
  <c r="Z8" i="3"/>
  <c r="BB8" i="3"/>
  <c r="BB7" i="3"/>
  <c r="BX8" i="3"/>
  <c r="BX7" i="3"/>
  <c r="DW8" i="3"/>
  <c r="DW7" i="3"/>
  <c r="EC7" i="3"/>
  <c r="EC8" i="3"/>
  <c r="P8" i="1"/>
  <c r="P7" i="1"/>
  <c r="AC7" i="1"/>
  <c r="AC8" i="1"/>
  <c r="AV8" i="1"/>
  <c r="AV7" i="1"/>
  <c r="BV8" i="1"/>
  <c r="U7" i="2"/>
  <c r="U8" i="2"/>
  <c r="BZ8" i="2"/>
  <c r="BZ7" i="2"/>
  <c r="BH7" i="2"/>
  <c r="T8" i="3"/>
  <c r="T7" i="3"/>
  <c r="AV7" i="3"/>
  <c r="AV8" i="3"/>
  <c r="BJ7" i="3"/>
  <c r="BJ8" i="3"/>
  <c r="DB7" i="3"/>
  <c r="DB8" i="3"/>
  <c r="DI8" i="3"/>
  <c r="DI7" i="3"/>
  <c r="CR7" i="4"/>
  <c r="CR8" i="4"/>
  <c r="CO8" i="1"/>
  <c r="CO7" i="1"/>
  <c r="DB7" i="1"/>
  <c r="DB8" i="1"/>
  <c r="AT7" i="1"/>
  <c r="BB8" i="1"/>
  <c r="CR8" i="1"/>
  <c r="DL8" i="1"/>
  <c r="AH8" i="2"/>
  <c r="AH7" i="2"/>
  <c r="O7" i="2"/>
  <c r="AL7" i="2"/>
  <c r="BI7" i="2"/>
  <c r="CJ7" i="2"/>
  <c r="DH7" i="2"/>
  <c r="C8" i="2"/>
  <c r="BW8" i="2"/>
  <c r="DI8" i="2"/>
  <c r="EG13" i="2"/>
  <c r="EG22" i="2"/>
  <c r="EH23" i="2"/>
  <c r="M8" i="3"/>
  <c r="M7" i="3"/>
  <c r="AW8" i="1"/>
  <c r="AW7" i="1"/>
  <c r="BJ7" i="1"/>
  <c r="BJ8" i="1"/>
  <c r="CC8" i="1"/>
  <c r="CC7" i="1"/>
  <c r="AU7" i="1"/>
  <c r="Q8" i="1"/>
  <c r="BB7" i="2"/>
  <c r="BB8" i="2"/>
  <c r="DP7" i="2"/>
  <c r="DP8" i="2"/>
  <c r="EC8" i="2"/>
  <c r="EC7" i="2"/>
  <c r="CL7" i="2"/>
  <c r="DO8" i="2"/>
  <c r="EH14" i="2"/>
  <c r="G8" i="3"/>
  <c r="G7" i="3"/>
  <c r="AP8" i="3"/>
  <c r="AP7" i="3"/>
  <c r="BL8" i="3"/>
  <c r="BL7" i="3"/>
  <c r="CU7" i="3"/>
  <c r="CU8" i="3"/>
  <c r="E8" i="1"/>
  <c r="E7" i="1"/>
  <c r="R7" i="1"/>
  <c r="R8" i="1"/>
  <c r="DV8" i="1"/>
  <c r="DV7" i="1"/>
  <c r="CL7" i="1"/>
  <c r="AM8" i="1"/>
  <c r="DO8" i="1"/>
  <c r="BO8" i="2"/>
  <c r="BO7" i="2"/>
  <c r="CI7" i="2"/>
  <c r="CI8" i="2"/>
  <c r="CV8" i="2"/>
  <c r="CV7" i="2"/>
  <c r="AR7" i="2"/>
  <c r="BP7" i="2"/>
  <c r="CN7" i="2"/>
  <c r="DK7" i="2"/>
  <c r="AP8" i="2"/>
  <c r="CB8" i="2"/>
  <c r="EG19" i="2"/>
  <c r="CV7" i="3"/>
  <c r="CV8" i="3"/>
  <c r="BR7" i="3"/>
  <c r="CD8" i="1"/>
  <c r="CD7" i="1"/>
  <c r="CQ7" i="1"/>
  <c r="CQ8" i="1"/>
  <c r="DH7" i="1"/>
  <c r="T8" i="1"/>
  <c r="W8" i="2"/>
  <c r="W7" i="2"/>
  <c r="AT7" i="2"/>
  <c r="BR7" i="2"/>
  <c r="DL7" i="2"/>
  <c r="DT8" i="2"/>
  <c r="EG15" i="2"/>
  <c r="AJ7" i="3"/>
  <c r="AJ8" i="3"/>
  <c r="CI8" i="3"/>
  <c r="CI7" i="3"/>
  <c r="CP8" i="3"/>
  <c r="CP7" i="3"/>
  <c r="DR7" i="3"/>
  <c r="DR8" i="3"/>
  <c r="AL8" i="1"/>
  <c r="AL7" i="1"/>
  <c r="AY7" i="1"/>
  <c r="AY8" i="1"/>
  <c r="BR8" i="1"/>
  <c r="BR7" i="1"/>
  <c r="M7" i="1"/>
  <c r="DI7" i="1"/>
  <c r="ED7" i="1"/>
  <c r="AQ7" i="2"/>
  <c r="AQ8" i="2"/>
  <c r="AV7" i="2"/>
  <c r="CP7" i="2"/>
  <c r="N8" i="2"/>
  <c r="P7" i="3"/>
  <c r="P8" i="3"/>
  <c r="AR7" i="3"/>
  <c r="AR8" i="3"/>
  <c r="BF8" i="3"/>
  <c r="BF7" i="3"/>
  <c r="BN7" i="3"/>
  <c r="BN8" i="3"/>
  <c r="CB7" i="3"/>
  <c r="CB8" i="3"/>
  <c r="G7" i="1"/>
  <c r="G8" i="1"/>
  <c r="Z8" i="1"/>
  <c r="Z7" i="1"/>
  <c r="DK8" i="1"/>
  <c r="DK7" i="1"/>
  <c r="DX7" i="1"/>
  <c r="DX8" i="1"/>
  <c r="AI7" i="1"/>
  <c r="DA8" i="1"/>
  <c r="BD8" i="2"/>
  <c r="BD7" i="2"/>
  <c r="DE7" i="2"/>
  <c r="DE8" i="2"/>
  <c r="DR8" i="2"/>
  <c r="DR7" i="2"/>
  <c r="T8" i="2"/>
  <c r="BA8" i="2"/>
  <c r="CM8" i="2"/>
  <c r="EH20" i="2"/>
  <c r="AA8" i="4"/>
  <c r="AA7" i="4"/>
  <c r="CK8" i="4"/>
  <c r="CK7" i="4"/>
  <c r="EH24" i="2"/>
  <c r="N8" i="3"/>
  <c r="N7" i="3"/>
  <c r="CC8" i="3"/>
  <c r="CC7" i="3"/>
  <c r="DC8" i="3"/>
  <c r="DC7" i="3"/>
  <c r="DP8" i="3"/>
  <c r="DP7" i="3"/>
  <c r="J7" i="3"/>
  <c r="AY7" i="3"/>
  <c r="BD8" i="3"/>
  <c r="BY8" i="3"/>
  <c r="DL8" i="3"/>
  <c r="EF8" i="3"/>
  <c r="CE8" i="4"/>
  <c r="CE7" i="4"/>
  <c r="BW8" i="3"/>
  <c r="BW7" i="3"/>
  <c r="DD8" i="3"/>
  <c r="DD7" i="3"/>
  <c r="I8" i="3"/>
  <c r="I7" i="3"/>
  <c r="AA8" i="3"/>
  <c r="AA7" i="3"/>
  <c r="AS7" i="3"/>
  <c r="AS8" i="3"/>
  <c r="BS8" i="4"/>
  <c r="BS7" i="4"/>
  <c r="CF8" i="4"/>
  <c r="CF7" i="4"/>
  <c r="BE7" i="3"/>
  <c r="V8" i="3"/>
  <c r="CD8" i="3"/>
  <c r="CX8" i="3"/>
  <c r="DQ8" i="3"/>
  <c r="DS7" i="4"/>
  <c r="DS8" i="4"/>
  <c r="D8" i="3"/>
  <c r="D7" i="3"/>
  <c r="AN8" i="3"/>
  <c r="AN7" i="3"/>
  <c r="AY7" i="4"/>
  <c r="AY8" i="4"/>
  <c r="BF8" i="4"/>
  <c r="BF7" i="4"/>
  <c r="BU7" i="4"/>
  <c r="BU8" i="4"/>
  <c r="EG14" i="2"/>
  <c r="Q8" i="3"/>
  <c r="Q7" i="3"/>
  <c r="BA8" i="3"/>
  <c r="BA7" i="3"/>
  <c r="BS8" i="3"/>
  <c r="BS7" i="3"/>
  <c r="CF8" i="3"/>
  <c r="CF7" i="3"/>
  <c r="AM7" i="3"/>
  <c r="AU8" i="3"/>
  <c r="K8" i="4"/>
  <c r="K7" i="4"/>
  <c r="Q8" i="4"/>
  <c r="Q7" i="4"/>
  <c r="G7" i="2"/>
  <c r="R7" i="2"/>
  <c r="AC7" i="2"/>
  <c r="AN7" i="2"/>
  <c r="AY7" i="2"/>
  <c r="BJ7" i="2"/>
  <c r="BU7" i="2"/>
  <c r="CF7" i="2"/>
  <c r="CQ7" i="2"/>
  <c r="DB7" i="2"/>
  <c r="DM7" i="2"/>
  <c r="DX7" i="2"/>
  <c r="U7" i="3"/>
  <c r="CJ8" i="3"/>
  <c r="CX8" i="4"/>
  <c r="CX7" i="4"/>
  <c r="DU8" i="4"/>
  <c r="DU7" i="4"/>
  <c r="EA8" i="4"/>
  <c r="EA7" i="4"/>
  <c r="H7" i="2"/>
  <c r="S7" i="2"/>
  <c r="AD7" i="2"/>
  <c r="AO7" i="2"/>
  <c r="AZ7" i="2"/>
  <c r="BK7" i="2"/>
  <c r="BV7" i="2"/>
  <c r="CG7" i="2"/>
  <c r="CR7" i="2"/>
  <c r="DC7" i="2"/>
  <c r="DN7" i="2"/>
  <c r="DY7" i="2"/>
  <c r="EG20" i="2"/>
  <c r="BZ7" i="3"/>
  <c r="BZ8" i="3"/>
  <c r="DG7" i="3"/>
  <c r="DG8" i="3"/>
  <c r="X7" i="3"/>
  <c r="AT7" i="3"/>
  <c r="DS7" i="3"/>
  <c r="AW8" i="3"/>
  <c r="BQ8" i="3"/>
  <c r="CK8" i="3"/>
  <c r="DF8" i="3"/>
  <c r="DY8" i="3"/>
  <c r="AS7" i="4"/>
  <c r="AS8" i="4"/>
  <c r="DF8" i="4"/>
  <c r="DF7" i="4"/>
  <c r="DN8" i="4"/>
  <c r="DN7" i="4"/>
  <c r="F7" i="4"/>
  <c r="EG12" i="2"/>
  <c r="EG23" i="2"/>
  <c r="L7" i="3"/>
  <c r="L8" i="3"/>
  <c r="AD8" i="3"/>
  <c r="AD7" i="3"/>
  <c r="DH8" i="3"/>
  <c r="DH7" i="3"/>
  <c r="DU8" i="3"/>
  <c r="DU7" i="3"/>
  <c r="BM7" i="3"/>
  <c r="CH7" i="3"/>
  <c r="DA7" i="3"/>
  <c r="K8" i="3"/>
  <c r="AG8" i="3"/>
  <c r="EB8" i="3"/>
  <c r="Y7" i="4"/>
  <c r="Y8" i="4"/>
  <c r="AG8" i="4"/>
  <c r="AG7" i="4"/>
  <c r="AT7" i="4"/>
  <c r="AT8" i="4"/>
  <c r="DG8" i="4"/>
  <c r="DG7" i="4"/>
  <c r="H7" i="4"/>
  <c r="AE8" i="3"/>
  <c r="AE7" i="3"/>
  <c r="AQ8" i="3"/>
  <c r="AQ7" i="3"/>
  <c r="BC7" i="3"/>
  <c r="BC8" i="3"/>
  <c r="AB7" i="3"/>
  <c r="AH8" i="3"/>
  <c r="CN8" i="3"/>
  <c r="M7" i="4"/>
  <c r="M8" i="4"/>
  <c r="CJ8" i="4"/>
  <c r="CJ7" i="4"/>
  <c r="BP8" i="3"/>
  <c r="BP7" i="3"/>
  <c r="EE8" i="3"/>
  <c r="EE7" i="3"/>
  <c r="X7" i="4"/>
  <c r="X8" i="4"/>
  <c r="BA8" i="4"/>
  <c r="BA7" i="4"/>
  <c r="BH7" i="4"/>
  <c r="BH8" i="4"/>
  <c r="CW8" i="4"/>
  <c r="CW7" i="4"/>
  <c r="G8" i="4"/>
  <c r="G7" i="4"/>
  <c r="AH8" i="4"/>
  <c r="AH7" i="4"/>
  <c r="AU8" i="4"/>
  <c r="AU7" i="4"/>
  <c r="CS7" i="4"/>
  <c r="CS8" i="4"/>
  <c r="DH7" i="4"/>
  <c r="DH8" i="4"/>
  <c r="I8" i="4"/>
  <c r="I7" i="4"/>
  <c r="O7" i="4"/>
  <c r="O8" i="4"/>
  <c r="U7" i="4"/>
  <c r="U8" i="4"/>
  <c r="AC8" i="4"/>
  <c r="AC7" i="4"/>
  <c r="BL8" i="4"/>
  <c r="BL7" i="4"/>
  <c r="BR8" i="4"/>
  <c r="BR7" i="4"/>
  <c r="BY8" i="4"/>
  <c r="BY7" i="4"/>
  <c r="CL7" i="4"/>
  <c r="CL8" i="4"/>
  <c r="V8" i="4"/>
  <c r="V7" i="4"/>
  <c r="BE7" i="4"/>
  <c r="BE8" i="4"/>
  <c r="BT8" i="4"/>
  <c r="BT7" i="4"/>
  <c r="CU8" i="4"/>
  <c r="CU7" i="4"/>
  <c r="C8" i="4"/>
  <c r="C7" i="4"/>
  <c r="AZ7" i="4"/>
  <c r="AZ8" i="4"/>
  <c r="BG8" i="4"/>
  <c r="BG7" i="4"/>
  <c r="BN8" i="4"/>
  <c r="BN7" i="4"/>
  <c r="AM7" i="4"/>
  <c r="DO8" i="4"/>
  <c r="CG8" i="4"/>
  <c r="CG7" i="4"/>
  <c r="DB8" i="4"/>
  <c r="DB7" i="4"/>
  <c r="DI8" i="4"/>
  <c r="DI7" i="4"/>
  <c r="DW8" i="4"/>
  <c r="DW7" i="4"/>
  <c r="J8" i="4"/>
  <c r="J7" i="4"/>
  <c r="EC8" i="4"/>
  <c r="P8" i="4"/>
  <c r="P7" i="4"/>
  <c r="AI7" i="4"/>
  <c r="AI8" i="4"/>
  <c r="AP8" i="4"/>
  <c r="AP7" i="4"/>
  <c r="CS7" i="3"/>
  <c r="D8" i="4"/>
  <c r="D7" i="4"/>
  <c r="AD8" i="4"/>
  <c r="AD7" i="4"/>
  <c r="DC8" i="4"/>
  <c r="DC7" i="4"/>
  <c r="DQ8" i="4"/>
  <c r="DQ7" i="4"/>
  <c r="E8" i="4"/>
  <c r="E7" i="4"/>
  <c r="L8" i="4"/>
  <c r="L7" i="4"/>
  <c r="R8" i="4"/>
  <c r="R7" i="4"/>
  <c r="DJ8" i="4"/>
  <c r="DJ7" i="4"/>
  <c r="DR8" i="4"/>
  <c r="DR7" i="4"/>
  <c r="AE8" i="4"/>
  <c r="AE7" i="4"/>
  <c r="BQ7" i="4"/>
  <c r="BQ8" i="4"/>
  <c r="DD7" i="4"/>
  <c r="DD8" i="4"/>
  <c r="CV7" i="4"/>
  <c r="DZ7" i="4"/>
  <c r="CM8" i="4"/>
  <c r="BK7" i="5"/>
  <c r="BK8" i="5"/>
  <c r="AB8" i="5"/>
  <c r="AB7" i="5"/>
  <c r="F8" i="5"/>
  <c r="F7" i="5"/>
  <c r="BC8" i="4"/>
  <c r="BC7" i="4"/>
  <c r="BO7" i="4"/>
  <c r="EE8" i="5"/>
  <c r="EE7" i="5"/>
  <c r="AR8" i="4"/>
  <c r="AR7" i="4"/>
  <c r="DX7" i="4"/>
  <c r="DY7" i="4"/>
  <c r="BP8" i="4"/>
  <c r="M7" i="5"/>
  <c r="M8" i="5"/>
  <c r="U8" i="5"/>
  <c r="U7" i="5"/>
  <c r="EB8" i="5"/>
  <c r="EB7" i="5"/>
  <c r="V7" i="5"/>
  <c r="V8" i="5"/>
  <c r="W7" i="5"/>
  <c r="W8" i="5"/>
  <c r="AD7" i="5"/>
  <c r="AD8" i="5"/>
  <c r="AL8" i="5"/>
  <c r="AL7" i="5"/>
  <c r="CU8" i="5"/>
  <c r="CU7" i="5"/>
  <c r="BB7" i="5"/>
  <c r="Q8" i="5"/>
  <c r="Q7" i="5"/>
  <c r="CO8" i="5"/>
  <c r="CO7" i="5"/>
  <c r="DL8" i="5"/>
  <c r="DL7" i="5"/>
  <c r="DY7" i="5"/>
  <c r="DY8" i="5"/>
  <c r="J8" i="5"/>
  <c r="J7" i="5"/>
  <c r="BA8" i="5"/>
  <c r="BA7" i="5"/>
  <c r="CB8" i="5"/>
  <c r="CB7" i="5"/>
  <c r="CP8" i="5"/>
  <c r="CP7" i="5"/>
  <c r="AG8" i="5"/>
  <c r="AG7" i="5"/>
  <c r="AU7" i="5"/>
  <c r="AU8" i="5"/>
  <c r="BP7" i="5"/>
  <c r="BP8" i="5"/>
  <c r="CI8" i="5"/>
  <c r="CI7" i="5"/>
  <c r="AQ8" i="4"/>
  <c r="K8" i="5"/>
  <c r="K7" i="5"/>
  <c r="AO7" i="5"/>
  <c r="AO8" i="5"/>
  <c r="AV8" i="5"/>
  <c r="AV7" i="5"/>
  <c r="BC7" i="5"/>
  <c r="BC8" i="5"/>
  <c r="BQ7" i="5"/>
  <c r="BQ8" i="5"/>
  <c r="CC8" i="5"/>
  <c r="CC7" i="5"/>
  <c r="EB8" i="4"/>
  <c r="EB7" i="4"/>
  <c r="D8" i="5"/>
  <c r="D7" i="5"/>
  <c r="L7" i="5"/>
  <c r="L8" i="5"/>
  <c r="AA8" i="5"/>
  <c r="AA7" i="5"/>
  <c r="AP7" i="5"/>
  <c r="AP8" i="5"/>
  <c r="BW7" i="5"/>
  <c r="BW8" i="5"/>
  <c r="BV8" i="5"/>
  <c r="CT7" i="4"/>
  <c r="E8" i="5"/>
  <c r="E7" i="5"/>
  <c r="AI7" i="5"/>
  <c r="AI8" i="5"/>
  <c r="Y7" i="5"/>
  <c r="Y8" i="5"/>
  <c r="AZ7" i="5"/>
  <c r="AZ8" i="5"/>
  <c r="CG7" i="5"/>
  <c r="CG8" i="5"/>
  <c r="CN8" i="5"/>
  <c r="CN7" i="5"/>
  <c r="BI8" i="5"/>
  <c r="BI7" i="5"/>
  <c r="BO7" i="5"/>
  <c r="BO8" i="5"/>
  <c r="DC7" i="5"/>
  <c r="DC8" i="5"/>
  <c r="ED7" i="5"/>
  <c r="ED8" i="5"/>
  <c r="AC7" i="5"/>
  <c r="AC8" i="5"/>
  <c r="AX8" i="5"/>
  <c r="AX7" i="5"/>
  <c r="CZ8" i="5"/>
  <c r="CZ7" i="5"/>
  <c r="S8" i="5"/>
  <c r="I7" i="5"/>
  <c r="I8" i="5"/>
  <c r="AK8" i="5"/>
  <c r="AK7" i="5"/>
  <c r="AR8" i="5"/>
  <c r="AR7" i="5"/>
  <c r="DK7" i="5"/>
  <c r="X7" i="5"/>
  <c r="X8" i="5"/>
  <c r="BG8" i="5"/>
  <c r="BG7" i="5"/>
  <c r="CT8" i="5"/>
  <c r="CT7" i="5"/>
  <c r="DW8" i="5"/>
  <c r="DW7" i="5"/>
  <c r="DP7" i="5"/>
  <c r="H7" i="5"/>
  <c r="H8" i="5"/>
  <c r="DA8" i="5"/>
  <c r="DA7" i="5"/>
  <c r="AM8" i="5"/>
  <c r="AM7" i="5"/>
  <c r="BL8" i="5"/>
  <c r="BL7" i="5"/>
  <c r="DE8" i="5"/>
  <c r="DE7" i="5"/>
  <c r="AS7" i="5"/>
  <c r="AS8" i="5"/>
  <c r="BF7" i="5"/>
  <c r="BF8" i="5"/>
  <c r="BX8" i="5"/>
  <c r="BX7" i="5"/>
  <c r="CR7" i="5"/>
  <c r="CR8" i="5"/>
  <c r="DZ7" i="5"/>
  <c r="DZ8" i="5"/>
  <c r="DF8" i="5"/>
  <c r="BS8" i="5"/>
  <c r="BS7" i="5"/>
  <c r="CE8" i="5"/>
  <c r="CE7" i="5"/>
  <c r="BR7" i="5"/>
  <c r="AT8" i="5"/>
  <c r="AT7" i="5"/>
  <c r="BY7" i="5"/>
  <c r="BY8" i="5"/>
  <c r="N7" i="5"/>
  <c r="AH8" i="5"/>
  <c r="BE8" i="5"/>
  <c r="DU7" i="5"/>
  <c r="BZ8" i="5"/>
  <c r="DH8" i="5"/>
  <c r="BT8" i="5"/>
  <c r="BT7" i="5"/>
  <c r="DV7" i="5"/>
  <c r="AQ7" i="5"/>
</calcChain>
</file>

<file path=xl/sharedStrings.xml><?xml version="1.0" encoding="utf-8"?>
<sst xmlns="http://schemas.openxmlformats.org/spreadsheetml/2006/main" count="1978" uniqueCount="239">
  <si>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</si>
  <si>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</si>
  <si>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</si>
  <si>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</si>
  <si>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</si>
  <si>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</si>
  <si>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</si>
  <si>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</si>
  <si>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</si>
  <si>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</si>
  <si>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</si>
  <si>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</si>
  <si>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</si>
  <si>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</si>
  <si>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</si>
  <si>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</si>
  <si>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</si>
  <si>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</si>
  <si>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</si>
  <si>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</si>
  <si>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</si>
  <si>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</si>
  <si>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</si>
  <si>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</si>
  <si>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</si>
  <si>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</si>
  <si>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</si>
  <si>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</si>
  <si>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</si>
  <si>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</si>
  <si>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</si>
  <si>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</si>
  <si>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</si>
  <si>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</si>
  <si>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</si>
  <si>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</si>
  <si>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</si>
  <si>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</si>
  <si>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</si>
  <si>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</si>
  <si>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</si>
  <si>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</si>
  <si>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</si>
  <si>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</si>
  <si>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</si>
  <si>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</si>
  <si>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</si>
  <si>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</si>
  <si>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</si>
  <si>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</si>
  <si>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</si>
  <si>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</si>
  <si>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</si>
  <si>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</si>
  <si>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</si>
  <si>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</si>
  <si>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</si>
  <si>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</si>
  <si>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</si>
  <si>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</si>
  <si>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</si>
  <si>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</si>
  <si>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</si>
  <si>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</si>
  <si>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</si>
  <si>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</si>
  <si>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</si>
  <si>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</si>
  <si>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</si>
  <si>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</si>
  <si>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</si>
  <si>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</si>
  <si>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</si>
  <si>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</si>
  <si>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</si>
  <si>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</si>
  <si>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</si>
  <si>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</si>
  <si>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</si>
  <si>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</si>
  <si>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</si>
  <si>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</si>
  <si>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</si>
  <si>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</si>
  <si>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</si>
  <si>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</si>
  <si>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</si>
  <si>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</si>
  <si>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</si>
  <si>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</si>
  <si>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</si>
  <si>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</si>
  <si>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</si>
  <si>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</si>
  <si>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</si>
  <si>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</si>
  <si>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</si>
  <si>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</si>
  <si>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</si>
  <si>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</si>
  <si>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</si>
  <si>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</si>
  <si>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</si>
  <si>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</si>
  <si>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</si>
  <si>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</si>
  <si>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</si>
  <si>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</si>
  <si>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</si>
  <si>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</si>
  <si>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</si>
  <si>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</si>
  <si>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</si>
  <si>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</si>
  <si>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</si>
  <si>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</si>
  <si>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</si>
  <si>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</si>
  <si>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</si>
  <si>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</si>
  <si>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</si>
  <si>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</si>
  <si>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</si>
  <si>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</si>
  <si>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</si>
  <si>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</si>
  <si>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</si>
  <si>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</si>
  <si>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</si>
  <si>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</si>
  <si>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</si>
  <si>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</si>
  <si>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</si>
  <si>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</si>
  <si>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</si>
  <si>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</si>
  <si>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</si>
  <si>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</si>
  <si>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</si>
  <si>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</si>
  <si>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</si>
  <si>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</si>
  <si>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</si>
  <si>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</si>
  <si>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2025/02</t>
  </si>
  <si>
    <t>大盤</t>
  </si>
  <si>
    <t>TWII</t>
  </si>
  <si>
    <t>昇益</t>
  </si>
  <si>
    <t>上亞科技</t>
  </si>
  <si>
    <t>久威</t>
  </si>
  <si>
    <t>立康</t>
  </si>
  <si>
    <t>士開</t>
  </si>
  <si>
    <t>美律</t>
  </si>
  <si>
    <t>飛寶企業</t>
  </si>
  <si>
    <t>沛亨</t>
  </si>
  <si>
    <t>威盛</t>
  </si>
  <si>
    <t>網家</t>
  </si>
  <si>
    <t>天瀚</t>
  </si>
  <si>
    <t>百徽</t>
  </si>
  <si>
    <t>欣巴巴</t>
  </si>
  <si>
    <t>合正</t>
  </si>
  <si>
    <t>泰偉</t>
  </si>
  <si>
    <t>中茂</t>
  </si>
  <si>
    <t>聯光通</t>
  </si>
  <si>
    <t>浪凡</t>
  </si>
  <si>
    <t>郡都開發</t>
  </si>
  <si>
    <t>業旺</t>
  </si>
  <si>
    <t>信立</t>
  </si>
  <si>
    <t>新零售</t>
  </si>
  <si>
    <t>天剛</t>
  </si>
  <si>
    <t>印鉐</t>
  </si>
  <si>
    <t>麗升能源</t>
  </si>
  <si>
    <t>長華*</t>
  </si>
  <si>
    <t>元隆</t>
  </si>
  <si>
    <t>恒大</t>
  </si>
  <si>
    <t>科風</t>
  </si>
  <si>
    <t>安鈦克</t>
  </si>
  <si>
    <t>華冠</t>
  </si>
  <si>
    <t>正峰</t>
  </si>
  <si>
    <t>世紀</t>
  </si>
  <si>
    <t>燁興</t>
  </si>
  <si>
    <t>一詮</t>
  </si>
  <si>
    <t>創惟</t>
  </si>
  <si>
    <t>凱鈺</t>
  </si>
  <si>
    <t>巨虹</t>
  </si>
  <si>
    <t>愛地雅</t>
  </si>
  <si>
    <t>皇家美食</t>
  </si>
  <si>
    <t>東訊</t>
  </si>
  <si>
    <t>天揚</t>
  </si>
  <si>
    <t>勝昱</t>
  </si>
  <si>
    <t>華孚</t>
  </si>
  <si>
    <t>台積電</t>
  </si>
  <si>
    <t>力麗店</t>
  </si>
  <si>
    <t>中環</t>
  </si>
  <si>
    <t>南亞科</t>
  </si>
  <si>
    <t>健信</t>
  </si>
  <si>
    <t>中石化</t>
  </si>
  <si>
    <t>淳安</t>
  </si>
  <si>
    <t>卓越</t>
  </si>
  <si>
    <t>旺宏</t>
  </si>
  <si>
    <t>海灣</t>
  </si>
  <si>
    <t>撼訊</t>
  </si>
  <si>
    <t>茂矽</t>
  </si>
  <si>
    <t>寶隆</t>
  </si>
  <si>
    <t>樂事綠能</t>
  </si>
  <si>
    <t>福華</t>
  </si>
  <si>
    <t>建榮</t>
  </si>
  <si>
    <t>銘旺科</t>
  </si>
  <si>
    <t>四維航</t>
  </si>
  <si>
    <t>艾華</t>
  </si>
  <si>
    <t>陽明</t>
  </si>
  <si>
    <t>德宏</t>
  </si>
  <si>
    <t>倫飛</t>
  </si>
  <si>
    <t>長榮</t>
  </si>
  <si>
    <t>洛碁</t>
  </si>
  <si>
    <t>全譜</t>
  </si>
  <si>
    <t>得利影</t>
  </si>
  <si>
    <t>國喬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</si>
  <si>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</si>
  <si>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</si>
  <si>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</si>
  <si>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</si>
  <si>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</si>
  <si>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</si>
  <si>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</si>
  <si>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</si>
  <si>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</si>
  <si>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</si>
  <si>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</si>
  <si>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</si>
  <si>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</si>
  <si>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</si>
  <si>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</si>
  <si>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</si>
  <si>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家數</t>
  </si>
  <si>
    <t>等分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</si>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</sst>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C4CB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0">
    <xf numFmtId="0" fontId="0" fillId="0" borderId="0" xfId="0">
      <alignment vertical="center"/>
    </xf>
    <xf numFmtId="0" fontId="2" fillId="0" borderId="0" xfId="1"/>
    <xf numFmtId="0" fontId="2" fillId="2" borderId="0" xfId="1" applyFill="1" applyAlignment="1">
      <alignment vertical="center"/>
    </xf>
    <xf numFmtId="0" fontId="3" fillId="3" borderId="0" xfId="1" applyFont="1" applyFill="1" applyAlignment="1">
      <alignment vertical="center"/>
    </xf>
    <xf numFmtId="0" fontId="3" fillId="0" borderId="0" xfId="1" applyFont="1"/>
    <xf numFmtId="0" fontId="3" fillId="4" borderId="1" xfId="1" applyFont="1" applyFill="1" applyBorder="1"/>
    <xf numFmtId="0" fontId="3" fillId="4" borderId="2" xfId="1" applyFont="1" applyFill="1" applyBorder="1"/>
    <xf numFmtId="0" fontId="2" fillId="0" borderId="3" xfId="1" applyBorder="1"/>
    <xf numFmtId="0" fontId="3" fillId="4" borderId="4" xfId="1" applyFont="1" applyFill="1" applyBorder="1"/>
    <xf numFmtId="0" fontId="3" fillId="4" borderId="3" xfId="1" applyFont="1" applyFill="1" applyBorder="1"/>
    <xf numFmtId="0" fontId="2" fillId="0" borderId="5" xfId="1" applyBorder="1"/>
    <xf numFmtId="0" fontId="3" fillId="5" borderId="2" xfId="1" applyFont="1" applyFill="1" applyBorder="1"/>
    <xf numFmtId="0" fontId="3" fillId="5" borderId="4" xfId="1" applyFont="1" applyFill="1" applyBorder="1"/>
    <xf numFmtId="0" fontId="3" fillId="6" borderId="0" xfId="1" applyFont="1" applyFill="1"/>
    <xf numFmtId="0" fontId="4" fillId="7" borderId="0" xfId="1" applyFont="1" applyFill="1" applyAlignment="1">
      <alignment horizontal="center"/>
    </xf>
    <xf numFmtId="0" fontId="2" fillId="0" borderId="0" xfId="1" applyAlignment="1">
      <alignment horizontal="center"/>
    </xf>
    <xf numFmtId="0" fontId="5" fillId="0" borderId="6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3" xfId="1" applyFont="1" applyBorder="1" applyAlignment="1">
      <alignment vertical="center"/>
    </xf>
    <xf numFmtId="0" fontId="5" fillId="0" borderId="3" xfId="1" applyFont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0" fillId="0" borderId="4" xfId="0" applyBorder="1" applyAlignment="1"/>
    <xf numFmtId="0" fontId="2" fillId="0" borderId="3" xfId="1" applyBorder="1" applyAlignment="1">
      <alignment horizontal="center"/>
    </xf>
    <xf numFmtId="0" fontId="3" fillId="6" borderId="3" xfId="1" applyFont="1" applyFill="1" applyBorder="1"/>
    <xf numFmtId="0" fontId="3" fillId="0" borderId="3" xfId="1" applyFont="1" applyBorder="1"/>
    <xf numFmtId="0" fontId="3" fillId="3" borderId="3" xfId="1" applyFont="1" applyFill="1" applyBorder="1" applyAlignment="1">
      <alignment vertical="center"/>
    </xf>
    <xf numFmtId="0" fontId="2" fillId="2" borderId="3" xfId="1" applyFill="1" applyBorder="1" applyAlignment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真實畫圖!$C$12:$EF$12</c:f>
              <c:numCache>
                <c:formatCode>General</c:formatCode>
                <c:ptCount val="134"/>
                <c:pt idx="0">
                  <c:v>8.4653000000000006E-2</c:v>
                </c:pt>
                <c:pt idx="1">
                  <c:v>0.1993415104166667</c:v>
                </c:pt>
                <c:pt idx="2">
                  <c:v>0.2473677916666667</c:v>
                </c:pt>
                <c:pt idx="3">
                  <c:v>0.30332717645112545</c:v>
                </c:pt>
                <c:pt idx="4">
                  <c:v>0.33527462496975591</c:v>
                </c:pt>
                <c:pt idx="5">
                  <c:v>0.37380534371975593</c:v>
                </c:pt>
                <c:pt idx="6">
                  <c:v>0.41010928056880797</c:v>
                </c:pt>
                <c:pt idx="7">
                  <c:v>0.45389385931367948</c:v>
                </c:pt>
                <c:pt idx="8">
                  <c:v>0.48308185744737864</c:v>
                </c:pt>
                <c:pt idx="9">
                  <c:v>0.52497249286404535</c:v>
                </c:pt>
                <c:pt idx="10">
                  <c:v>0.55186166669725234</c:v>
                </c:pt>
                <c:pt idx="11">
                  <c:v>0.62118841669725233</c:v>
                </c:pt>
                <c:pt idx="12">
                  <c:v>0.64910317576449272</c:v>
                </c:pt>
                <c:pt idx="13">
                  <c:v>0.67052359696895503</c:v>
                </c:pt>
                <c:pt idx="14">
                  <c:v>0.70431638108986272</c:v>
                </c:pt>
                <c:pt idx="15">
                  <c:v>0.71771388732979846</c:v>
                </c:pt>
                <c:pt idx="16">
                  <c:v>0.78876778442440554</c:v>
                </c:pt>
                <c:pt idx="17">
                  <c:v>0.83663550076993021</c:v>
                </c:pt>
                <c:pt idx="18">
                  <c:v>0.85700272132306121</c:v>
                </c:pt>
                <c:pt idx="19">
                  <c:v>0.90203271212590996</c:v>
                </c:pt>
                <c:pt idx="20">
                  <c:v>0.96607235795924329</c:v>
                </c:pt>
                <c:pt idx="21">
                  <c:v>1.0757131093065786</c:v>
                </c:pt>
                <c:pt idx="22">
                  <c:v>1.0925014865583946</c:v>
                </c:pt>
                <c:pt idx="23">
                  <c:v>1.1561251698739685</c:v>
                </c:pt>
                <c:pt idx="24">
                  <c:v>1.1830436492947802</c:v>
                </c:pt>
                <c:pt idx="25">
                  <c:v>1.2177327598462584</c:v>
                </c:pt>
                <c:pt idx="26">
                  <c:v>1.2645057054725697</c:v>
                </c:pt>
                <c:pt idx="27">
                  <c:v>1.2738976846392365</c:v>
                </c:pt>
                <c:pt idx="28">
                  <c:v>1.3203354013062205</c:v>
                </c:pt>
                <c:pt idx="29">
                  <c:v>1.3723475040829882</c:v>
                </c:pt>
                <c:pt idx="30">
                  <c:v>1.4023296490157127</c:v>
                </c:pt>
                <c:pt idx="31">
                  <c:v>1.4157354536653459</c:v>
                </c:pt>
                <c:pt idx="32">
                  <c:v>1.4389824119986792</c:v>
                </c:pt>
                <c:pt idx="33">
                  <c:v>1.4519661595447337</c:v>
                </c:pt>
                <c:pt idx="34">
                  <c:v>1.5000898636968683</c:v>
                </c:pt>
                <c:pt idx="35">
                  <c:v>1.534195124113535</c:v>
                </c:pt>
                <c:pt idx="36">
                  <c:v>1.564281239726133</c:v>
                </c:pt>
                <c:pt idx="37">
                  <c:v>1.6335144740395615</c:v>
                </c:pt>
                <c:pt idx="38">
                  <c:v>1.6485099448826888</c:v>
                </c:pt>
                <c:pt idx="39">
                  <c:v>1.682228289664538</c:v>
                </c:pt>
                <c:pt idx="40">
                  <c:v>1.6889099354978714</c:v>
                </c:pt>
                <c:pt idx="41">
                  <c:v>1.6964143000812046</c:v>
                </c:pt>
                <c:pt idx="42">
                  <c:v>1.7163905729915758</c:v>
                </c:pt>
                <c:pt idx="43">
                  <c:v>1.7885859553440109</c:v>
                </c:pt>
                <c:pt idx="44">
                  <c:v>1.8519961428440108</c:v>
                </c:pt>
                <c:pt idx="45">
                  <c:v>1.9057117735007305</c:v>
                </c:pt>
                <c:pt idx="46">
                  <c:v>1.9228814782641335</c:v>
                </c:pt>
                <c:pt idx="47">
                  <c:v>1.9675774902370313</c:v>
                </c:pt>
                <c:pt idx="48">
                  <c:v>1.9925327833047046</c:v>
                </c:pt>
                <c:pt idx="49">
                  <c:v>2.0590970333047047</c:v>
                </c:pt>
                <c:pt idx="50">
                  <c:v>2.1303733353880379</c:v>
                </c:pt>
                <c:pt idx="51">
                  <c:v>2.1594099899576795</c:v>
                </c:pt>
                <c:pt idx="52">
                  <c:v>2.1861009562500171</c:v>
                </c:pt>
                <c:pt idx="53">
                  <c:v>2.2353349041666837</c:v>
                </c:pt>
                <c:pt idx="54">
                  <c:v>2.2707034493092024</c:v>
                </c:pt>
                <c:pt idx="55">
                  <c:v>2.3383203985568977</c:v>
                </c:pt>
                <c:pt idx="56">
                  <c:v>2.3850781524381812</c:v>
                </c:pt>
                <c:pt idx="57">
                  <c:v>2.4201577414680981</c:v>
                </c:pt>
                <c:pt idx="58">
                  <c:v>2.4701789944990891</c:v>
                </c:pt>
                <c:pt idx="59">
                  <c:v>2.5136019632490889</c:v>
                </c:pt>
                <c:pt idx="60">
                  <c:v>2.5336777861657556</c:v>
                </c:pt>
                <c:pt idx="61">
                  <c:v>2.5658068844662498</c:v>
                </c:pt>
                <c:pt idx="62">
                  <c:v>2.6161125689895743</c:v>
                </c:pt>
                <c:pt idx="63">
                  <c:v>2.6356148189895743</c:v>
                </c:pt>
                <c:pt idx="64">
                  <c:v>2.6598611292458112</c:v>
                </c:pt>
                <c:pt idx="65">
                  <c:v>2.686283629245811</c:v>
                </c:pt>
                <c:pt idx="66">
                  <c:v>2.7001803788645575</c:v>
                </c:pt>
                <c:pt idx="67">
                  <c:v>2.7688739940116709</c:v>
                </c:pt>
                <c:pt idx="68">
                  <c:v>2.8015168489000635</c:v>
                </c:pt>
                <c:pt idx="69">
                  <c:v>2.822805025983397</c:v>
                </c:pt>
                <c:pt idx="70">
                  <c:v>2.8708882239000637</c:v>
                </c:pt>
                <c:pt idx="71">
                  <c:v>2.9131706129859936</c:v>
                </c:pt>
                <c:pt idx="72">
                  <c:v>2.9576476168776438</c:v>
                </c:pt>
                <c:pt idx="73">
                  <c:v>2.9736319293776439</c:v>
                </c:pt>
                <c:pt idx="74">
                  <c:v>3.0325618457352079</c:v>
                </c:pt>
                <c:pt idx="75">
                  <c:v>3.0779187914264807</c:v>
                </c:pt>
                <c:pt idx="76">
                  <c:v>3.1123190788668231</c:v>
                </c:pt>
                <c:pt idx="77">
                  <c:v>3.1847947976168234</c:v>
                </c:pt>
                <c:pt idx="78">
                  <c:v>3.25036083928349</c:v>
                </c:pt>
                <c:pt idx="79">
                  <c:v>3.3612944728679426</c:v>
                </c:pt>
                <c:pt idx="80">
                  <c:v>3.5153016291179426</c:v>
                </c:pt>
                <c:pt idx="81">
                  <c:v>3.5430692125317149</c:v>
                </c:pt>
                <c:pt idx="82">
                  <c:v>3.5923471724947955</c:v>
                </c:pt>
                <c:pt idx="83">
                  <c:v>3.6556445448727555</c:v>
                </c:pt>
                <c:pt idx="84">
                  <c:v>3.6903004572849611</c:v>
                </c:pt>
                <c:pt idx="85">
                  <c:v>3.7444205241991559</c:v>
                </c:pt>
                <c:pt idx="86">
                  <c:v>3.8005219648469462</c:v>
                </c:pt>
                <c:pt idx="87">
                  <c:v>3.9185375725165565</c:v>
                </c:pt>
                <c:pt idx="88">
                  <c:v>3.9902461350165566</c:v>
                </c:pt>
                <c:pt idx="89">
                  <c:v>4.068711339027363</c:v>
                </c:pt>
                <c:pt idx="90">
                  <c:v>4.1400031931940298</c:v>
                </c:pt>
                <c:pt idx="91">
                  <c:v>4.1853022146615233</c:v>
                </c:pt>
                <c:pt idx="92">
                  <c:v>4.2479865616650985</c:v>
                </c:pt>
                <c:pt idx="93">
                  <c:v>4.3051465481866122</c:v>
                </c:pt>
                <c:pt idx="94">
                  <c:v>4.3061251217814647</c:v>
                </c:pt>
                <c:pt idx="95">
                  <c:v>4.3382390801147981</c:v>
                </c:pt>
                <c:pt idx="96">
                  <c:v>4.413018609396155</c:v>
                </c:pt>
                <c:pt idx="97">
                  <c:v>4.4780519158918439</c:v>
                </c:pt>
                <c:pt idx="98">
                  <c:v>4.4910885852704219</c:v>
                </c:pt>
                <c:pt idx="99">
                  <c:v>4.552078467807414</c:v>
                </c:pt>
                <c:pt idx="100">
                  <c:v>4.5981511240574138</c:v>
                </c:pt>
                <c:pt idx="101">
                  <c:v>4.6759434513969147</c:v>
                </c:pt>
                <c:pt idx="102">
                  <c:v>4.712921972230248</c:v>
                </c:pt>
                <c:pt idx="103">
                  <c:v>4.8019038263969147</c:v>
                </c:pt>
                <c:pt idx="104">
                  <c:v>4.8358770292716891</c:v>
                </c:pt>
                <c:pt idx="105">
                  <c:v>4.9058375750060321</c:v>
                </c:pt>
                <c:pt idx="106">
                  <c:v>4.9305752194211268</c:v>
                </c:pt>
                <c:pt idx="107">
                  <c:v>4.9860613235877933</c:v>
                </c:pt>
                <c:pt idx="108">
                  <c:v>5.0324713027544599</c:v>
                </c:pt>
                <c:pt idx="109">
                  <c:v>5.0936667298377936</c:v>
                </c:pt>
                <c:pt idx="110">
                  <c:v>5.1534157402544603</c:v>
                </c:pt>
                <c:pt idx="111">
                  <c:v>5.1947937831901321</c:v>
                </c:pt>
                <c:pt idx="112">
                  <c:v>5.2267219915234655</c:v>
                </c:pt>
                <c:pt idx="113">
                  <c:v>5.2453918248572684</c:v>
                </c:pt>
                <c:pt idx="114">
                  <c:v>5.2646294394406015</c:v>
                </c:pt>
                <c:pt idx="115">
                  <c:v>5.3070398048266663</c:v>
                </c:pt>
                <c:pt idx="116">
                  <c:v>5.3375970652433331</c:v>
                </c:pt>
                <c:pt idx="117">
                  <c:v>5.3970057597999936</c:v>
                </c:pt>
                <c:pt idx="118">
                  <c:v>5.4715464072804663</c:v>
                </c:pt>
                <c:pt idx="119">
                  <c:v>5.4903253505598535</c:v>
                </c:pt>
                <c:pt idx="120">
                  <c:v>5.5599763609765205</c:v>
                </c:pt>
                <c:pt idx="121">
                  <c:v>5.5847902025391072</c:v>
                </c:pt>
                <c:pt idx="122">
                  <c:v>5.6420204317057738</c:v>
                </c:pt>
                <c:pt idx="123">
                  <c:v>5.6905712561833042</c:v>
                </c:pt>
                <c:pt idx="124">
                  <c:v>5.7355388082666376</c:v>
                </c:pt>
                <c:pt idx="125">
                  <c:v>5.7856908888089995</c:v>
                </c:pt>
                <c:pt idx="126">
                  <c:v>5.8388362013089994</c:v>
                </c:pt>
                <c:pt idx="127">
                  <c:v>5.8450630450589998</c:v>
                </c:pt>
                <c:pt idx="128">
                  <c:v>5.9581900868081368</c:v>
                </c:pt>
                <c:pt idx="129">
                  <c:v>5.9887158636259787</c:v>
                </c:pt>
                <c:pt idx="130">
                  <c:v>6.0153673732056436</c:v>
                </c:pt>
                <c:pt idx="131">
                  <c:v>6.0758755260141282</c:v>
                </c:pt>
                <c:pt idx="132">
                  <c:v>6.1023822135141286</c:v>
                </c:pt>
                <c:pt idx="133">
                  <c:v>6.1316156093474623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0-CC40-A5C6-CB614070F43C}"/>
            </c:ext>
          </c:extLst>
        </c:ser>
        <c:ser>
          <c:idx val="1"/>
          <c:order val="1"/>
          <c:tx>
            <c:strRef>
              <c:f>真實畫圖!$B$13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真實畫圖!$C$13:$EF$13</c:f>
              <c:numCache>
                <c:formatCode>General</c:formatCode>
                <c:ptCount val="134"/>
                <c:pt idx="0">
                  <c:v>0.104113</c:v>
                </c:pt>
                <c:pt idx="1">
                  <c:v>0.2278581041666666</c:v>
                </c:pt>
                <c:pt idx="2">
                  <c:v>0.29771939583333329</c:v>
                </c:pt>
                <c:pt idx="3">
                  <c:v>0.35770592252625627</c:v>
                </c:pt>
                <c:pt idx="4">
                  <c:v>0.36975332682636219</c:v>
                </c:pt>
                <c:pt idx="5">
                  <c:v>0.39974368099302882</c:v>
                </c:pt>
                <c:pt idx="6">
                  <c:v>0.43242654397775115</c:v>
                </c:pt>
                <c:pt idx="7">
                  <c:v>0.46697643594739585</c:v>
                </c:pt>
                <c:pt idx="8">
                  <c:v>0.52730257517496604</c:v>
                </c:pt>
                <c:pt idx="9">
                  <c:v>0.53332767934163272</c:v>
                </c:pt>
                <c:pt idx="10">
                  <c:v>0.5366074375676374</c:v>
                </c:pt>
                <c:pt idx="11">
                  <c:v>0.63641416673430407</c:v>
                </c:pt>
                <c:pt idx="12">
                  <c:v>0.653836865545254</c:v>
                </c:pt>
                <c:pt idx="13">
                  <c:v>0.67469377860665958</c:v>
                </c:pt>
                <c:pt idx="14">
                  <c:v>0.71891204283462962</c:v>
                </c:pt>
                <c:pt idx="15">
                  <c:v>0.72540195301070398</c:v>
                </c:pt>
                <c:pt idx="16">
                  <c:v>0.84831725101425459</c:v>
                </c:pt>
                <c:pt idx="17">
                  <c:v>0.92255133252597721</c:v>
                </c:pt>
                <c:pt idx="18">
                  <c:v>0.97671240756767141</c:v>
                </c:pt>
                <c:pt idx="19">
                  <c:v>1.029492146467905</c:v>
                </c:pt>
                <c:pt idx="20">
                  <c:v>1.1049685423012383</c:v>
                </c:pt>
                <c:pt idx="21">
                  <c:v>1.2260963131539764</c:v>
                </c:pt>
                <c:pt idx="22">
                  <c:v>1.2525681963713189</c:v>
                </c:pt>
                <c:pt idx="23">
                  <c:v>1.3309926311765023</c:v>
                </c:pt>
                <c:pt idx="24">
                  <c:v>1.3787052796267605</c:v>
                </c:pt>
                <c:pt idx="25">
                  <c:v>1.4253834997481378</c:v>
                </c:pt>
                <c:pt idx="26">
                  <c:v>1.4921552001300677</c:v>
                </c:pt>
                <c:pt idx="27">
                  <c:v>1.5136982834634012</c:v>
                </c:pt>
                <c:pt idx="28">
                  <c:v>1.5907697001902019</c:v>
                </c:pt>
                <c:pt idx="29">
                  <c:v>1.6640508610185132</c:v>
                </c:pt>
                <c:pt idx="30">
                  <c:v>1.6957326440735161</c:v>
                </c:pt>
                <c:pt idx="31">
                  <c:v>1.7053739833130326</c:v>
                </c:pt>
                <c:pt idx="32">
                  <c:v>1.7252840249796992</c:v>
                </c:pt>
                <c:pt idx="33">
                  <c:v>1.7090035549914235</c:v>
                </c:pt>
                <c:pt idx="34">
                  <c:v>1.7749914678020795</c:v>
                </c:pt>
                <c:pt idx="35">
                  <c:v>1.7975415719687462</c:v>
                </c:pt>
                <c:pt idx="36">
                  <c:v>1.8438240155055752</c:v>
                </c:pt>
                <c:pt idx="37">
                  <c:v>1.9491542536416093</c:v>
                </c:pt>
                <c:pt idx="38">
                  <c:v>1.9474454069529739</c:v>
                </c:pt>
                <c:pt idx="39">
                  <c:v>2.0069962473149716</c:v>
                </c:pt>
                <c:pt idx="40">
                  <c:v>2.0180781431483048</c:v>
                </c:pt>
                <c:pt idx="41">
                  <c:v>2.0088277264816381</c:v>
                </c:pt>
                <c:pt idx="42">
                  <c:v>2.0322326900232355</c:v>
                </c:pt>
                <c:pt idx="43">
                  <c:v>2.1186556047508351</c:v>
                </c:pt>
                <c:pt idx="44">
                  <c:v>2.1954395839175018</c:v>
                </c:pt>
                <c:pt idx="45">
                  <c:v>2.2751055595659722</c:v>
                </c:pt>
                <c:pt idx="46">
                  <c:v>2.3019267975363533</c:v>
                </c:pt>
                <c:pt idx="47">
                  <c:v>2.3347266296722089</c:v>
                </c:pt>
                <c:pt idx="48">
                  <c:v>2.3522909760208339</c:v>
                </c:pt>
                <c:pt idx="49">
                  <c:v>2.4077411635208339</c:v>
                </c:pt>
                <c:pt idx="50">
                  <c:v>2.4875704343541671</c:v>
                </c:pt>
                <c:pt idx="51">
                  <c:v>2.5101178353289462</c:v>
                </c:pt>
                <c:pt idx="52">
                  <c:v>2.5292287026037883</c:v>
                </c:pt>
                <c:pt idx="53">
                  <c:v>2.5709054317704552</c:v>
                </c:pt>
                <c:pt idx="54">
                  <c:v>2.6146792211562384</c:v>
                </c:pt>
                <c:pt idx="55">
                  <c:v>2.7363363644221943</c:v>
                </c:pt>
                <c:pt idx="56">
                  <c:v>2.8247339102785149</c:v>
                </c:pt>
                <c:pt idx="57">
                  <c:v>2.8657575664707071</c:v>
                </c:pt>
                <c:pt idx="58">
                  <c:v>2.9181666989274087</c:v>
                </c:pt>
                <c:pt idx="59">
                  <c:v>2.9696192614274088</c:v>
                </c:pt>
                <c:pt idx="60">
                  <c:v>2.9947452822607423</c:v>
                </c:pt>
                <c:pt idx="61">
                  <c:v>3.0292053227091933</c:v>
                </c:pt>
                <c:pt idx="62">
                  <c:v>3.0825770914043842</c:v>
                </c:pt>
                <c:pt idx="63">
                  <c:v>3.0777192580710508</c:v>
                </c:pt>
                <c:pt idx="64">
                  <c:v>3.1085979743045251</c:v>
                </c:pt>
                <c:pt idx="65">
                  <c:v>3.1165500159711916</c:v>
                </c:pt>
                <c:pt idx="66">
                  <c:v>3.1582030797606175</c:v>
                </c:pt>
                <c:pt idx="67">
                  <c:v>3.2380345365839505</c:v>
                </c:pt>
                <c:pt idx="68">
                  <c:v>3.2782150509453674</c:v>
                </c:pt>
                <c:pt idx="69">
                  <c:v>3.3118829467787005</c:v>
                </c:pt>
                <c:pt idx="70">
                  <c:v>3.3865411134453671</c:v>
                </c:pt>
                <c:pt idx="71">
                  <c:v>3.4664719475464247</c:v>
                </c:pt>
                <c:pt idx="72">
                  <c:v>3.5421859531831044</c:v>
                </c:pt>
                <c:pt idx="73">
                  <c:v>3.5436630573497712</c:v>
                </c:pt>
                <c:pt idx="74">
                  <c:v>3.5828650139249127</c:v>
                </c:pt>
                <c:pt idx="75">
                  <c:v>3.6590031369839631</c:v>
                </c:pt>
                <c:pt idx="76">
                  <c:v>3.6925347025843598</c:v>
                </c:pt>
                <c:pt idx="77">
                  <c:v>3.8129616192510265</c:v>
                </c:pt>
                <c:pt idx="78">
                  <c:v>3.9330795359176931</c:v>
                </c:pt>
                <c:pt idx="79">
                  <c:v>4.0381653688100201</c:v>
                </c:pt>
                <c:pt idx="80">
                  <c:v>4.2219930979766866</c:v>
                </c:pt>
                <c:pt idx="81">
                  <c:v>4.2665073647017557</c:v>
                </c:pt>
                <c:pt idx="82">
                  <c:v>4.3245223325089954</c:v>
                </c:pt>
                <c:pt idx="83">
                  <c:v>4.3828569443362024</c:v>
                </c:pt>
                <c:pt idx="84">
                  <c:v>4.4347104534704656</c:v>
                </c:pt>
                <c:pt idx="85">
                  <c:v>4.4895206341493052</c:v>
                </c:pt>
                <c:pt idx="86">
                  <c:v>4.5552077604161028</c:v>
                </c:pt>
                <c:pt idx="87">
                  <c:v>4.636661126518284</c:v>
                </c:pt>
                <c:pt idx="88">
                  <c:v>4.7381134598516175</c:v>
                </c:pt>
                <c:pt idx="89">
                  <c:v>4.8391076264998114</c:v>
                </c:pt>
                <c:pt idx="90">
                  <c:v>4.9246737723331444</c:v>
                </c:pt>
                <c:pt idx="91">
                  <c:v>4.9944003126108791</c:v>
                </c:pt>
                <c:pt idx="92">
                  <c:v>5.0655791775792833</c:v>
                </c:pt>
                <c:pt idx="93">
                  <c:v>5.1772240639597582</c:v>
                </c:pt>
                <c:pt idx="94">
                  <c:v>5.1867917176248932</c:v>
                </c:pt>
                <c:pt idx="95">
                  <c:v>5.2302538842915602</c:v>
                </c:pt>
                <c:pt idx="96">
                  <c:v>5.3373448460051973</c:v>
                </c:pt>
                <c:pt idx="97">
                  <c:v>5.4150008972621704</c:v>
                </c:pt>
                <c:pt idx="98">
                  <c:v>5.4513100170186037</c:v>
                </c:pt>
                <c:pt idx="99">
                  <c:v>5.5113432722586566</c:v>
                </c:pt>
                <c:pt idx="100">
                  <c:v>5.57363991809199</c:v>
                </c:pt>
                <c:pt idx="101">
                  <c:v>5.6308641384454754</c:v>
                </c:pt>
                <c:pt idx="102">
                  <c:v>5.680309909278809</c:v>
                </c:pt>
                <c:pt idx="103">
                  <c:v>5.7865451592788091</c:v>
                </c:pt>
                <c:pt idx="104">
                  <c:v>5.8163207251571016</c:v>
                </c:pt>
                <c:pt idx="105">
                  <c:v>5.8852977840814855</c:v>
                </c:pt>
                <c:pt idx="106">
                  <c:v>5.9077397805107212</c:v>
                </c:pt>
                <c:pt idx="107">
                  <c:v>5.9908624680107216</c:v>
                </c:pt>
                <c:pt idx="108">
                  <c:v>6.0385917805107212</c:v>
                </c:pt>
                <c:pt idx="109">
                  <c:v>6.1273124888440549</c:v>
                </c:pt>
                <c:pt idx="110">
                  <c:v>6.2170606138440547</c:v>
                </c:pt>
                <c:pt idx="111">
                  <c:v>6.2240817374596125</c:v>
                </c:pt>
                <c:pt idx="112">
                  <c:v>6.2434681332929456</c:v>
                </c:pt>
                <c:pt idx="113">
                  <c:v>6.2655188239710338</c:v>
                </c:pt>
                <c:pt idx="114">
                  <c:v>6.2649868656377006</c:v>
                </c:pt>
                <c:pt idx="115">
                  <c:v>6.2764864435602137</c:v>
                </c:pt>
                <c:pt idx="116">
                  <c:v>6.3143502977268806</c:v>
                </c:pt>
                <c:pt idx="117">
                  <c:v>6.3723826066175819</c:v>
                </c:pt>
                <c:pt idx="118">
                  <c:v>6.4595116180101524</c:v>
                </c:pt>
                <c:pt idx="119">
                  <c:v>6.4732828272824641</c:v>
                </c:pt>
                <c:pt idx="120">
                  <c:v>6.5418795147824644</c:v>
                </c:pt>
                <c:pt idx="121">
                  <c:v>6.5717253239434674</c:v>
                </c:pt>
                <c:pt idx="122">
                  <c:v>6.6047312822768012</c:v>
                </c:pt>
                <c:pt idx="123">
                  <c:v>6.6843514263009896</c:v>
                </c:pt>
                <c:pt idx="124">
                  <c:v>6.7263799054676561</c:v>
                </c:pt>
                <c:pt idx="125">
                  <c:v>6.7909032850461521</c:v>
                </c:pt>
                <c:pt idx="126">
                  <c:v>6.8478844308794855</c:v>
                </c:pt>
                <c:pt idx="127">
                  <c:v>6.8661864100461525</c:v>
                </c:pt>
                <c:pt idx="128">
                  <c:v>6.990655368195223</c:v>
                </c:pt>
                <c:pt idx="129">
                  <c:v>7.0478606609436119</c:v>
                </c:pt>
                <c:pt idx="130">
                  <c:v>7.0895204143788408</c:v>
                </c:pt>
                <c:pt idx="131">
                  <c:v>7.1552025080380757</c:v>
                </c:pt>
                <c:pt idx="132">
                  <c:v>7.1964368830380758</c:v>
                </c:pt>
                <c:pt idx="133">
                  <c:v>7.2409499247047426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0-CC40-A5C6-CB614070F43C}"/>
            </c:ext>
          </c:extLst>
        </c:ser>
        <c:ser>
          <c:idx val="2"/>
          <c:order val="2"/>
          <c:tx>
            <c:strRef>
              <c:f>真實畫圖!$B$14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真實畫圖!$C$14:$EF$14</c:f>
              <c:numCache>
                <c:formatCode>General</c:formatCode>
                <c:ptCount val="134"/>
                <c:pt idx="0">
                  <c:v>0.11994100000000001</c:v>
                </c:pt>
                <c:pt idx="1">
                  <c:v>0.34224978947368423</c:v>
                </c:pt>
                <c:pt idx="2">
                  <c:v>0.44101794736842109</c:v>
                </c:pt>
                <c:pt idx="3">
                  <c:v>0.50135985227445368</c:v>
                </c:pt>
                <c:pt idx="4">
                  <c:v>0.55501648271723436</c:v>
                </c:pt>
                <c:pt idx="5">
                  <c:v>0.61460543008565538</c:v>
                </c:pt>
                <c:pt idx="6">
                  <c:v>0.65839278990879768</c:v>
                </c:pt>
                <c:pt idx="7">
                  <c:v>0.6817027618737086</c:v>
                </c:pt>
                <c:pt idx="8">
                  <c:v>0.73253022813455659</c:v>
                </c:pt>
                <c:pt idx="9">
                  <c:v>0.74101043866087235</c:v>
                </c:pt>
                <c:pt idx="10">
                  <c:v>0.72198872419588833</c:v>
                </c:pt>
                <c:pt idx="11">
                  <c:v>0.92682140840641458</c:v>
                </c:pt>
                <c:pt idx="12">
                  <c:v>0.92831581634496307</c:v>
                </c:pt>
                <c:pt idx="13">
                  <c:v>0.98666173824320436</c:v>
                </c:pt>
                <c:pt idx="14">
                  <c:v>1.110765609414653</c:v>
                </c:pt>
                <c:pt idx="15">
                  <c:v>1.0948244221175512</c:v>
                </c:pt>
                <c:pt idx="16">
                  <c:v>1.2607176493022598</c:v>
                </c:pt>
                <c:pt idx="17">
                  <c:v>1.2957372041366599</c:v>
                </c:pt>
                <c:pt idx="18">
                  <c:v>1.4000038687723075</c:v>
                </c:pt>
                <c:pt idx="19">
                  <c:v>1.420092995957686</c:v>
                </c:pt>
                <c:pt idx="20">
                  <c:v>1.5362583643787386</c:v>
                </c:pt>
                <c:pt idx="21">
                  <c:v>1.7229440599890855</c:v>
                </c:pt>
                <c:pt idx="22">
                  <c:v>1.7281639345846174</c:v>
                </c:pt>
                <c:pt idx="23">
                  <c:v>1.7666758608649251</c:v>
                </c:pt>
                <c:pt idx="24">
                  <c:v>1.8665817403622498</c:v>
                </c:pt>
                <c:pt idx="25">
                  <c:v>1.93735111770948</c:v>
                </c:pt>
                <c:pt idx="26">
                  <c:v>1.9342645553706908</c:v>
                </c:pt>
                <c:pt idx="27">
                  <c:v>1.9735925027391119</c:v>
                </c:pt>
                <c:pt idx="28">
                  <c:v>2.0904294225786781</c:v>
                </c:pt>
                <c:pt idx="29">
                  <c:v>2.1865095180353116</c:v>
                </c:pt>
                <c:pt idx="30">
                  <c:v>2.2070304126818741</c:v>
                </c:pt>
                <c:pt idx="31">
                  <c:v>2.21228069061238</c:v>
                </c:pt>
                <c:pt idx="32">
                  <c:v>2.2232460064018538</c:v>
                </c:pt>
                <c:pt idx="33">
                  <c:v>2.2383050424850048</c:v>
                </c:pt>
                <c:pt idx="34">
                  <c:v>2.3152164733433067</c:v>
                </c:pt>
                <c:pt idx="35">
                  <c:v>2.3337755786064647</c:v>
                </c:pt>
                <c:pt idx="36">
                  <c:v>2.3950177449850898</c:v>
                </c:pt>
                <c:pt idx="37">
                  <c:v>2.4936124117546337</c:v>
                </c:pt>
                <c:pt idx="38">
                  <c:v>2.4555680592125722</c:v>
                </c:pt>
                <c:pt idx="39">
                  <c:v>2.5255445843646562</c:v>
                </c:pt>
                <c:pt idx="40">
                  <c:v>2.533671005417288</c:v>
                </c:pt>
                <c:pt idx="41">
                  <c:v>2.5155005317330774</c:v>
                </c:pt>
                <c:pt idx="42">
                  <c:v>2.5088311933433878</c:v>
                </c:pt>
                <c:pt idx="43">
                  <c:v>2.5882346730540258</c:v>
                </c:pt>
                <c:pt idx="44">
                  <c:v>2.7260877783171837</c:v>
                </c:pt>
                <c:pt idx="45">
                  <c:v>2.7923465275334425</c:v>
                </c:pt>
                <c:pt idx="46">
                  <c:v>2.84627520876287</c:v>
                </c:pt>
                <c:pt idx="47">
                  <c:v>2.8656454221383605</c:v>
                </c:pt>
                <c:pt idx="48">
                  <c:v>2.8807135409101221</c:v>
                </c:pt>
                <c:pt idx="49">
                  <c:v>2.906342540910122</c:v>
                </c:pt>
                <c:pt idx="50">
                  <c:v>3.0026799619627536</c:v>
                </c:pt>
                <c:pt idx="51">
                  <c:v>3.112991210863874</c:v>
                </c:pt>
                <c:pt idx="52">
                  <c:v>3.0844855273645679</c:v>
                </c:pt>
                <c:pt idx="53">
                  <c:v>3.1009044221014102</c:v>
                </c:pt>
                <c:pt idx="54">
                  <c:v>3.170986192250739</c:v>
                </c:pt>
                <c:pt idx="55">
                  <c:v>3.3248154538247472</c:v>
                </c:pt>
                <c:pt idx="56">
                  <c:v>3.4501207602643369</c:v>
                </c:pt>
                <c:pt idx="57">
                  <c:v>3.5235342244430621</c:v>
                </c:pt>
                <c:pt idx="58">
                  <c:v>3.5737194373339158</c:v>
                </c:pt>
                <c:pt idx="59">
                  <c:v>3.597737332070758</c:v>
                </c:pt>
                <c:pt idx="60">
                  <c:v>3.5645001215444423</c:v>
                </c:pt>
                <c:pt idx="61">
                  <c:v>3.6244970170718824</c:v>
                </c:pt>
                <c:pt idx="62">
                  <c:v>3.670775342074883</c:v>
                </c:pt>
                <c:pt idx="63">
                  <c:v>3.6241984999696197</c:v>
                </c:pt>
                <c:pt idx="64">
                  <c:v>3.6578075456468842</c:v>
                </c:pt>
                <c:pt idx="65">
                  <c:v>3.6074758614363578</c:v>
                </c:pt>
                <c:pt idx="66">
                  <c:v>3.6233193853063086</c:v>
                </c:pt>
                <c:pt idx="67">
                  <c:v>3.7233718083816951</c:v>
                </c:pt>
                <c:pt idx="68">
                  <c:v>3.7537045323684657</c:v>
                </c:pt>
                <c:pt idx="69">
                  <c:v>3.738416216578992</c:v>
                </c:pt>
                <c:pt idx="70">
                  <c:v>3.8495763218421502</c:v>
                </c:pt>
                <c:pt idx="71">
                  <c:v>3.9575579550421449</c:v>
                </c:pt>
                <c:pt idx="72">
                  <c:v>4.0884554635993302</c:v>
                </c:pt>
                <c:pt idx="73">
                  <c:v>4.0881480951782772</c:v>
                </c:pt>
                <c:pt idx="74">
                  <c:v>4.0455436055249283</c:v>
                </c:pt>
                <c:pt idx="75">
                  <c:v>4.1055776623537108</c:v>
                </c:pt>
                <c:pt idx="76">
                  <c:v>4.1300429284686482</c:v>
                </c:pt>
                <c:pt idx="77">
                  <c:v>4.2945087179423327</c:v>
                </c:pt>
                <c:pt idx="78">
                  <c:v>4.4151039284686489</c:v>
                </c:pt>
                <c:pt idx="79">
                  <c:v>4.5131206384008467</c:v>
                </c:pt>
                <c:pt idx="80">
                  <c:v>4.6836754805061096</c:v>
                </c:pt>
                <c:pt idx="81">
                  <c:v>4.7760061637881712</c:v>
                </c:pt>
                <c:pt idx="82">
                  <c:v>4.8333268274559922</c:v>
                </c:pt>
                <c:pt idx="83">
                  <c:v>4.8979882197342093</c:v>
                </c:pt>
                <c:pt idx="84">
                  <c:v>5.0038729970975684</c:v>
                </c:pt>
                <c:pt idx="85">
                  <c:v>5.02166911344671</c:v>
                </c:pt>
                <c:pt idx="86">
                  <c:v>5.0754611999607029</c:v>
                </c:pt>
                <c:pt idx="87">
                  <c:v>5.137731154839539</c:v>
                </c:pt>
                <c:pt idx="88">
                  <c:v>5.2477989969448018</c:v>
                </c:pt>
                <c:pt idx="89">
                  <c:v>5.422394671629859</c:v>
                </c:pt>
                <c:pt idx="90">
                  <c:v>5.5956439347877538</c:v>
                </c:pt>
                <c:pt idx="91">
                  <c:v>5.6954532662695065</c:v>
                </c:pt>
                <c:pt idx="92">
                  <c:v>5.727681166156894</c:v>
                </c:pt>
                <c:pt idx="93">
                  <c:v>5.9354008787475419</c:v>
                </c:pt>
                <c:pt idx="94">
                  <c:v>5.9309882452142926</c:v>
                </c:pt>
                <c:pt idx="95">
                  <c:v>5.9928604557406082</c:v>
                </c:pt>
                <c:pt idx="96">
                  <c:v>6.0944054556973226</c:v>
                </c:pt>
                <c:pt idx="97">
                  <c:v>6.245802296854956</c:v>
                </c:pt>
                <c:pt idx="98">
                  <c:v>6.2905661812982157</c:v>
                </c:pt>
                <c:pt idx="99">
                  <c:v>6.326865590186455</c:v>
                </c:pt>
                <c:pt idx="100">
                  <c:v>6.3770036428180337</c:v>
                </c:pt>
                <c:pt idx="101">
                  <c:v>6.4410672061684169</c:v>
                </c:pt>
                <c:pt idx="102">
                  <c:v>6.5064597851157853</c:v>
                </c:pt>
                <c:pt idx="103">
                  <c:v>6.6110678377473642</c:v>
                </c:pt>
                <c:pt idx="104">
                  <c:v>6.6347004469522117</c:v>
                </c:pt>
                <c:pt idx="105">
                  <c:v>6.7139057988003961</c:v>
                </c:pt>
                <c:pt idx="106">
                  <c:v>6.776432722806855</c:v>
                </c:pt>
                <c:pt idx="107">
                  <c:v>6.9779971964910654</c:v>
                </c:pt>
                <c:pt idx="108">
                  <c:v>7.0235808280700125</c:v>
                </c:pt>
                <c:pt idx="109">
                  <c:v>7.0823234070173813</c:v>
                </c:pt>
                <c:pt idx="110">
                  <c:v>7.168970196491065</c:v>
                </c:pt>
                <c:pt idx="111">
                  <c:v>7.177764225878386</c:v>
                </c:pt>
                <c:pt idx="112">
                  <c:v>7.2593859100889127</c:v>
                </c:pt>
                <c:pt idx="113">
                  <c:v>7.3001407819208115</c:v>
                </c:pt>
                <c:pt idx="114">
                  <c:v>7.3012614661313382</c:v>
                </c:pt>
                <c:pt idx="115">
                  <c:v>7.3439239620246024</c:v>
                </c:pt>
                <c:pt idx="116">
                  <c:v>7.446515962024602</c:v>
                </c:pt>
                <c:pt idx="117">
                  <c:v>7.5094307700949026</c:v>
                </c:pt>
                <c:pt idx="118">
                  <c:v>7.5806033346760353</c:v>
                </c:pt>
                <c:pt idx="119">
                  <c:v>7.6332258541350351</c:v>
                </c:pt>
                <c:pt idx="120">
                  <c:v>7.6892775383455616</c:v>
                </c:pt>
                <c:pt idx="121">
                  <c:v>7.6970318286846444</c:v>
                </c:pt>
                <c:pt idx="122">
                  <c:v>7.7658280918425389</c:v>
                </c:pt>
                <c:pt idx="123">
                  <c:v>7.8740904463726462</c:v>
                </c:pt>
                <c:pt idx="124">
                  <c:v>7.8759003411094879</c:v>
                </c:pt>
                <c:pt idx="125">
                  <c:v>7.9778318466619087</c:v>
                </c:pt>
                <c:pt idx="126">
                  <c:v>8.0520896887671718</c:v>
                </c:pt>
                <c:pt idx="127">
                  <c:v>8.0871205835040136</c:v>
                </c:pt>
                <c:pt idx="128">
                  <c:v>8.150033268076756</c:v>
                </c:pt>
                <c:pt idx="129">
                  <c:v>8.2282130987770188</c:v>
                </c:pt>
                <c:pt idx="130">
                  <c:v>8.2342924809251521</c:v>
                </c:pt>
                <c:pt idx="131">
                  <c:v>8.3369221901113395</c:v>
                </c:pt>
                <c:pt idx="132">
                  <c:v>8.3335229269534441</c:v>
                </c:pt>
                <c:pt idx="133">
                  <c:v>8.3590471374797595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0-CC40-A5C6-CB614070F43C}"/>
            </c:ext>
          </c:extLst>
        </c:ser>
        <c:ser>
          <c:idx val="3"/>
          <c:order val="3"/>
          <c:tx>
            <c:strRef>
              <c:f>真實畫圖!$B$15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真實畫圖!$C$15:$EF$15</c:f>
              <c:numCache>
                <c:formatCode>General</c:formatCode>
                <c:ptCount val="134"/>
                <c:pt idx="0">
                  <c:v>0.22764499999999999</c:v>
                </c:pt>
                <c:pt idx="1">
                  <c:v>0.60035470000000002</c:v>
                </c:pt>
                <c:pt idx="2">
                  <c:v>0.66239930000000002</c:v>
                </c:pt>
                <c:pt idx="3">
                  <c:v>0.6274778634433027</c:v>
                </c:pt>
                <c:pt idx="4">
                  <c:v>0.66188178441033918</c:v>
                </c:pt>
                <c:pt idx="5">
                  <c:v>0.78072618441033914</c:v>
                </c:pt>
                <c:pt idx="6">
                  <c:v>0.83915762869020472</c:v>
                </c:pt>
                <c:pt idx="7">
                  <c:v>0.88911909393759436</c:v>
                </c:pt>
                <c:pt idx="8">
                  <c:v>0.98363389152952529</c:v>
                </c:pt>
                <c:pt idx="9">
                  <c:v>0.97066699152952529</c:v>
                </c:pt>
                <c:pt idx="10">
                  <c:v>0.96853397509323758</c:v>
                </c:pt>
                <c:pt idx="11">
                  <c:v>1.2988435750932377</c:v>
                </c:pt>
                <c:pt idx="12">
                  <c:v>1.2865727793340849</c:v>
                </c:pt>
                <c:pt idx="13">
                  <c:v>1.3506889623557465</c:v>
                </c:pt>
                <c:pt idx="14">
                  <c:v>1.506225804463559</c:v>
                </c:pt>
                <c:pt idx="15">
                  <c:v>1.4540961143584417</c:v>
                </c:pt>
                <c:pt idx="16">
                  <c:v>1.7241040094405955</c:v>
                </c:pt>
                <c:pt idx="17">
                  <c:v>1.7699950865577798</c:v>
                </c:pt>
                <c:pt idx="18">
                  <c:v>1.9069631482250486</c:v>
                </c:pt>
                <c:pt idx="19">
                  <c:v>1.8898312948769358</c:v>
                </c:pt>
                <c:pt idx="20">
                  <c:v>1.9967658948769358</c:v>
                </c:pt>
                <c:pt idx="21">
                  <c:v>2.2079522222073176</c:v>
                </c:pt>
                <c:pt idx="22">
                  <c:v>2.1873222478414975</c:v>
                </c:pt>
                <c:pt idx="23">
                  <c:v>2.2340422198948562</c:v>
                </c:pt>
                <c:pt idx="24">
                  <c:v>2.3948926041079206</c:v>
                </c:pt>
                <c:pt idx="25">
                  <c:v>2.478592776623751</c:v>
                </c:pt>
                <c:pt idx="26">
                  <c:v>2.4829104454718061</c:v>
                </c:pt>
                <c:pt idx="27">
                  <c:v>2.5226008454718061</c:v>
                </c:pt>
                <c:pt idx="28">
                  <c:v>2.7343934885190779</c:v>
                </c:pt>
                <c:pt idx="29">
                  <c:v>2.8721197756967323</c:v>
                </c:pt>
                <c:pt idx="30">
                  <c:v>2.882243253958388</c:v>
                </c:pt>
                <c:pt idx="31">
                  <c:v>2.8486388806007117</c:v>
                </c:pt>
                <c:pt idx="32">
                  <c:v>2.9229162806007118</c:v>
                </c:pt>
                <c:pt idx="33">
                  <c:v>2.9323811405681877</c:v>
                </c:pt>
                <c:pt idx="34">
                  <c:v>2.9941407602266326</c:v>
                </c:pt>
                <c:pt idx="35">
                  <c:v>2.9872579602266325</c:v>
                </c:pt>
                <c:pt idx="36">
                  <c:v>3.0423805823612597</c:v>
                </c:pt>
                <c:pt idx="37">
                  <c:v>3.1440692882736432</c:v>
                </c:pt>
                <c:pt idx="38">
                  <c:v>3.092684768033676</c:v>
                </c:pt>
                <c:pt idx="39">
                  <c:v>3.1709704619264301</c:v>
                </c:pt>
                <c:pt idx="40">
                  <c:v>3.1907177619264302</c:v>
                </c:pt>
                <c:pt idx="41">
                  <c:v>3.1661674619264302</c:v>
                </c:pt>
                <c:pt idx="42">
                  <c:v>3.1174342405723285</c:v>
                </c:pt>
                <c:pt idx="43">
                  <c:v>3.1884240531760337</c:v>
                </c:pt>
                <c:pt idx="44">
                  <c:v>3.3555330531760337</c:v>
                </c:pt>
                <c:pt idx="45">
                  <c:v>3.3928309818751443</c:v>
                </c:pt>
                <c:pt idx="46">
                  <c:v>3.4845584546684951</c:v>
                </c:pt>
                <c:pt idx="47">
                  <c:v>3.5659190206232632</c:v>
                </c:pt>
                <c:pt idx="48">
                  <c:v>3.5939360847332962</c:v>
                </c:pt>
                <c:pt idx="49">
                  <c:v>3.630784184733296</c:v>
                </c:pt>
                <c:pt idx="50">
                  <c:v>3.7884724847332958</c:v>
                </c:pt>
                <c:pt idx="51">
                  <c:v>3.9861856342376365</c:v>
                </c:pt>
                <c:pt idx="52">
                  <c:v>3.9552489426152864</c:v>
                </c:pt>
                <c:pt idx="53">
                  <c:v>3.9626136426152865</c:v>
                </c:pt>
                <c:pt idx="54">
                  <c:v>4.004011613312195</c:v>
                </c:pt>
                <c:pt idx="55">
                  <c:v>4.214883700802182</c:v>
                </c:pt>
                <c:pt idx="56">
                  <c:v>4.3809349162667788</c:v>
                </c:pt>
                <c:pt idx="57">
                  <c:v>4.4795839626731997</c:v>
                </c:pt>
                <c:pt idx="58">
                  <c:v>4.5481706217881692</c:v>
                </c:pt>
                <c:pt idx="59">
                  <c:v>4.6233256217881689</c:v>
                </c:pt>
                <c:pt idx="60">
                  <c:v>4.5504564217881684</c:v>
                </c:pt>
                <c:pt idx="61">
                  <c:v>4.6102118427624896</c:v>
                </c:pt>
                <c:pt idx="62">
                  <c:v>4.6584308472502336</c:v>
                </c:pt>
                <c:pt idx="63">
                  <c:v>4.5923759472502335</c:v>
                </c:pt>
                <c:pt idx="64">
                  <c:v>4.6201104232051646</c:v>
                </c:pt>
                <c:pt idx="65">
                  <c:v>4.5684946232051642</c:v>
                </c:pt>
                <c:pt idx="66">
                  <c:v>4.5812975544954924</c:v>
                </c:pt>
                <c:pt idx="67">
                  <c:v>4.7050596909319475</c:v>
                </c:pt>
                <c:pt idx="68">
                  <c:v>4.7169256018405594</c:v>
                </c:pt>
                <c:pt idx="69">
                  <c:v>4.7535582018405593</c:v>
                </c:pt>
                <c:pt idx="70">
                  <c:v>4.8391047018405597</c:v>
                </c:pt>
                <c:pt idx="71">
                  <c:v>4.9437447461342501</c:v>
                </c:pt>
                <c:pt idx="72">
                  <c:v>5.2426237357101781</c:v>
                </c:pt>
                <c:pt idx="73">
                  <c:v>5.2665737357101783</c:v>
                </c:pt>
                <c:pt idx="74">
                  <c:v>5.1405501621330911</c:v>
                </c:pt>
                <c:pt idx="75">
                  <c:v>5.2434566311104387</c:v>
                </c:pt>
                <c:pt idx="76">
                  <c:v>5.2620486519068805</c:v>
                </c:pt>
                <c:pt idx="77">
                  <c:v>5.393140251906881</c:v>
                </c:pt>
                <c:pt idx="78">
                  <c:v>5.566789851906881</c:v>
                </c:pt>
                <c:pt idx="79">
                  <c:v>5.6869419358699655</c:v>
                </c:pt>
                <c:pt idx="80">
                  <c:v>5.760309335869966</c:v>
                </c:pt>
                <c:pt idx="81">
                  <c:v>5.8546659862633863</c:v>
                </c:pt>
                <c:pt idx="82">
                  <c:v>5.9405520077935501</c:v>
                </c:pt>
                <c:pt idx="83">
                  <c:v>6.003437966077251</c:v>
                </c:pt>
                <c:pt idx="84">
                  <c:v>6.0422363809722315</c:v>
                </c:pt>
                <c:pt idx="85">
                  <c:v>6.0829080979192929</c:v>
                </c:pt>
                <c:pt idx="86">
                  <c:v>6.1785488460919984</c:v>
                </c:pt>
                <c:pt idx="87">
                  <c:v>6.2099708210852471</c:v>
                </c:pt>
                <c:pt idx="88">
                  <c:v>6.318088721085247</c:v>
                </c:pt>
                <c:pt idx="89">
                  <c:v>6.4612385380564872</c:v>
                </c:pt>
                <c:pt idx="90">
                  <c:v>6.6345984380564875</c:v>
                </c:pt>
                <c:pt idx="91">
                  <c:v>6.762134273489437</c:v>
                </c:pt>
                <c:pt idx="92">
                  <c:v>6.7371709130329984</c:v>
                </c:pt>
                <c:pt idx="93">
                  <c:v>6.9186598452687331</c:v>
                </c:pt>
                <c:pt idx="94">
                  <c:v>6.9251428963677784</c:v>
                </c:pt>
                <c:pt idx="95">
                  <c:v>6.9573597963677782</c:v>
                </c:pt>
                <c:pt idx="96">
                  <c:v>7.0814097277816463</c:v>
                </c:pt>
                <c:pt idx="97">
                  <c:v>7.2640212754985622</c:v>
                </c:pt>
                <c:pt idx="98">
                  <c:v>7.2900933664016891</c:v>
                </c:pt>
                <c:pt idx="99">
                  <c:v>7.3141329734550204</c:v>
                </c:pt>
                <c:pt idx="100">
                  <c:v>7.3698658734550202</c:v>
                </c:pt>
                <c:pt idx="101">
                  <c:v>7.4497528213993629</c:v>
                </c:pt>
                <c:pt idx="102">
                  <c:v>7.538614621399363</c:v>
                </c:pt>
                <c:pt idx="103">
                  <c:v>7.6356623213993631</c:v>
                </c:pt>
                <c:pt idx="104">
                  <c:v>7.6707374713739451</c:v>
                </c:pt>
                <c:pt idx="105">
                  <c:v>7.6852441975053916</c:v>
                </c:pt>
                <c:pt idx="106">
                  <c:v>7.7424078322366441</c:v>
                </c:pt>
                <c:pt idx="107">
                  <c:v>8.045129432236644</c:v>
                </c:pt>
                <c:pt idx="108">
                  <c:v>8.0930472322366445</c:v>
                </c:pt>
                <c:pt idx="109">
                  <c:v>8.2226707322366437</c:v>
                </c:pt>
                <c:pt idx="110">
                  <c:v>8.2654817322366441</c:v>
                </c:pt>
                <c:pt idx="111">
                  <c:v>8.3255055089277015</c:v>
                </c:pt>
                <c:pt idx="112">
                  <c:v>8.4258345089277018</c:v>
                </c:pt>
                <c:pt idx="113">
                  <c:v>8.4255305157248745</c:v>
                </c:pt>
                <c:pt idx="114">
                  <c:v>8.423757015724874</c:v>
                </c:pt>
                <c:pt idx="115">
                  <c:v>8.4677535131484944</c:v>
                </c:pt>
                <c:pt idx="116">
                  <c:v>8.627299113148494</c:v>
                </c:pt>
                <c:pt idx="117">
                  <c:v>8.7616040605138608</c:v>
                </c:pt>
                <c:pt idx="118">
                  <c:v>8.7986427494660582</c:v>
                </c:pt>
                <c:pt idx="119">
                  <c:v>8.8686533160839964</c:v>
                </c:pt>
                <c:pt idx="120">
                  <c:v>8.9061832160839955</c:v>
                </c:pt>
                <c:pt idx="121">
                  <c:v>8.9589020060730657</c:v>
                </c:pt>
                <c:pt idx="122">
                  <c:v>9.0760305060730655</c:v>
                </c:pt>
                <c:pt idx="123">
                  <c:v>9.2157988630139371</c:v>
                </c:pt>
                <c:pt idx="124">
                  <c:v>9.154972063013938</c:v>
                </c:pt>
                <c:pt idx="125">
                  <c:v>9.2735883136639252</c:v>
                </c:pt>
                <c:pt idx="126">
                  <c:v>9.4171979136639248</c:v>
                </c:pt>
                <c:pt idx="127">
                  <c:v>9.457653113663925</c:v>
                </c:pt>
                <c:pt idx="128">
                  <c:v>9.5011043339442498</c:v>
                </c:pt>
                <c:pt idx="129">
                  <c:v>9.5891917834715041</c:v>
                </c:pt>
                <c:pt idx="130">
                  <c:v>9.6552736395194501</c:v>
                </c:pt>
                <c:pt idx="131">
                  <c:v>9.7686306954547621</c:v>
                </c:pt>
                <c:pt idx="132">
                  <c:v>9.7718208954547627</c:v>
                </c:pt>
                <c:pt idx="133">
                  <c:v>9.8014649954547632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20-CC40-A5C6-CB614070F43C}"/>
            </c:ext>
          </c:extLst>
        </c:ser>
        <c:ser>
          <c:idx val="4"/>
          <c:order val="4"/>
          <c:tx>
            <c:strRef>
              <c:f>真實畫圖!$B$16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真實畫圖!$C$16:$EF$16</c:f>
              <c:numCache>
                <c:formatCode>General</c:formatCode>
                <c:ptCount val="134"/>
                <c:pt idx="0">
                  <c:v>0.207875</c:v>
                </c:pt>
                <c:pt idx="1">
                  <c:v>0.61607044444444437</c:v>
                </c:pt>
                <c:pt idx="2">
                  <c:v>0.68107533333333325</c:v>
                </c:pt>
                <c:pt idx="3">
                  <c:v>0.60235986142900222</c:v>
                </c:pt>
                <c:pt idx="4">
                  <c:v>0.61050641208795153</c:v>
                </c:pt>
                <c:pt idx="5">
                  <c:v>0.6833551898657293</c:v>
                </c:pt>
                <c:pt idx="6">
                  <c:v>0.74088580853135078</c:v>
                </c:pt>
                <c:pt idx="7">
                  <c:v>0.78759573457401699</c:v>
                </c:pt>
                <c:pt idx="8">
                  <c:v>0.87401662615640752</c:v>
                </c:pt>
                <c:pt idx="9">
                  <c:v>0.84299007060085196</c:v>
                </c:pt>
                <c:pt idx="10">
                  <c:v>0.82900263473893487</c:v>
                </c:pt>
                <c:pt idx="11">
                  <c:v>1.1959905236278239</c:v>
                </c:pt>
                <c:pt idx="12">
                  <c:v>1.1674034467488448</c:v>
                </c:pt>
                <c:pt idx="13">
                  <c:v>1.2284486785402671</c:v>
                </c:pt>
                <c:pt idx="14">
                  <c:v>1.3863517489646051</c:v>
                </c:pt>
                <c:pt idx="15">
                  <c:v>1.3373607706816786</c:v>
                </c:pt>
                <c:pt idx="16">
                  <c:v>1.6244237910804733</c:v>
                </c:pt>
                <c:pt idx="17">
                  <c:v>1.6628304643740852</c:v>
                </c:pt>
                <c:pt idx="18">
                  <c:v>1.7928929358038297</c:v>
                </c:pt>
                <c:pt idx="19">
                  <c:v>1.7868707904708641</c:v>
                </c:pt>
                <c:pt idx="20">
                  <c:v>1.8652442349153084</c:v>
                </c:pt>
                <c:pt idx="21">
                  <c:v>2.1057761965424744</c:v>
                </c:pt>
                <c:pt idx="22">
                  <c:v>2.0855956081228388</c:v>
                </c:pt>
                <c:pt idx="23">
                  <c:v>2.1286535390070505</c:v>
                </c:pt>
                <c:pt idx="24">
                  <c:v>2.2948124303043675</c:v>
                </c:pt>
                <c:pt idx="25">
                  <c:v>2.369797471942348</c:v>
                </c:pt>
                <c:pt idx="26">
                  <c:v>2.3570320239069313</c:v>
                </c:pt>
                <c:pt idx="27">
                  <c:v>2.3918430239069313</c:v>
                </c:pt>
                <c:pt idx="28">
                  <c:v>2.6014712650838416</c:v>
                </c:pt>
                <c:pt idx="29">
                  <c:v>2.749386875348268</c:v>
                </c:pt>
                <c:pt idx="30">
                  <c:v>2.7626776283848034</c:v>
                </c:pt>
                <c:pt idx="31">
                  <c:v>2.7309122279353626</c:v>
                </c:pt>
                <c:pt idx="32">
                  <c:v>2.8214353390464737</c:v>
                </c:pt>
                <c:pt idx="33">
                  <c:v>2.8144093729745978</c:v>
                </c:pt>
                <c:pt idx="34">
                  <c:v>2.8788307738069698</c:v>
                </c:pt>
                <c:pt idx="35">
                  <c:v>2.8643571071403033</c:v>
                </c:pt>
                <c:pt idx="36">
                  <c:v>2.9304338377421013</c:v>
                </c:pt>
                <c:pt idx="37">
                  <c:v>3.0368900378317769</c:v>
                </c:pt>
                <c:pt idx="38">
                  <c:v>2.9957998844700358</c:v>
                </c:pt>
                <c:pt idx="39">
                  <c:v>3.0735982526156245</c:v>
                </c:pt>
                <c:pt idx="40">
                  <c:v>3.0976308081711799</c:v>
                </c:pt>
                <c:pt idx="41">
                  <c:v>3.0651385859489575</c:v>
                </c:pt>
                <c:pt idx="42">
                  <c:v>3.0124958677107236</c:v>
                </c:pt>
                <c:pt idx="43">
                  <c:v>3.1350599110610085</c:v>
                </c:pt>
                <c:pt idx="44">
                  <c:v>3.3052964666165643</c:v>
                </c:pt>
                <c:pt idx="45">
                  <c:v>3.357377302053302</c:v>
                </c:pt>
                <c:pt idx="46">
                  <c:v>3.4663622406948305</c:v>
                </c:pt>
                <c:pt idx="47">
                  <c:v>3.5669835697962333</c:v>
                </c:pt>
                <c:pt idx="48">
                  <c:v>3.6007961596405793</c:v>
                </c:pt>
                <c:pt idx="49">
                  <c:v>3.647624048529468</c:v>
                </c:pt>
                <c:pt idx="50">
                  <c:v>3.8076151596405792</c:v>
                </c:pt>
                <c:pt idx="51">
                  <c:v>4.033088722716319</c:v>
                </c:pt>
                <c:pt idx="52">
                  <c:v>3.9940893307940875</c:v>
                </c:pt>
                <c:pt idx="53">
                  <c:v>4.0003734419051984</c:v>
                </c:pt>
                <c:pt idx="54">
                  <c:v>4.061571085831658</c:v>
                </c:pt>
                <c:pt idx="55">
                  <c:v>4.3093579449321178</c:v>
                </c:pt>
                <c:pt idx="56">
                  <c:v>4.4705875145164686</c:v>
                </c:pt>
                <c:pt idx="57">
                  <c:v>4.5667495490242027</c:v>
                </c:pt>
                <c:pt idx="58">
                  <c:v>4.6081933567874644</c:v>
                </c:pt>
                <c:pt idx="59">
                  <c:v>4.689622245676353</c:v>
                </c:pt>
                <c:pt idx="60">
                  <c:v>4.5848490234541304</c:v>
                </c:pt>
                <c:pt idx="61">
                  <c:v>4.6460226229386006</c:v>
                </c:pt>
                <c:pt idx="62">
                  <c:v>4.685520608429707</c:v>
                </c:pt>
                <c:pt idx="63">
                  <c:v>4.618321275096374</c:v>
                </c:pt>
                <c:pt idx="64">
                  <c:v>4.640211635050032</c:v>
                </c:pt>
                <c:pt idx="65">
                  <c:v>4.5824627461611431</c:v>
                </c:pt>
                <c:pt idx="66">
                  <c:v>4.5989407624160714</c:v>
                </c:pt>
                <c:pt idx="67">
                  <c:v>4.7295237306410929</c:v>
                </c:pt>
                <c:pt idx="68">
                  <c:v>4.7615307178339759</c:v>
                </c:pt>
                <c:pt idx="69">
                  <c:v>4.7995960511673088</c:v>
                </c:pt>
                <c:pt idx="70">
                  <c:v>4.9011332733895312</c:v>
                </c:pt>
                <c:pt idx="71">
                  <c:v>4.9377189113132776</c:v>
                </c:pt>
                <c:pt idx="72">
                  <c:v>5.2556897458516447</c:v>
                </c:pt>
                <c:pt idx="73">
                  <c:v>5.2797686347405337</c:v>
                </c:pt>
                <c:pt idx="74">
                  <c:v>5.1472102254831542</c:v>
                </c:pt>
                <c:pt idx="75">
                  <c:v>5.258736073984803</c:v>
                </c:pt>
                <c:pt idx="76">
                  <c:v>5.2884504637403662</c:v>
                </c:pt>
                <c:pt idx="77">
                  <c:v>5.4277594637403661</c:v>
                </c:pt>
                <c:pt idx="78">
                  <c:v>5.4721457970736997</c:v>
                </c:pt>
                <c:pt idx="79">
                  <c:v>5.6272170687000616</c:v>
                </c:pt>
                <c:pt idx="80">
                  <c:v>5.7208308464778392</c:v>
                </c:pt>
                <c:pt idx="81">
                  <c:v>5.8260321104875903</c:v>
                </c:pt>
                <c:pt idx="82">
                  <c:v>5.8877599886342571</c:v>
                </c:pt>
                <c:pt idx="83">
                  <c:v>5.9294574033372838</c:v>
                </c:pt>
                <c:pt idx="84">
                  <c:v>5.9681672851658014</c:v>
                </c:pt>
                <c:pt idx="85">
                  <c:v>5.997870670659565</c:v>
                </c:pt>
                <c:pt idx="86">
                  <c:v>6.0862933604411724</c:v>
                </c:pt>
                <c:pt idx="87">
                  <c:v>6.1021720427758819</c:v>
                </c:pt>
                <c:pt idx="88">
                  <c:v>6.2152263761092152</c:v>
                </c:pt>
                <c:pt idx="89">
                  <c:v>6.3755862924257425</c:v>
                </c:pt>
                <c:pt idx="90">
                  <c:v>6.5851332924257422</c:v>
                </c:pt>
                <c:pt idx="91">
                  <c:v>6.7217649819078336</c:v>
                </c:pt>
                <c:pt idx="92">
                  <c:v>6.7014312020874724</c:v>
                </c:pt>
                <c:pt idx="93">
                  <c:v>6.8907177355548708</c:v>
                </c:pt>
                <c:pt idx="94">
                  <c:v>6.9315699231496142</c:v>
                </c:pt>
                <c:pt idx="95">
                  <c:v>6.980473812038503</c:v>
                </c:pt>
                <c:pt idx="96">
                  <c:v>7.1159455129027087</c:v>
                </c:pt>
                <c:pt idx="97">
                  <c:v>7.2881970355411951</c:v>
                </c:pt>
                <c:pt idx="98">
                  <c:v>7.335538694715475</c:v>
                </c:pt>
                <c:pt idx="99">
                  <c:v>7.3477789794697248</c:v>
                </c:pt>
                <c:pt idx="100">
                  <c:v>7.4063335350252801</c:v>
                </c:pt>
                <c:pt idx="101">
                  <c:v>7.5089667942034124</c:v>
                </c:pt>
                <c:pt idx="102">
                  <c:v>7.6271473497589684</c:v>
                </c:pt>
                <c:pt idx="103">
                  <c:v>7.7251640164256354</c:v>
                </c:pt>
                <c:pt idx="104">
                  <c:v>7.7681063787461353</c:v>
                </c:pt>
                <c:pt idx="105">
                  <c:v>7.7998500892334155</c:v>
                </c:pt>
                <c:pt idx="106">
                  <c:v>7.8344024895922058</c:v>
                </c:pt>
                <c:pt idx="107">
                  <c:v>8.159983378481094</c:v>
                </c:pt>
                <c:pt idx="108">
                  <c:v>8.2056603784810935</c:v>
                </c:pt>
                <c:pt idx="109">
                  <c:v>8.3428098229255383</c:v>
                </c:pt>
                <c:pt idx="110">
                  <c:v>8.3906386007033156</c:v>
                </c:pt>
                <c:pt idx="111">
                  <c:v>8.4615936531402003</c:v>
                </c:pt>
                <c:pt idx="112">
                  <c:v>8.5578479864735328</c:v>
                </c:pt>
                <c:pt idx="113">
                  <c:v>8.5359751122237579</c:v>
                </c:pt>
                <c:pt idx="114">
                  <c:v>8.497839778890425</c:v>
                </c:pt>
                <c:pt idx="115">
                  <c:v>8.5402776322498326</c:v>
                </c:pt>
                <c:pt idx="116">
                  <c:v>8.7098682989164988</c:v>
                </c:pt>
                <c:pt idx="117">
                  <c:v>8.8702022933923121</c:v>
                </c:pt>
                <c:pt idx="118">
                  <c:v>8.9172724493968438</c:v>
                </c:pt>
                <c:pt idx="119">
                  <c:v>8.9724637010463582</c:v>
                </c:pt>
                <c:pt idx="120">
                  <c:v>8.9939035899352469</c:v>
                </c:pt>
                <c:pt idx="121">
                  <c:v>9.0530165650134329</c:v>
                </c:pt>
                <c:pt idx="122">
                  <c:v>9.1757895650134333</c:v>
                </c:pt>
                <c:pt idx="123">
                  <c:v>9.3127432970312274</c:v>
                </c:pt>
                <c:pt idx="124">
                  <c:v>9.2414401859201156</c:v>
                </c:pt>
                <c:pt idx="125">
                  <c:v>9.3667248922440933</c:v>
                </c:pt>
                <c:pt idx="126">
                  <c:v>9.5242966700218705</c:v>
                </c:pt>
                <c:pt idx="127">
                  <c:v>9.5831071144663156</c:v>
                </c:pt>
                <c:pt idx="128">
                  <c:v>9.583527629706559</c:v>
                </c:pt>
                <c:pt idx="129">
                  <c:v>9.6842067303837602</c:v>
                </c:pt>
                <c:pt idx="130">
                  <c:v>9.7477387970183305</c:v>
                </c:pt>
                <c:pt idx="131">
                  <c:v>9.8631555445172516</c:v>
                </c:pt>
                <c:pt idx="132">
                  <c:v>9.8675516556283629</c:v>
                </c:pt>
                <c:pt idx="133">
                  <c:v>9.9021001000728077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20-CC40-A5C6-CB614070F43C}"/>
            </c:ext>
          </c:extLst>
        </c:ser>
        <c:ser>
          <c:idx val="5"/>
          <c:order val="5"/>
          <c:tx>
            <c:strRef>
              <c:f>真實畫圖!$B$17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真實畫圖!$C$17:$EF$17</c:f>
              <c:numCache>
                <c:formatCode>General</c:formatCode>
                <c:ptCount val="134"/>
                <c:pt idx="0">
                  <c:v>0.206092</c:v>
                </c:pt>
                <c:pt idx="1">
                  <c:v>0.64568037499999997</c:v>
                </c:pt>
                <c:pt idx="2">
                  <c:v>0.72526837499999997</c:v>
                </c:pt>
                <c:pt idx="3">
                  <c:v>0.64451621084768085</c:v>
                </c:pt>
                <c:pt idx="4">
                  <c:v>0.74990328551141161</c:v>
                </c:pt>
                <c:pt idx="5">
                  <c:v>0.85489803551141164</c:v>
                </c:pt>
                <c:pt idx="6">
                  <c:v>0.96862306331359915</c:v>
                </c:pt>
                <c:pt idx="7">
                  <c:v>1.0104814584318282</c:v>
                </c:pt>
                <c:pt idx="8">
                  <c:v>1.1120415381541382</c:v>
                </c:pt>
                <c:pt idx="9">
                  <c:v>1.0782666631541382</c:v>
                </c:pt>
                <c:pt idx="10">
                  <c:v>1.0929258052444266</c:v>
                </c:pt>
                <c:pt idx="11">
                  <c:v>1.4980340552444267</c:v>
                </c:pt>
                <c:pt idx="12">
                  <c:v>1.4867273791802944</c:v>
                </c:pt>
                <c:pt idx="13">
                  <c:v>1.5530667483191254</c:v>
                </c:pt>
                <c:pt idx="14">
                  <c:v>1.7148680429342522</c:v>
                </c:pt>
                <c:pt idx="15">
                  <c:v>1.6628104340297249</c:v>
                </c:pt>
                <c:pt idx="16">
                  <c:v>1.973463866685023</c:v>
                </c:pt>
                <c:pt idx="17">
                  <c:v>1.9968064521959639</c:v>
                </c:pt>
                <c:pt idx="18">
                  <c:v>2.1380775947345207</c:v>
                </c:pt>
                <c:pt idx="19">
                  <c:v>2.1420887845642191</c:v>
                </c:pt>
                <c:pt idx="20">
                  <c:v>2.2212309095642193</c:v>
                </c:pt>
                <c:pt idx="21">
                  <c:v>2.4592203408845341</c:v>
                </c:pt>
                <c:pt idx="22">
                  <c:v>2.436292329821879</c:v>
                </c:pt>
                <c:pt idx="23">
                  <c:v>2.4901608191127447</c:v>
                </c:pt>
                <c:pt idx="24">
                  <c:v>2.6814442560281542</c:v>
                </c:pt>
                <c:pt idx="25">
                  <c:v>2.7662963189063263</c:v>
                </c:pt>
                <c:pt idx="26">
                  <c:v>2.7462100641683049</c:v>
                </c:pt>
                <c:pt idx="27">
                  <c:v>2.8148299391683049</c:v>
                </c:pt>
                <c:pt idx="28">
                  <c:v>3.0369526435967558</c:v>
                </c:pt>
                <c:pt idx="29">
                  <c:v>3.1572389682526021</c:v>
                </c:pt>
                <c:pt idx="30">
                  <c:v>3.1799799490403924</c:v>
                </c:pt>
                <c:pt idx="31">
                  <c:v>3.1445073298675035</c:v>
                </c:pt>
                <c:pt idx="32">
                  <c:v>3.2593724548675036</c:v>
                </c:pt>
                <c:pt idx="33">
                  <c:v>3.2167698243485465</c:v>
                </c:pt>
                <c:pt idx="34">
                  <c:v>3.290486099087583</c:v>
                </c:pt>
                <c:pt idx="35">
                  <c:v>3.2805012240875833</c:v>
                </c:pt>
                <c:pt idx="36">
                  <c:v>3.3558705916752403</c:v>
                </c:pt>
                <c:pt idx="37">
                  <c:v>3.4691577120211581</c:v>
                </c:pt>
                <c:pt idx="38">
                  <c:v>3.3924631843985349</c:v>
                </c:pt>
                <c:pt idx="39">
                  <c:v>3.4697059988181205</c:v>
                </c:pt>
                <c:pt idx="40">
                  <c:v>3.4789363738181205</c:v>
                </c:pt>
                <c:pt idx="41">
                  <c:v>3.4439397488181207</c:v>
                </c:pt>
                <c:pt idx="42">
                  <c:v>3.3851367918738862</c:v>
                </c:pt>
                <c:pt idx="43">
                  <c:v>3.512208584981138</c:v>
                </c:pt>
                <c:pt idx="44">
                  <c:v>3.6897712099811382</c:v>
                </c:pt>
                <c:pt idx="45">
                  <c:v>3.7483006593157695</c:v>
                </c:pt>
                <c:pt idx="46">
                  <c:v>3.8244902695455862</c:v>
                </c:pt>
                <c:pt idx="47">
                  <c:v>3.9221093746631941</c:v>
                </c:pt>
                <c:pt idx="48">
                  <c:v>3.9495330713537951</c:v>
                </c:pt>
                <c:pt idx="49">
                  <c:v>3.997514446353795</c:v>
                </c:pt>
                <c:pt idx="50">
                  <c:v>4.1603209463537949</c:v>
                </c:pt>
                <c:pt idx="51">
                  <c:v>4.3907629913016653</c:v>
                </c:pt>
                <c:pt idx="52">
                  <c:v>4.3634701669211751</c:v>
                </c:pt>
                <c:pt idx="53">
                  <c:v>4.382884291921175</c:v>
                </c:pt>
                <c:pt idx="54">
                  <c:v>4.4269945452660133</c:v>
                </c:pt>
                <c:pt idx="55">
                  <c:v>4.5747713755461721</c:v>
                </c:pt>
                <c:pt idx="56">
                  <c:v>4.7605229536770528</c:v>
                </c:pt>
                <c:pt idx="57">
                  <c:v>4.8937140670023815</c:v>
                </c:pt>
                <c:pt idx="58">
                  <c:v>4.9808260124423285</c:v>
                </c:pt>
                <c:pt idx="59">
                  <c:v>5.0700185124423287</c:v>
                </c:pt>
                <c:pt idx="60">
                  <c:v>4.9552023874423288</c:v>
                </c:pt>
                <c:pt idx="61">
                  <c:v>4.9893548347666234</c:v>
                </c:pt>
                <c:pt idx="62">
                  <c:v>5.0184138459189773</c:v>
                </c:pt>
                <c:pt idx="63">
                  <c:v>4.9447558459189773</c:v>
                </c:pt>
                <c:pt idx="64">
                  <c:v>4.9799354613357005</c:v>
                </c:pt>
                <c:pt idx="65">
                  <c:v>4.9192985863357004</c:v>
                </c:pt>
                <c:pt idx="66">
                  <c:v>4.930675096782152</c:v>
                </c:pt>
                <c:pt idx="67">
                  <c:v>5.0456974498079035</c:v>
                </c:pt>
                <c:pt idx="68">
                  <c:v>5.066603468021599</c:v>
                </c:pt>
                <c:pt idx="69">
                  <c:v>5.1002507180215986</c:v>
                </c:pt>
                <c:pt idx="70">
                  <c:v>5.204775093021599</c:v>
                </c:pt>
                <c:pt idx="71">
                  <c:v>5.243016049523793</c:v>
                </c:pt>
                <c:pt idx="72">
                  <c:v>5.4513528750411817</c:v>
                </c:pt>
                <c:pt idx="73">
                  <c:v>5.458449375041182</c:v>
                </c:pt>
                <c:pt idx="74">
                  <c:v>5.3159719999147148</c:v>
                </c:pt>
                <c:pt idx="75">
                  <c:v>5.4365501557957998</c:v>
                </c:pt>
                <c:pt idx="76">
                  <c:v>5.4644849881542896</c:v>
                </c:pt>
                <c:pt idx="77">
                  <c:v>5.6141183631542892</c:v>
                </c:pt>
                <c:pt idx="78">
                  <c:v>5.6558768631542895</c:v>
                </c:pt>
                <c:pt idx="79">
                  <c:v>5.8288366043734383</c:v>
                </c:pt>
                <c:pt idx="80">
                  <c:v>5.9245442293734385</c:v>
                </c:pt>
                <c:pt idx="81">
                  <c:v>6.0232904267996368</c:v>
                </c:pt>
                <c:pt idx="82">
                  <c:v>6.0980054154283678</c:v>
                </c:pt>
                <c:pt idx="83">
                  <c:v>6.1566418620354177</c:v>
                </c:pt>
                <c:pt idx="84">
                  <c:v>6.1711730470250066</c:v>
                </c:pt>
                <c:pt idx="85">
                  <c:v>6.1921238745063549</c:v>
                </c:pt>
                <c:pt idx="86">
                  <c:v>6.2760797227659859</c:v>
                </c:pt>
                <c:pt idx="87">
                  <c:v>6.2666533779969544</c:v>
                </c:pt>
                <c:pt idx="88">
                  <c:v>6.3621460029969548</c:v>
                </c:pt>
                <c:pt idx="89">
                  <c:v>6.5386772815783418</c:v>
                </c:pt>
                <c:pt idx="90">
                  <c:v>6.7367576565783418</c:v>
                </c:pt>
                <c:pt idx="91">
                  <c:v>6.884916925775685</c:v>
                </c:pt>
                <c:pt idx="92">
                  <c:v>6.9368240291174112</c:v>
                </c:pt>
                <c:pt idx="93">
                  <c:v>7.1332266608797008</c:v>
                </c:pt>
                <c:pt idx="94">
                  <c:v>7.1645724792754191</c:v>
                </c:pt>
                <c:pt idx="95">
                  <c:v>7.2232267292754191</c:v>
                </c:pt>
                <c:pt idx="96">
                  <c:v>7.3785786220751781</c:v>
                </c:pt>
                <c:pt idx="97">
                  <c:v>7.5300500069365324</c:v>
                </c:pt>
                <c:pt idx="98">
                  <c:v>7.5934432257410203</c:v>
                </c:pt>
                <c:pt idx="99">
                  <c:v>7.6042156202649682</c:v>
                </c:pt>
                <c:pt idx="100">
                  <c:v>7.6637137452649684</c:v>
                </c:pt>
                <c:pt idx="101">
                  <c:v>7.7879625831125887</c:v>
                </c:pt>
                <c:pt idx="102">
                  <c:v>7.8824582081125891</c:v>
                </c:pt>
                <c:pt idx="103">
                  <c:v>7.9867292081125889</c:v>
                </c:pt>
                <c:pt idx="104">
                  <c:v>8.0300926770900887</c:v>
                </c:pt>
                <c:pt idx="105">
                  <c:v>8.0592480979729686</c:v>
                </c:pt>
                <c:pt idx="106">
                  <c:v>8.0833729613196912</c:v>
                </c:pt>
                <c:pt idx="107">
                  <c:v>8.4356003363196912</c:v>
                </c:pt>
                <c:pt idx="108">
                  <c:v>8.4828114613196917</c:v>
                </c:pt>
                <c:pt idx="109">
                  <c:v>8.646244836319692</c:v>
                </c:pt>
                <c:pt idx="110">
                  <c:v>8.7164260863196912</c:v>
                </c:pt>
                <c:pt idx="111">
                  <c:v>8.8453511461057008</c:v>
                </c:pt>
                <c:pt idx="112">
                  <c:v>8.9481310211057004</c:v>
                </c:pt>
                <c:pt idx="113">
                  <c:v>8.9442012894145719</c:v>
                </c:pt>
                <c:pt idx="114">
                  <c:v>8.901637789414572</c:v>
                </c:pt>
                <c:pt idx="115">
                  <c:v>8.9371268221289117</c:v>
                </c:pt>
                <c:pt idx="116">
                  <c:v>9.1168888221289119</c:v>
                </c:pt>
                <c:pt idx="117">
                  <c:v>9.2589229803795465</c:v>
                </c:pt>
                <c:pt idx="118">
                  <c:v>9.3315769854855706</c:v>
                </c:pt>
                <c:pt idx="119">
                  <c:v>9.3874618003618995</c:v>
                </c:pt>
                <c:pt idx="120">
                  <c:v>9.4248154253618992</c:v>
                </c:pt>
                <c:pt idx="121">
                  <c:v>9.4846273605968747</c:v>
                </c:pt>
                <c:pt idx="122">
                  <c:v>9.6141213605968741</c:v>
                </c:pt>
                <c:pt idx="123">
                  <c:v>9.7318867587078284</c:v>
                </c:pt>
                <c:pt idx="124">
                  <c:v>9.6552870087078286</c:v>
                </c:pt>
                <c:pt idx="125">
                  <c:v>9.7848259913043023</c:v>
                </c:pt>
                <c:pt idx="126">
                  <c:v>9.8921082413043031</c:v>
                </c:pt>
                <c:pt idx="127">
                  <c:v>9.9413202413043038</c:v>
                </c:pt>
                <c:pt idx="128">
                  <c:v>9.9366877170875796</c:v>
                </c:pt>
                <c:pt idx="129">
                  <c:v>10.043973043841337</c:v>
                </c:pt>
                <c:pt idx="130">
                  <c:v>10.060398261057397</c:v>
                </c:pt>
                <c:pt idx="131">
                  <c:v>10.18872270498631</c:v>
                </c:pt>
                <c:pt idx="132">
                  <c:v>10.18852832998631</c:v>
                </c:pt>
                <c:pt idx="133">
                  <c:v>10.22951307998631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20-CC40-A5C6-CB614070F43C}"/>
            </c:ext>
          </c:extLst>
        </c:ser>
        <c:ser>
          <c:idx val="6"/>
          <c:order val="6"/>
          <c:tx>
            <c:strRef>
              <c:f>真實畫圖!$B$18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真實畫圖!$C$18:$EF$18</c:f>
              <c:numCache>
                <c:formatCode>General</c:formatCode>
                <c:ptCount val="134"/>
                <c:pt idx="0">
                  <c:v>0.189751</c:v>
                </c:pt>
                <c:pt idx="1">
                  <c:v>0.59163500000000013</c:v>
                </c:pt>
                <c:pt idx="2">
                  <c:v>0.64507285714285734</c:v>
                </c:pt>
                <c:pt idx="3">
                  <c:v>0.5256898970406676</c:v>
                </c:pt>
                <c:pt idx="4">
                  <c:v>0.63400627032574763</c:v>
                </c:pt>
                <c:pt idx="5">
                  <c:v>0.76254627032574762</c:v>
                </c:pt>
                <c:pt idx="6">
                  <c:v>0.89804645054898868</c:v>
                </c:pt>
                <c:pt idx="7">
                  <c:v>0.94145796630063028</c:v>
                </c:pt>
                <c:pt idx="8">
                  <c:v>1.0771058550782626</c:v>
                </c:pt>
                <c:pt idx="9">
                  <c:v>1.0304342836496911</c:v>
                </c:pt>
                <c:pt idx="10">
                  <c:v>1.0594857480261484</c:v>
                </c:pt>
                <c:pt idx="11">
                  <c:v>1.5213061765975771</c:v>
                </c:pt>
                <c:pt idx="12">
                  <c:v>1.5530441176950753</c:v>
                </c:pt>
                <c:pt idx="13">
                  <c:v>1.6355967292650231</c:v>
                </c:pt>
                <c:pt idx="14">
                  <c:v>1.8245721479545129</c:v>
                </c:pt>
                <c:pt idx="15">
                  <c:v>1.7630799100825381</c:v>
                </c:pt>
                <c:pt idx="16">
                  <c:v>2.1468125390144324</c:v>
                </c:pt>
                <c:pt idx="17">
                  <c:v>2.199122236565163</c:v>
                </c:pt>
                <c:pt idx="18">
                  <c:v>2.3316172609949821</c:v>
                </c:pt>
                <c:pt idx="19">
                  <c:v>2.3445123960648329</c:v>
                </c:pt>
                <c:pt idx="20">
                  <c:v>2.421809396064833</c:v>
                </c:pt>
                <c:pt idx="21">
                  <c:v>2.6369304534647848</c:v>
                </c:pt>
                <c:pt idx="22">
                  <c:v>2.6176981191073492</c:v>
                </c:pt>
                <c:pt idx="23">
                  <c:v>2.706932482547872</c:v>
                </c:pt>
                <c:pt idx="24">
                  <c:v>2.8795031400824005</c:v>
                </c:pt>
                <c:pt idx="25">
                  <c:v>2.9642014398128849</c:v>
                </c:pt>
                <c:pt idx="26">
                  <c:v>2.9655668602897172</c:v>
                </c:pt>
                <c:pt idx="27">
                  <c:v>3.0618527174325743</c:v>
                </c:pt>
                <c:pt idx="28">
                  <c:v>3.3202440663477826</c:v>
                </c:pt>
                <c:pt idx="29">
                  <c:v>3.4707877061718562</c:v>
                </c:pt>
                <c:pt idx="30">
                  <c:v>3.503280822269732</c:v>
                </c:pt>
                <c:pt idx="31">
                  <c:v>3.4630833613012175</c:v>
                </c:pt>
                <c:pt idx="32">
                  <c:v>3.581169789872646</c:v>
                </c:pt>
                <c:pt idx="33">
                  <c:v>3.533776033706197</c:v>
                </c:pt>
                <c:pt idx="34">
                  <c:v>3.5639285143038228</c:v>
                </c:pt>
                <c:pt idx="35">
                  <c:v>3.56307137144668</c:v>
                </c:pt>
                <c:pt idx="36">
                  <c:v>3.6297147768714511</c:v>
                </c:pt>
                <c:pt idx="37">
                  <c:v>3.7090094168266527</c:v>
                </c:pt>
                <c:pt idx="38">
                  <c:v>3.7335936972714596</c:v>
                </c:pt>
                <c:pt idx="39">
                  <c:v>3.8118722892052666</c:v>
                </c:pt>
                <c:pt idx="40">
                  <c:v>3.7950841463481235</c:v>
                </c:pt>
                <c:pt idx="41">
                  <c:v>3.7333897177766948</c:v>
                </c:pt>
                <c:pt idx="42">
                  <c:v>3.6501365898875089</c:v>
                </c:pt>
                <c:pt idx="43">
                  <c:v>3.8165223993115678</c:v>
                </c:pt>
                <c:pt idx="44">
                  <c:v>4.0131825421687104</c:v>
                </c:pt>
                <c:pt idx="45">
                  <c:v>4.0734182068751803</c:v>
                </c:pt>
                <c:pt idx="46">
                  <c:v>4.1711850686964151</c:v>
                </c:pt>
                <c:pt idx="47">
                  <c:v>4.2972494061225426</c:v>
                </c:pt>
                <c:pt idx="48">
                  <c:v>4.332032684763691</c:v>
                </c:pt>
                <c:pt idx="49">
                  <c:v>4.3983746847636906</c:v>
                </c:pt>
                <c:pt idx="50">
                  <c:v>4.5788545419065478</c:v>
                </c:pt>
                <c:pt idx="51">
                  <c:v>4.8963119675706608</c:v>
                </c:pt>
                <c:pt idx="52">
                  <c:v>4.9242540182726309</c:v>
                </c:pt>
                <c:pt idx="53">
                  <c:v>4.9445317325583451</c:v>
                </c:pt>
                <c:pt idx="54">
                  <c:v>5.0357045854142672</c:v>
                </c:pt>
                <c:pt idx="55">
                  <c:v>5.2006910801102748</c:v>
                </c:pt>
                <c:pt idx="56">
                  <c:v>5.3474050549385632</c:v>
                </c:pt>
                <c:pt idx="57">
                  <c:v>5.4853033200887058</c:v>
                </c:pt>
                <c:pt idx="58">
                  <c:v>5.5943033270073714</c:v>
                </c:pt>
                <c:pt idx="59">
                  <c:v>5.6938360412930855</c:v>
                </c:pt>
                <c:pt idx="60">
                  <c:v>5.6203798984359423</c:v>
                </c:pt>
                <c:pt idx="61">
                  <c:v>5.6761677792977219</c:v>
                </c:pt>
                <c:pt idx="62">
                  <c:v>5.7042491356708176</c:v>
                </c:pt>
                <c:pt idx="63">
                  <c:v>5.6260389928136751</c:v>
                </c:pt>
                <c:pt idx="64">
                  <c:v>5.64626648892005</c:v>
                </c:pt>
                <c:pt idx="65">
                  <c:v>5.58380448892005</c:v>
                </c:pt>
                <c:pt idx="66">
                  <c:v>5.5857212730298986</c:v>
                </c:pt>
                <c:pt idx="67">
                  <c:v>5.7066830909123745</c:v>
                </c:pt>
                <c:pt idx="68">
                  <c:v>5.7395563474884064</c:v>
                </c:pt>
                <c:pt idx="69">
                  <c:v>5.7528552046312633</c:v>
                </c:pt>
                <c:pt idx="70">
                  <c:v>5.8643173474884058</c:v>
                </c:pt>
                <c:pt idx="71">
                  <c:v>5.9039417736125532</c:v>
                </c:pt>
                <c:pt idx="72">
                  <c:v>6.1223172727435422</c:v>
                </c:pt>
                <c:pt idx="73">
                  <c:v>6.106506558457828</c:v>
                </c:pt>
                <c:pt idx="74">
                  <c:v>6.0190412901857266</c:v>
                </c:pt>
                <c:pt idx="75">
                  <c:v>6.1723612779883243</c:v>
                </c:pt>
                <c:pt idx="76">
                  <c:v>6.1884378218811849</c:v>
                </c:pt>
                <c:pt idx="77">
                  <c:v>6.2952841075954709</c:v>
                </c:pt>
                <c:pt idx="78">
                  <c:v>6.3999438218811848</c:v>
                </c:pt>
                <c:pt idx="79">
                  <c:v>6.5936606405280154</c:v>
                </c:pt>
                <c:pt idx="80">
                  <c:v>6.6709204976708723</c:v>
                </c:pt>
                <c:pt idx="81">
                  <c:v>6.7427380893712465</c:v>
                </c:pt>
                <c:pt idx="82">
                  <c:v>6.8343473449351659</c:v>
                </c:pt>
                <c:pt idx="83">
                  <c:v>6.997004391622399</c:v>
                </c:pt>
                <c:pt idx="84">
                  <c:v>7.0358735315000889</c:v>
                </c:pt>
                <c:pt idx="85">
                  <c:v>7.0321011649996912</c:v>
                </c:pt>
                <c:pt idx="86">
                  <c:v>7.128159196665214</c:v>
                </c:pt>
                <c:pt idx="87">
                  <c:v>7.0971696516070208</c:v>
                </c:pt>
                <c:pt idx="88">
                  <c:v>7.1999383658927352</c:v>
                </c:pt>
                <c:pt idx="89">
                  <c:v>7.3208814994343099</c:v>
                </c:pt>
                <c:pt idx="90">
                  <c:v>7.54916349943431</c:v>
                </c:pt>
                <c:pt idx="91">
                  <c:v>7.7120026083823205</c:v>
                </c:pt>
                <c:pt idx="92">
                  <c:v>7.7502452839772635</c:v>
                </c:pt>
                <c:pt idx="93">
                  <c:v>7.9439676916294726</c:v>
                </c:pt>
                <c:pt idx="94">
                  <c:v>8.0016583402808887</c:v>
                </c:pt>
                <c:pt idx="95">
                  <c:v>8.0785291974237463</c:v>
                </c:pt>
                <c:pt idx="96">
                  <c:v>8.2230940185998804</c:v>
                </c:pt>
                <c:pt idx="97">
                  <c:v>8.350116286732888</c:v>
                </c:pt>
                <c:pt idx="98">
                  <c:v>8.4166748612312041</c:v>
                </c:pt>
                <c:pt idx="99">
                  <c:v>8.4782350470649828</c:v>
                </c:pt>
                <c:pt idx="100">
                  <c:v>8.5496671899221255</c:v>
                </c:pt>
                <c:pt idx="101">
                  <c:v>8.682510053223897</c:v>
                </c:pt>
                <c:pt idx="102">
                  <c:v>8.7608679103667537</c:v>
                </c:pt>
                <c:pt idx="103">
                  <c:v>8.878981910366754</c:v>
                </c:pt>
                <c:pt idx="104">
                  <c:v>8.9153906918622603</c:v>
                </c:pt>
                <c:pt idx="105">
                  <c:v>8.9564048791815942</c:v>
                </c:pt>
                <c:pt idx="106">
                  <c:v>8.9948254666680452</c:v>
                </c:pt>
                <c:pt idx="107">
                  <c:v>9.3615190380966169</c:v>
                </c:pt>
                <c:pt idx="108">
                  <c:v>9.4162897523823315</c:v>
                </c:pt>
                <c:pt idx="109">
                  <c:v>9.608692323810903</c:v>
                </c:pt>
                <c:pt idx="110">
                  <c:v>9.70665518095376</c:v>
                </c:pt>
                <c:pt idx="111">
                  <c:v>9.8528512570531728</c:v>
                </c:pt>
                <c:pt idx="112">
                  <c:v>9.9593771141960303</c:v>
                </c:pt>
                <c:pt idx="113">
                  <c:v>9.9555468401284379</c:v>
                </c:pt>
                <c:pt idx="114">
                  <c:v>9.8970901258427233</c:v>
                </c:pt>
                <c:pt idx="115">
                  <c:v>9.8803680617647025</c:v>
                </c:pt>
                <c:pt idx="116">
                  <c:v>10.100687633193274</c:v>
                </c:pt>
                <c:pt idx="117">
                  <c:v>10.234174105470355</c:v>
                </c:pt>
                <c:pt idx="118">
                  <c:v>10.299923563654254</c:v>
                </c:pt>
                <c:pt idx="119">
                  <c:v>10.376764218426215</c:v>
                </c:pt>
                <c:pt idx="120">
                  <c:v>10.388041361283358</c:v>
                </c:pt>
                <c:pt idx="121">
                  <c:v>10.410642396124466</c:v>
                </c:pt>
                <c:pt idx="122">
                  <c:v>10.569357824695894</c:v>
                </c:pt>
                <c:pt idx="123">
                  <c:v>10.674998433495956</c:v>
                </c:pt>
                <c:pt idx="124">
                  <c:v>10.606360576353099</c:v>
                </c:pt>
                <c:pt idx="125">
                  <c:v>10.759963553815581</c:v>
                </c:pt>
                <c:pt idx="126">
                  <c:v>10.896795839529867</c:v>
                </c:pt>
                <c:pt idx="127">
                  <c:v>10.95142555381558</c:v>
                </c:pt>
                <c:pt idx="128">
                  <c:v>10.946687256577336</c:v>
                </c:pt>
                <c:pt idx="129">
                  <c:v>11.056651611027531</c:v>
                </c:pt>
                <c:pt idx="130">
                  <c:v>11.059415726452903</c:v>
                </c:pt>
                <c:pt idx="131">
                  <c:v>11.169893748318668</c:v>
                </c:pt>
                <c:pt idx="132">
                  <c:v>11.171004034032952</c:v>
                </c:pt>
                <c:pt idx="133">
                  <c:v>11.23495589117581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20-CC40-A5C6-CB614070F43C}"/>
            </c:ext>
          </c:extLst>
        </c:ser>
        <c:ser>
          <c:idx val="7"/>
          <c:order val="7"/>
          <c:tx>
            <c:strRef>
              <c:f>真實畫圖!$B$19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真實畫圖!$C$19:$EF$19</c:f>
              <c:numCache>
                <c:formatCode>General</c:formatCode>
                <c:ptCount val="134"/>
                <c:pt idx="0">
                  <c:v>0.1966</c:v>
                </c:pt>
                <c:pt idx="1">
                  <c:v>0.6041213333333334</c:v>
                </c:pt>
                <c:pt idx="2">
                  <c:v>0.66993383333333334</c:v>
                </c:pt>
                <c:pt idx="3">
                  <c:v>0.49224517152777281</c:v>
                </c:pt>
                <c:pt idx="4">
                  <c:v>0.58831114338495016</c:v>
                </c:pt>
                <c:pt idx="5">
                  <c:v>0.7659213100516169</c:v>
                </c:pt>
                <c:pt idx="6">
                  <c:v>0.90057564294308334</c:v>
                </c:pt>
                <c:pt idx="7">
                  <c:v>0.93600522746327441</c:v>
                </c:pt>
                <c:pt idx="8">
                  <c:v>1.1747946421871911</c:v>
                </c:pt>
                <c:pt idx="9">
                  <c:v>1.1444334755205243</c:v>
                </c:pt>
                <c:pt idx="10">
                  <c:v>1.1007432393642171</c:v>
                </c:pt>
                <c:pt idx="11">
                  <c:v>1.6331177393642171</c:v>
                </c:pt>
                <c:pt idx="12">
                  <c:v>1.664679613853133</c:v>
                </c:pt>
                <c:pt idx="13">
                  <c:v>1.7572138000398301</c:v>
                </c:pt>
                <c:pt idx="14">
                  <c:v>1.95437688830435</c:v>
                </c:pt>
                <c:pt idx="15">
                  <c:v>1.8640777976734937</c:v>
                </c:pt>
                <c:pt idx="16">
                  <c:v>2.0482379143711018</c:v>
                </c:pt>
                <c:pt idx="17">
                  <c:v>2.0997026316164114</c:v>
                </c:pt>
                <c:pt idx="18">
                  <c:v>2.2354009702483344</c:v>
                </c:pt>
                <c:pt idx="19">
                  <c:v>2.2720196580337859</c:v>
                </c:pt>
                <c:pt idx="20">
                  <c:v>2.3444354913671193</c:v>
                </c:pt>
                <c:pt idx="21">
                  <c:v>2.4938353647198466</c:v>
                </c:pt>
                <c:pt idx="22">
                  <c:v>2.4682067271916899</c:v>
                </c:pt>
                <c:pt idx="23">
                  <c:v>2.5598258377677134</c:v>
                </c:pt>
                <c:pt idx="24">
                  <c:v>2.6916587372488046</c:v>
                </c:pt>
                <c:pt idx="25">
                  <c:v>2.7939123431327473</c:v>
                </c:pt>
                <c:pt idx="26">
                  <c:v>2.8080538858413573</c:v>
                </c:pt>
                <c:pt idx="27">
                  <c:v>2.9040467191746906</c:v>
                </c:pt>
                <c:pt idx="28">
                  <c:v>3.2125395771000593</c:v>
                </c:pt>
                <c:pt idx="29">
                  <c:v>3.3813701578081026</c:v>
                </c:pt>
                <c:pt idx="30">
                  <c:v>3.4035063768806504</c:v>
                </c:pt>
                <c:pt idx="31">
                  <c:v>3.346948661658947</c:v>
                </c:pt>
                <c:pt idx="32">
                  <c:v>3.4384979949922805</c:v>
                </c:pt>
                <c:pt idx="33">
                  <c:v>3.3869527046650183</c:v>
                </c:pt>
                <c:pt idx="34">
                  <c:v>3.3945047471709708</c:v>
                </c:pt>
                <c:pt idx="35">
                  <c:v>3.3933664138376374</c:v>
                </c:pt>
                <c:pt idx="36">
                  <c:v>3.4364724256490424</c:v>
                </c:pt>
                <c:pt idx="37">
                  <c:v>3.5200407200147246</c:v>
                </c:pt>
                <c:pt idx="38">
                  <c:v>3.575930846143839</c:v>
                </c:pt>
                <c:pt idx="39">
                  <c:v>3.6635049664166912</c:v>
                </c:pt>
                <c:pt idx="40">
                  <c:v>3.608577133083358</c:v>
                </c:pt>
                <c:pt idx="41">
                  <c:v>3.5339602997500248</c:v>
                </c:pt>
                <c:pt idx="42">
                  <c:v>3.4247614236969586</c:v>
                </c:pt>
                <c:pt idx="43">
                  <c:v>3.6093550875070166</c:v>
                </c:pt>
                <c:pt idx="44">
                  <c:v>3.8482002541736833</c:v>
                </c:pt>
                <c:pt idx="45">
                  <c:v>3.8451676445710752</c:v>
                </c:pt>
                <c:pt idx="46">
                  <c:v>3.9818610416999878</c:v>
                </c:pt>
                <c:pt idx="47">
                  <c:v>4.2059848370008437</c:v>
                </c:pt>
                <c:pt idx="48">
                  <c:v>4.2355138073942236</c:v>
                </c:pt>
                <c:pt idx="49">
                  <c:v>4.3195461407275566</c:v>
                </c:pt>
                <c:pt idx="50">
                  <c:v>4.5065431407275565</c:v>
                </c:pt>
                <c:pt idx="51">
                  <c:v>4.870704072520776</c:v>
                </c:pt>
                <c:pt idx="52">
                  <c:v>5.0552758619272034</c:v>
                </c:pt>
                <c:pt idx="53">
                  <c:v>5.0552050285938703</c:v>
                </c:pt>
                <c:pt idx="54">
                  <c:v>5.1446857503542418</c:v>
                </c:pt>
                <c:pt idx="55">
                  <c:v>5.2864951853179836</c:v>
                </c:pt>
                <c:pt idx="56">
                  <c:v>5.4398039364877722</c:v>
                </c:pt>
                <c:pt idx="57">
                  <c:v>5.5803008424413454</c:v>
                </c:pt>
                <c:pt idx="58">
                  <c:v>5.7080994712605637</c:v>
                </c:pt>
                <c:pt idx="59">
                  <c:v>5.7599196379272302</c:v>
                </c:pt>
                <c:pt idx="60">
                  <c:v>5.6628808045938968</c:v>
                </c:pt>
                <c:pt idx="61">
                  <c:v>5.7260453383409162</c:v>
                </c:pt>
                <c:pt idx="62">
                  <c:v>5.7578316032100618</c:v>
                </c:pt>
                <c:pt idx="63">
                  <c:v>5.6764164365433949</c:v>
                </c:pt>
                <c:pt idx="64">
                  <c:v>5.7021453978085104</c:v>
                </c:pt>
                <c:pt idx="65">
                  <c:v>5.6897367311418439</c:v>
                </c:pt>
                <c:pt idx="66">
                  <c:v>5.6996707755961671</c:v>
                </c:pt>
                <c:pt idx="67">
                  <c:v>5.8365100111393122</c:v>
                </c:pt>
                <c:pt idx="68">
                  <c:v>5.8330100791996733</c:v>
                </c:pt>
                <c:pt idx="69">
                  <c:v>5.8198152458663399</c:v>
                </c:pt>
                <c:pt idx="70">
                  <c:v>5.9504860791996732</c:v>
                </c:pt>
                <c:pt idx="71">
                  <c:v>5.9808368711655708</c:v>
                </c:pt>
                <c:pt idx="72">
                  <c:v>6.2882898779753038</c:v>
                </c:pt>
                <c:pt idx="73">
                  <c:v>6.2518927113086376</c:v>
                </c:pt>
                <c:pt idx="74">
                  <c:v>6.1720257842396915</c:v>
                </c:pt>
                <c:pt idx="75">
                  <c:v>6.2407279090617456</c:v>
                </c:pt>
                <c:pt idx="76">
                  <c:v>6.2700566642855202</c:v>
                </c:pt>
                <c:pt idx="77">
                  <c:v>6.3978951642855204</c:v>
                </c:pt>
                <c:pt idx="78">
                  <c:v>6.4204008309521869</c:v>
                </c:pt>
                <c:pt idx="79">
                  <c:v>6.6360200290459046</c:v>
                </c:pt>
                <c:pt idx="80">
                  <c:v>6.7244941957125715</c:v>
                </c:pt>
                <c:pt idx="81">
                  <c:v>6.8043985929186208</c:v>
                </c:pt>
                <c:pt idx="82">
                  <c:v>6.861516217785578</c:v>
                </c:pt>
                <c:pt idx="83">
                  <c:v>7.0144060848355041</c:v>
                </c:pt>
                <c:pt idx="84">
                  <c:v>7.051473030995699</c:v>
                </c:pt>
                <c:pt idx="85">
                  <c:v>7.0396611082337044</c:v>
                </c:pt>
                <c:pt idx="86">
                  <c:v>7.1584583711910392</c:v>
                </c:pt>
                <c:pt idx="87">
                  <c:v>7.1152180912162493</c:v>
                </c:pt>
                <c:pt idx="88">
                  <c:v>7.2254532578829158</c:v>
                </c:pt>
                <c:pt idx="89">
                  <c:v>7.3686464683524502</c:v>
                </c:pt>
                <c:pt idx="90">
                  <c:v>7.6198821350191173</c:v>
                </c:pt>
                <c:pt idx="91">
                  <c:v>7.7789147340014502</c:v>
                </c:pt>
                <c:pt idx="92">
                  <c:v>7.8113093415178687</c:v>
                </c:pt>
                <c:pt idx="93">
                  <c:v>7.9876160657640609</c:v>
                </c:pt>
                <c:pt idx="94">
                  <c:v>8.0418665153123943</c:v>
                </c:pt>
                <c:pt idx="95">
                  <c:v>8.0682885153123944</c:v>
                </c:pt>
                <c:pt idx="96">
                  <c:v>8.2148960585733342</c:v>
                </c:pt>
                <c:pt idx="97">
                  <c:v>8.3094490665447136</c:v>
                </c:pt>
                <c:pt idx="98">
                  <c:v>8.3699649451177507</c:v>
                </c:pt>
                <c:pt idx="99">
                  <c:v>8.427599671485936</c:v>
                </c:pt>
                <c:pt idx="100">
                  <c:v>8.5007505048192691</c:v>
                </c:pt>
                <c:pt idx="101">
                  <c:v>8.613602333460733</c:v>
                </c:pt>
                <c:pt idx="102">
                  <c:v>8.6887848334607334</c:v>
                </c:pt>
                <c:pt idx="103">
                  <c:v>8.8367458334607338</c:v>
                </c:pt>
                <c:pt idx="104">
                  <c:v>8.801566433558639</c:v>
                </c:pt>
                <c:pt idx="105">
                  <c:v>8.8077675588134685</c:v>
                </c:pt>
                <c:pt idx="106">
                  <c:v>8.8407859734692611</c:v>
                </c:pt>
                <c:pt idx="107">
                  <c:v>9.0462888068025951</c:v>
                </c:pt>
                <c:pt idx="108">
                  <c:v>9.1126633068025953</c:v>
                </c:pt>
                <c:pt idx="109">
                  <c:v>9.337254640135928</c:v>
                </c:pt>
                <c:pt idx="110">
                  <c:v>9.4457163068025949</c:v>
                </c:pt>
                <c:pt idx="111">
                  <c:v>9.6109667757616659</c:v>
                </c:pt>
                <c:pt idx="112">
                  <c:v>9.7324074424283324</c:v>
                </c:pt>
                <c:pt idx="113">
                  <c:v>9.7204246565193593</c:v>
                </c:pt>
                <c:pt idx="114">
                  <c:v>9.6631248231860258</c:v>
                </c:pt>
                <c:pt idx="115">
                  <c:v>9.665599946283665</c:v>
                </c:pt>
                <c:pt idx="116">
                  <c:v>9.9148611129503319</c:v>
                </c:pt>
                <c:pt idx="117">
                  <c:v>10.085129243630293</c:v>
                </c:pt>
                <c:pt idx="118">
                  <c:v>10.165503415468368</c:v>
                </c:pt>
                <c:pt idx="119">
                  <c:v>10.241465768793416</c:v>
                </c:pt>
                <c:pt idx="120">
                  <c:v>10.235787435460082</c:v>
                </c:pt>
                <c:pt idx="121">
                  <c:v>10.240820681980187</c:v>
                </c:pt>
                <c:pt idx="122">
                  <c:v>10.391403181980188</c:v>
                </c:pt>
                <c:pt idx="123">
                  <c:v>10.502927888420793</c:v>
                </c:pt>
                <c:pt idx="124">
                  <c:v>10.401630888420792</c:v>
                </c:pt>
                <c:pt idx="125">
                  <c:v>10.53999602265897</c:v>
                </c:pt>
                <c:pt idx="126">
                  <c:v>10.67924402265897</c:v>
                </c:pt>
                <c:pt idx="127">
                  <c:v>10.75778152265897</c:v>
                </c:pt>
                <c:pt idx="128">
                  <c:v>10.790701249853985</c:v>
                </c:pt>
                <c:pt idx="129">
                  <c:v>10.899454759492237</c:v>
                </c:pt>
                <c:pt idx="130">
                  <c:v>10.887264716268534</c:v>
                </c:pt>
                <c:pt idx="131">
                  <c:v>11.038200033258692</c:v>
                </c:pt>
                <c:pt idx="132">
                  <c:v>11.030893699925358</c:v>
                </c:pt>
                <c:pt idx="133">
                  <c:v>11.104913699925358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20-CC40-A5C6-CB614070F43C}"/>
            </c:ext>
          </c:extLst>
        </c:ser>
        <c:ser>
          <c:idx val="8"/>
          <c:order val="8"/>
          <c:tx>
            <c:strRef>
              <c:f>真實畫圖!$B$20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0.43538073566682584</c:v>
                </c:pt>
                <c:pt idx="4">
                  <c:v>0.55256387695576492</c:v>
                </c:pt>
                <c:pt idx="5">
                  <c:v>0.69649607695576488</c:v>
                </c:pt>
                <c:pt idx="6">
                  <c:v>0.85464563955686657</c:v>
                </c:pt>
                <c:pt idx="7">
                  <c:v>0.88911689828372276</c:v>
                </c:pt>
                <c:pt idx="8">
                  <c:v>1.1038414020448046</c:v>
                </c:pt>
                <c:pt idx="9">
                  <c:v>1.0731478020448046</c:v>
                </c:pt>
                <c:pt idx="10">
                  <c:v>0.99542957375353114</c:v>
                </c:pt>
                <c:pt idx="11">
                  <c:v>1.4954411737535311</c:v>
                </c:pt>
                <c:pt idx="12">
                  <c:v>1.5453060598228052</c:v>
                </c:pt>
                <c:pt idx="13">
                  <c:v>1.6364759874913304</c:v>
                </c:pt>
                <c:pt idx="14">
                  <c:v>1.8532017264943088</c:v>
                </c:pt>
                <c:pt idx="15">
                  <c:v>1.7439486708568399</c:v>
                </c:pt>
                <c:pt idx="16">
                  <c:v>1.8991312891845826</c:v>
                </c:pt>
                <c:pt idx="17">
                  <c:v>1.984596744922398</c:v>
                </c:pt>
                <c:pt idx="18">
                  <c:v>2.133246425040173</c:v>
                </c:pt>
                <c:pt idx="19">
                  <c:v>2.1458905281573619</c:v>
                </c:pt>
                <c:pt idx="20">
                  <c:v>2.236975528157362</c:v>
                </c:pt>
                <c:pt idx="21">
                  <c:v>2.447361941080147</c:v>
                </c:pt>
                <c:pt idx="22">
                  <c:v>2.40529445154155</c:v>
                </c:pt>
                <c:pt idx="23">
                  <c:v>2.5109114120252092</c:v>
                </c:pt>
                <c:pt idx="24">
                  <c:v>2.6413947805058551</c:v>
                </c:pt>
                <c:pt idx="25">
                  <c:v>2.7261546212320282</c:v>
                </c:pt>
                <c:pt idx="26">
                  <c:v>2.7734028839599958</c:v>
                </c:pt>
                <c:pt idx="27">
                  <c:v>2.9032454839599957</c:v>
                </c:pt>
                <c:pt idx="28">
                  <c:v>3.0644666911151068</c:v>
                </c:pt>
                <c:pt idx="29">
                  <c:v>3.2879645107514794</c:v>
                </c:pt>
                <c:pt idx="30">
                  <c:v>3.3156237292913717</c:v>
                </c:pt>
                <c:pt idx="31">
                  <c:v>3.2254455285765893</c:v>
                </c:pt>
                <c:pt idx="32">
                  <c:v>3.3417827285765891</c:v>
                </c:pt>
                <c:pt idx="33">
                  <c:v>3.2797926940290414</c:v>
                </c:pt>
                <c:pt idx="34">
                  <c:v>3.2661975785330384</c:v>
                </c:pt>
                <c:pt idx="35">
                  <c:v>3.2605795785330383</c:v>
                </c:pt>
                <c:pt idx="36">
                  <c:v>3.2936755592818407</c:v>
                </c:pt>
                <c:pt idx="37">
                  <c:v>3.3691457528008391</c:v>
                </c:pt>
                <c:pt idx="38">
                  <c:v>3.4182540474402385</c:v>
                </c:pt>
                <c:pt idx="39">
                  <c:v>3.5499845086956263</c:v>
                </c:pt>
                <c:pt idx="40">
                  <c:v>3.6228831086956261</c:v>
                </c:pt>
                <c:pt idx="41">
                  <c:v>3.6095939086956261</c:v>
                </c:pt>
                <c:pt idx="42">
                  <c:v>3.5673021922466503</c:v>
                </c:pt>
                <c:pt idx="43">
                  <c:v>3.8064259396917208</c:v>
                </c:pt>
                <c:pt idx="44">
                  <c:v>4.0881249396917205</c:v>
                </c:pt>
                <c:pt idx="45">
                  <c:v>4.0558783269049572</c:v>
                </c:pt>
                <c:pt idx="46">
                  <c:v>4.280876167683302</c:v>
                </c:pt>
                <c:pt idx="47">
                  <c:v>4.4852153876438488</c:v>
                </c:pt>
                <c:pt idx="48">
                  <c:v>4.5238900860867579</c:v>
                </c:pt>
                <c:pt idx="49">
                  <c:v>4.6236942860867583</c:v>
                </c:pt>
                <c:pt idx="50">
                  <c:v>4.7750322860867582</c:v>
                </c:pt>
                <c:pt idx="51">
                  <c:v>5.1534790713961023</c:v>
                </c:pt>
                <c:pt idx="52">
                  <c:v>5.3936197463865163</c:v>
                </c:pt>
                <c:pt idx="53">
                  <c:v>5.4019833463865163</c:v>
                </c:pt>
                <c:pt idx="54">
                  <c:v>5.5002617211208724</c:v>
                </c:pt>
                <c:pt idx="55">
                  <c:v>5.6382329841898473</c:v>
                </c:pt>
                <c:pt idx="56">
                  <c:v>5.7322950397981876</c:v>
                </c:pt>
                <c:pt idx="57">
                  <c:v>5.882352340361642</c:v>
                </c:pt>
                <c:pt idx="58">
                  <c:v>6.0140976074468169</c:v>
                </c:pt>
                <c:pt idx="59">
                  <c:v>6.0692554074468168</c:v>
                </c:pt>
                <c:pt idx="60">
                  <c:v>5.9516044074468164</c:v>
                </c:pt>
                <c:pt idx="61">
                  <c:v>6.0214638493840367</c:v>
                </c:pt>
                <c:pt idx="62">
                  <c:v>6.0689324008482259</c:v>
                </c:pt>
                <c:pt idx="63">
                  <c:v>6.0875684008482258</c:v>
                </c:pt>
                <c:pt idx="64">
                  <c:v>6.0491066833322469</c:v>
                </c:pt>
                <c:pt idx="65">
                  <c:v>6.0563904833322466</c:v>
                </c:pt>
                <c:pt idx="66">
                  <c:v>6.0718421902930899</c:v>
                </c:pt>
                <c:pt idx="67">
                  <c:v>6.2529692717647514</c:v>
                </c:pt>
                <c:pt idx="68">
                  <c:v>6.220433074039895</c:v>
                </c:pt>
                <c:pt idx="69">
                  <c:v>6.1679644740398949</c:v>
                </c:pt>
                <c:pt idx="70">
                  <c:v>6.3174054740398953</c:v>
                </c:pt>
                <c:pt idx="71">
                  <c:v>6.2358620322792966</c:v>
                </c:pt>
                <c:pt idx="72">
                  <c:v>6.5876915823277011</c:v>
                </c:pt>
                <c:pt idx="73">
                  <c:v>6.5348329823277007</c:v>
                </c:pt>
                <c:pt idx="74">
                  <c:v>6.5301936231780324</c:v>
                </c:pt>
                <c:pt idx="75">
                  <c:v>6.6204650274383159</c:v>
                </c:pt>
                <c:pt idx="76">
                  <c:v>6.6605677554900691</c:v>
                </c:pt>
                <c:pt idx="77">
                  <c:v>6.7870631554900687</c:v>
                </c:pt>
                <c:pt idx="78">
                  <c:v>6.7999779554900686</c:v>
                </c:pt>
                <c:pt idx="79">
                  <c:v>6.981005452980666</c:v>
                </c:pt>
                <c:pt idx="80">
                  <c:v>7.0667828529806656</c:v>
                </c:pt>
                <c:pt idx="81">
                  <c:v>7.1477407901793422</c:v>
                </c:pt>
                <c:pt idx="82">
                  <c:v>7.2237110309224501</c:v>
                </c:pt>
                <c:pt idx="83">
                  <c:v>7.2955750565195885</c:v>
                </c:pt>
                <c:pt idx="84">
                  <c:v>7.3259697302886702</c:v>
                </c:pt>
                <c:pt idx="85">
                  <c:v>7.2844597455047415</c:v>
                </c:pt>
                <c:pt idx="86">
                  <c:v>7.3650493694453631</c:v>
                </c:pt>
                <c:pt idx="87">
                  <c:v>7.2728644352562339</c:v>
                </c:pt>
                <c:pt idx="88">
                  <c:v>7.3696386352562335</c:v>
                </c:pt>
                <c:pt idx="89">
                  <c:v>7.5745304688973363</c:v>
                </c:pt>
                <c:pt idx="90">
                  <c:v>7.871103868897336</c:v>
                </c:pt>
                <c:pt idx="91">
                  <c:v>8.0631350740063628</c:v>
                </c:pt>
                <c:pt idx="92">
                  <c:v>8.0862531193066456</c:v>
                </c:pt>
                <c:pt idx="93">
                  <c:v>8.2817392297915884</c:v>
                </c:pt>
                <c:pt idx="94">
                  <c:v>8.3788763285259105</c:v>
                </c:pt>
                <c:pt idx="95">
                  <c:v>8.4072917285259106</c:v>
                </c:pt>
                <c:pt idx="96">
                  <c:v>8.5540197375975371</c:v>
                </c:pt>
                <c:pt idx="97">
                  <c:v>8.6732338658102215</c:v>
                </c:pt>
                <c:pt idx="98">
                  <c:v>8.7411375739850676</c:v>
                </c:pt>
                <c:pt idx="99">
                  <c:v>8.8314361248528321</c:v>
                </c:pt>
                <c:pt idx="100">
                  <c:v>8.9401683248528325</c:v>
                </c:pt>
                <c:pt idx="101">
                  <c:v>9.0953299700020303</c:v>
                </c:pt>
                <c:pt idx="102">
                  <c:v>9.1724115700020299</c:v>
                </c:pt>
                <c:pt idx="103">
                  <c:v>9.2493785700020297</c:v>
                </c:pt>
                <c:pt idx="104">
                  <c:v>9.1997655007664747</c:v>
                </c:pt>
                <c:pt idx="105">
                  <c:v>9.203362685523425</c:v>
                </c:pt>
                <c:pt idx="106">
                  <c:v>9.213781407130277</c:v>
                </c:pt>
                <c:pt idx="107">
                  <c:v>9.4593568071302769</c:v>
                </c:pt>
                <c:pt idx="108">
                  <c:v>9.5117026071302764</c:v>
                </c:pt>
                <c:pt idx="109">
                  <c:v>9.7900022071302768</c:v>
                </c:pt>
                <c:pt idx="110">
                  <c:v>9.9275982071302771</c:v>
                </c:pt>
                <c:pt idx="111">
                  <c:v>10.064156299562974</c:v>
                </c:pt>
                <c:pt idx="112">
                  <c:v>10.149340899562974</c:v>
                </c:pt>
                <c:pt idx="113">
                  <c:v>10.129875526229354</c:v>
                </c:pt>
                <c:pt idx="114">
                  <c:v>10.060539726229354</c:v>
                </c:pt>
                <c:pt idx="115">
                  <c:v>10.118558932883554</c:v>
                </c:pt>
                <c:pt idx="116">
                  <c:v>10.376559932883554</c:v>
                </c:pt>
                <c:pt idx="117">
                  <c:v>10.576715367637943</c:v>
                </c:pt>
                <c:pt idx="118">
                  <c:v>10.634175549262643</c:v>
                </c:pt>
                <c:pt idx="119">
                  <c:v>10.712688209290933</c:v>
                </c:pt>
                <c:pt idx="120">
                  <c:v>10.705196209290934</c:v>
                </c:pt>
                <c:pt idx="121">
                  <c:v>10.675510870492092</c:v>
                </c:pt>
                <c:pt idx="122">
                  <c:v>10.851886670492092</c:v>
                </c:pt>
                <c:pt idx="123">
                  <c:v>10.981232142330951</c:v>
                </c:pt>
                <c:pt idx="124">
                  <c:v>10.877685542330951</c:v>
                </c:pt>
                <c:pt idx="125">
                  <c:v>11.031551871937266</c:v>
                </c:pt>
                <c:pt idx="126">
                  <c:v>11.153142471937265</c:v>
                </c:pt>
                <c:pt idx="127">
                  <c:v>11.243341871937265</c:v>
                </c:pt>
                <c:pt idx="128">
                  <c:v>11.23741627266393</c:v>
                </c:pt>
                <c:pt idx="129">
                  <c:v>11.319823415108349</c:v>
                </c:pt>
                <c:pt idx="130">
                  <c:v>11.353872996522291</c:v>
                </c:pt>
                <c:pt idx="131">
                  <c:v>11.530791857589302</c:v>
                </c:pt>
                <c:pt idx="132">
                  <c:v>11.529050257589301</c:v>
                </c:pt>
                <c:pt idx="133">
                  <c:v>11.614850257589302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20-CC40-A5C6-CB614070F43C}"/>
            </c:ext>
          </c:extLst>
        </c:ser>
        <c:ser>
          <c:idx val="9"/>
          <c:order val="9"/>
          <c:tx>
            <c:strRef>
              <c:f>真實畫圖!$B$21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真實畫圖!$C$21:$EF$21</c:f>
              <c:numCache>
                <c:formatCode>General</c:formatCode>
                <c:ptCount val="134"/>
                <c:pt idx="0">
                  <c:v>0.21462999999999999</c:v>
                </c:pt>
                <c:pt idx="1">
                  <c:v>0.34101899999999996</c:v>
                </c:pt>
                <c:pt idx="2">
                  <c:v>0.32732749999999994</c:v>
                </c:pt>
                <c:pt idx="3">
                  <c:v>0.14328891839386995</c:v>
                </c:pt>
                <c:pt idx="4">
                  <c:v>0.28713106950643441</c:v>
                </c:pt>
                <c:pt idx="5">
                  <c:v>0.44929506950643439</c:v>
                </c:pt>
                <c:pt idx="6">
                  <c:v>0.59655067763390734</c:v>
                </c:pt>
                <c:pt idx="7">
                  <c:v>0.65698600332554968</c:v>
                </c:pt>
                <c:pt idx="8">
                  <c:v>0.86386602932894518</c:v>
                </c:pt>
                <c:pt idx="9">
                  <c:v>0.86889702932894519</c:v>
                </c:pt>
                <c:pt idx="10">
                  <c:v>0.76921243592073396</c:v>
                </c:pt>
                <c:pt idx="11">
                  <c:v>1.3541029359207339</c:v>
                </c:pt>
                <c:pt idx="12">
                  <c:v>1.3884549253814247</c:v>
                </c:pt>
                <c:pt idx="13">
                  <c:v>1.5332275262711095</c:v>
                </c:pt>
                <c:pt idx="14">
                  <c:v>1.7905376003653617</c:v>
                </c:pt>
                <c:pt idx="15">
                  <c:v>1.6949622892587315</c:v>
                </c:pt>
                <c:pt idx="16">
                  <c:v>1.8235525747086885</c:v>
                </c:pt>
                <c:pt idx="17">
                  <c:v>1.922014247465486</c:v>
                </c:pt>
                <c:pt idx="18">
                  <c:v>2.0082926650772439</c:v>
                </c:pt>
                <c:pt idx="19">
                  <c:v>2.0618502844432753</c:v>
                </c:pt>
                <c:pt idx="20">
                  <c:v>2.1863490344432752</c:v>
                </c:pt>
                <c:pt idx="21">
                  <c:v>2.3999799766483916</c:v>
                </c:pt>
                <c:pt idx="22">
                  <c:v>2.3791468937559568</c:v>
                </c:pt>
                <c:pt idx="23">
                  <c:v>2.4933508809786811</c:v>
                </c:pt>
                <c:pt idx="24">
                  <c:v>2.6039867879811598</c:v>
                </c:pt>
                <c:pt idx="25">
                  <c:v>2.7338263703782295</c:v>
                </c:pt>
                <c:pt idx="26">
                  <c:v>2.7526541070850294</c:v>
                </c:pt>
                <c:pt idx="27">
                  <c:v>2.8814786070850293</c:v>
                </c:pt>
                <c:pt idx="28">
                  <c:v>3.0095835858812752</c:v>
                </c:pt>
                <c:pt idx="29">
                  <c:v>3.3047278439646384</c:v>
                </c:pt>
                <c:pt idx="30">
                  <c:v>3.3490306217544323</c:v>
                </c:pt>
                <c:pt idx="31">
                  <c:v>3.241449259189634</c:v>
                </c:pt>
                <c:pt idx="32">
                  <c:v>3.3435735091896341</c:v>
                </c:pt>
                <c:pt idx="33">
                  <c:v>3.2731681672431656</c:v>
                </c:pt>
                <c:pt idx="34">
                  <c:v>3.2373649996250555</c:v>
                </c:pt>
                <c:pt idx="35">
                  <c:v>3.2571452496250557</c:v>
                </c:pt>
                <c:pt idx="36">
                  <c:v>3.3256810570726865</c:v>
                </c:pt>
                <c:pt idx="37">
                  <c:v>3.4376371131357808</c:v>
                </c:pt>
                <c:pt idx="38">
                  <c:v>3.5232048880496682</c:v>
                </c:pt>
                <c:pt idx="39">
                  <c:v>3.5957400316196875</c:v>
                </c:pt>
                <c:pt idx="40">
                  <c:v>3.7289640316196877</c:v>
                </c:pt>
                <c:pt idx="41">
                  <c:v>3.7769522816196877</c:v>
                </c:pt>
                <c:pt idx="42">
                  <c:v>3.7315455995596793</c:v>
                </c:pt>
                <c:pt idx="43">
                  <c:v>3.9963838571076766</c:v>
                </c:pt>
                <c:pt idx="44">
                  <c:v>4.3428651071076763</c:v>
                </c:pt>
                <c:pt idx="45">
                  <c:v>4.2741511944111963</c:v>
                </c:pt>
                <c:pt idx="46">
                  <c:v>4.5374061107850112</c:v>
                </c:pt>
                <c:pt idx="47">
                  <c:v>4.7551244133020489</c:v>
                </c:pt>
                <c:pt idx="48">
                  <c:v>4.802145704280087</c:v>
                </c:pt>
                <c:pt idx="49">
                  <c:v>4.9106487042800868</c:v>
                </c:pt>
                <c:pt idx="50">
                  <c:v>5.0502412042800868</c:v>
                </c:pt>
                <c:pt idx="51">
                  <c:v>5.454672632413236</c:v>
                </c:pt>
                <c:pt idx="52">
                  <c:v>5.6191331643420623</c:v>
                </c:pt>
                <c:pt idx="53">
                  <c:v>5.6573556643420622</c:v>
                </c:pt>
                <c:pt idx="54">
                  <c:v>5.7941010202500269</c:v>
                </c:pt>
                <c:pt idx="55">
                  <c:v>5.9932182366806304</c:v>
                </c:pt>
                <c:pt idx="56">
                  <c:v>6.0855038081878838</c:v>
                </c:pt>
                <c:pt idx="57">
                  <c:v>6.192345917825314</c:v>
                </c:pt>
                <c:pt idx="58">
                  <c:v>6.3583155140037055</c:v>
                </c:pt>
                <c:pt idx="59">
                  <c:v>6.3807117640037054</c:v>
                </c:pt>
                <c:pt idx="60">
                  <c:v>6.3079880140037057</c:v>
                </c:pt>
                <c:pt idx="61">
                  <c:v>6.3953288044714043</c:v>
                </c:pt>
                <c:pt idx="62">
                  <c:v>6.4361240905001251</c:v>
                </c:pt>
                <c:pt idx="63">
                  <c:v>6.4619123405001249</c:v>
                </c:pt>
                <c:pt idx="64">
                  <c:v>6.3980551040864446</c:v>
                </c:pt>
                <c:pt idx="65">
                  <c:v>6.3938751040864448</c:v>
                </c:pt>
                <c:pt idx="66">
                  <c:v>6.4484173349209497</c:v>
                </c:pt>
                <c:pt idx="67">
                  <c:v>6.5904787908310452</c:v>
                </c:pt>
                <c:pt idx="68">
                  <c:v>6.5247369698706974</c:v>
                </c:pt>
                <c:pt idx="69">
                  <c:v>6.4639149698706975</c:v>
                </c:pt>
                <c:pt idx="70">
                  <c:v>6.6346529698706975</c:v>
                </c:pt>
                <c:pt idx="71">
                  <c:v>6.5903129898294237</c:v>
                </c:pt>
                <c:pt idx="72">
                  <c:v>6.7747736605498332</c:v>
                </c:pt>
                <c:pt idx="73">
                  <c:v>6.6976104105498333</c:v>
                </c:pt>
                <c:pt idx="74">
                  <c:v>6.6419441183075962</c:v>
                </c:pt>
                <c:pt idx="75">
                  <c:v>6.6896070470283115</c:v>
                </c:pt>
                <c:pt idx="76">
                  <c:v>6.7501246503307097</c:v>
                </c:pt>
                <c:pt idx="77">
                  <c:v>6.9579949003307098</c:v>
                </c:pt>
                <c:pt idx="78">
                  <c:v>6.9499754003307102</c:v>
                </c:pt>
                <c:pt idx="79">
                  <c:v>7.2380314646931829</c:v>
                </c:pt>
                <c:pt idx="80">
                  <c:v>7.2995459646931833</c:v>
                </c:pt>
                <c:pt idx="81">
                  <c:v>7.4308116414942553</c:v>
                </c:pt>
                <c:pt idx="82">
                  <c:v>7.5158969769683868</c:v>
                </c:pt>
                <c:pt idx="83">
                  <c:v>7.5959972980445984</c:v>
                </c:pt>
                <c:pt idx="84">
                  <c:v>7.6764969144355808</c:v>
                </c:pt>
                <c:pt idx="85">
                  <c:v>7.6213560658744237</c:v>
                </c:pt>
                <c:pt idx="86">
                  <c:v>7.6885156961712795</c:v>
                </c:pt>
                <c:pt idx="87">
                  <c:v>7.5546252715483151</c:v>
                </c:pt>
                <c:pt idx="88">
                  <c:v>7.6708555215483152</c:v>
                </c:pt>
                <c:pt idx="89">
                  <c:v>7.7517070303777489</c:v>
                </c:pt>
                <c:pt idx="90">
                  <c:v>8.087190030377748</c:v>
                </c:pt>
                <c:pt idx="91">
                  <c:v>8.3098900912556601</c:v>
                </c:pt>
                <c:pt idx="92">
                  <c:v>8.3328022854251564</c:v>
                </c:pt>
                <c:pt idx="93">
                  <c:v>8.571862251786424</c:v>
                </c:pt>
                <c:pt idx="94">
                  <c:v>8.6331312880057549</c:v>
                </c:pt>
                <c:pt idx="95">
                  <c:v>8.6811260380057558</c:v>
                </c:pt>
                <c:pt idx="96">
                  <c:v>8.8400426603232063</c:v>
                </c:pt>
                <c:pt idx="97">
                  <c:v>8.9943745050977792</c:v>
                </c:pt>
                <c:pt idx="98">
                  <c:v>9.0327200219694621</c:v>
                </c:pt>
                <c:pt idx="99">
                  <c:v>9.1348421976268686</c:v>
                </c:pt>
                <c:pt idx="100">
                  <c:v>9.2373474476268687</c:v>
                </c:pt>
                <c:pt idx="101">
                  <c:v>9.4747988184526992</c:v>
                </c:pt>
                <c:pt idx="102">
                  <c:v>9.5165085684527</c:v>
                </c:pt>
                <c:pt idx="103">
                  <c:v>9.5879680684526996</c:v>
                </c:pt>
                <c:pt idx="104">
                  <c:v>9.5429205092294094</c:v>
                </c:pt>
                <c:pt idx="105">
                  <c:v>9.545739303620481</c:v>
                </c:pt>
                <c:pt idx="106">
                  <c:v>9.5747170406808078</c:v>
                </c:pt>
                <c:pt idx="107">
                  <c:v>9.8758687906808085</c:v>
                </c:pt>
                <c:pt idx="108">
                  <c:v>9.9352795406808081</c:v>
                </c:pt>
                <c:pt idx="109">
                  <c:v>10.016716540680807</c:v>
                </c:pt>
                <c:pt idx="110">
                  <c:v>10.196556540680808</c:v>
                </c:pt>
                <c:pt idx="111">
                  <c:v>10.353162259144449</c:v>
                </c:pt>
                <c:pt idx="112">
                  <c:v>10.44405550914445</c:v>
                </c:pt>
                <c:pt idx="113">
                  <c:v>10.431318517643437</c:v>
                </c:pt>
                <c:pt idx="114">
                  <c:v>10.406330267643437</c:v>
                </c:pt>
                <c:pt idx="115">
                  <c:v>10.47752788013743</c:v>
                </c:pt>
                <c:pt idx="116">
                  <c:v>10.809154130137429</c:v>
                </c:pt>
                <c:pt idx="117">
                  <c:v>11.038174019817664</c:v>
                </c:pt>
                <c:pt idx="118">
                  <c:v>11.108596718625847</c:v>
                </c:pt>
                <c:pt idx="119">
                  <c:v>11.158767577662928</c:v>
                </c:pt>
                <c:pt idx="120">
                  <c:v>11.157093827662928</c:v>
                </c:pt>
                <c:pt idx="121">
                  <c:v>11.15187863731625</c:v>
                </c:pt>
                <c:pt idx="122">
                  <c:v>11.30049338731625</c:v>
                </c:pt>
                <c:pt idx="123">
                  <c:v>11.440769364186128</c:v>
                </c:pt>
                <c:pt idx="124">
                  <c:v>11.337233364186128</c:v>
                </c:pt>
                <c:pt idx="125">
                  <c:v>11.52319957821731</c:v>
                </c:pt>
                <c:pt idx="126">
                  <c:v>11.68992957821731</c:v>
                </c:pt>
                <c:pt idx="127">
                  <c:v>11.788859578217309</c:v>
                </c:pt>
                <c:pt idx="128">
                  <c:v>11.753793121032073</c:v>
                </c:pt>
                <c:pt idx="129">
                  <c:v>11.780095315030607</c:v>
                </c:pt>
                <c:pt idx="130">
                  <c:v>11.794132370128649</c:v>
                </c:pt>
                <c:pt idx="131">
                  <c:v>11.848631226476829</c:v>
                </c:pt>
                <c:pt idx="132">
                  <c:v>11.869941226476829</c:v>
                </c:pt>
                <c:pt idx="133">
                  <c:v>11.898735726476829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20-CC40-A5C6-CB614070F43C}"/>
            </c:ext>
          </c:extLst>
        </c:ser>
        <c:ser>
          <c:idx val="10"/>
          <c:order val="10"/>
          <c:tx>
            <c:strRef>
              <c:f>真實畫圖!$B$22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真實畫圖!$C$22:$EF$22</c:f>
              <c:numCache>
                <c:formatCode>General</c:formatCode>
                <c:ptCount val="134"/>
                <c:pt idx="0">
                  <c:v>0.20527999999999999</c:v>
                </c:pt>
                <c:pt idx="1">
                  <c:v>0.34770933333333331</c:v>
                </c:pt>
                <c:pt idx="2">
                  <c:v>0.33035266666666663</c:v>
                </c:pt>
                <c:pt idx="3">
                  <c:v>0.26252160574538908</c:v>
                </c:pt>
                <c:pt idx="4">
                  <c:v>0.3664059690357232</c:v>
                </c:pt>
                <c:pt idx="5">
                  <c:v>0.49058396903572321</c:v>
                </c:pt>
                <c:pt idx="6">
                  <c:v>0.61407713837379296</c:v>
                </c:pt>
                <c:pt idx="7">
                  <c:v>0.66667572763913585</c:v>
                </c:pt>
                <c:pt idx="8">
                  <c:v>0.91204164032189161</c:v>
                </c:pt>
                <c:pt idx="9">
                  <c:v>0.89776964032189155</c:v>
                </c:pt>
                <c:pt idx="10">
                  <c:v>0.82366958155131897</c:v>
                </c:pt>
                <c:pt idx="11">
                  <c:v>1.5798119148846523</c:v>
                </c:pt>
                <c:pt idx="12">
                  <c:v>1.5730960365732849</c:v>
                </c:pt>
                <c:pt idx="13">
                  <c:v>1.6458789207021018</c:v>
                </c:pt>
                <c:pt idx="14">
                  <c:v>1.9226558145351538</c:v>
                </c:pt>
                <c:pt idx="15">
                  <c:v>1.8860273802635656</c:v>
                </c:pt>
                <c:pt idx="16">
                  <c:v>2.0556739358215061</c:v>
                </c:pt>
                <c:pt idx="17">
                  <c:v>2.1844863578046292</c:v>
                </c:pt>
                <c:pt idx="18">
                  <c:v>2.2950763812071333</c:v>
                </c:pt>
                <c:pt idx="19">
                  <c:v>2.3333631577269887</c:v>
                </c:pt>
                <c:pt idx="20">
                  <c:v>2.4914111577269886</c:v>
                </c:pt>
                <c:pt idx="21">
                  <c:v>2.7131979167608589</c:v>
                </c:pt>
                <c:pt idx="22">
                  <c:v>2.6974657083473379</c:v>
                </c:pt>
                <c:pt idx="23">
                  <c:v>2.7730139774931839</c:v>
                </c:pt>
                <c:pt idx="24">
                  <c:v>2.8555384030712969</c:v>
                </c:pt>
                <c:pt idx="25">
                  <c:v>2.9899746157846225</c:v>
                </c:pt>
                <c:pt idx="26">
                  <c:v>3.0757510765000551</c:v>
                </c:pt>
                <c:pt idx="27">
                  <c:v>3.0893224098333882</c:v>
                </c:pt>
                <c:pt idx="28">
                  <c:v>3.2201462526497222</c:v>
                </c:pt>
                <c:pt idx="29">
                  <c:v>3.650063020698334</c:v>
                </c:pt>
                <c:pt idx="30">
                  <c:v>3.7029045608740678</c:v>
                </c:pt>
                <c:pt idx="31">
                  <c:v>3.5970386014535953</c:v>
                </c:pt>
                <c:pt idx="32">
                  <c:v>3.708043268120262</c:v>
                </c:pt>
                <c:pt idx="33">
                  <c:v>3.6763434187938535</c:v>
                </c:pt>
                <c:pt idx="34">
                  <c:v>3.7776319795342492</c:v>
                </c:pt>
                <c:pt idx="35">
                  <c:v>3.7681923128675825</c:v>
                </c:pt>
                <c:pt idx="36">
                  <c:v>3.8522812163352862</c:v>
                </c:pt>
                <c:pt idx="37">
                  <c:v>3.9634140259988455</c:v>
                </c:pt>
                <c:pt idx="38">
                  <c:v>4.1215669012925726</c:v>
                </c:pt>
                <c:pt idx="39">
                  <c:v>4.184103255180565</c:v>
                </c:pt>
                <c:pt idx="40">
                  <c:v>4.2942325885138981</c:v>
                </c:pt>
                <c:pt idx="41">
                  <c:v>4.3621572551805645</c:v>
                </c:pt>
                <c:pt idx="42">
                  <c:v>4.4360009578663977</c:v>
                </c:pt>
                <c:pt idx="43">
                  <c:v>4.4537293288608346</c:v>
                </c:pt>
                <c:pt idx="44">
                  <c:v>4.8830843288608348</c:v>
                </c:pt>
                <c:pt idx="45">
                  <c:v>4.7933303469892019</c:v>
                </c:pt>
                <c:pt idx="46">
                  <c:v>5.164129625680375</c:v>
                </c:pt>
                <c:pt idx="47">
                  <c:v>5.1542544396746814</c:v>
                </c:pt>
                <c:pt idx="48">
                  <c:v>5.2259878250089118</c:v>
                </c:pt>
                <c:pt idx="49">
                  <c:v>5.3811764916755784</c:v>
                </c:pt>
                <c:pt idx="50">
                  <c:v>5.4309511583422454</c:v>
                </c:pt>
                <c:pt idx="51">
                  <c:v>5.9492152077922826</c:v>
                </c:pt>
                <c:pt idx="52">
                  <c:v>6.1448412431428006</c:v>
                </c:pt>
                <c:pt idx="53">
                  <c:v>6.2241052431428008</c:v>
                </c:pt>
                <c:pt idx="54">
                  <c:v>6.3521731271084612</c:v>
                </c:pt>
                <c:pt idx="55">
                  <c:v>6.5512755756568994</c:v>
                </c:pt>
                <c:pt idx="56">
                  <c:v>6.510044106504119</c:v>
                </c:pt>
                <c:pt idx="57">
                  <c:v>6.6377511159005351</c:v>
                </c:pt>
                <c:pt idx="58">
                  <c:v>6.7488398353104424</c:v>
                </c:pt>
                <c:pt idx="59">
                  <c:v>6.7897331686437754</c:v>
                </c:pt>
                <c:pt idx="60">
                  <c:v>6.741417501977109</c:v>
                </c:pt>
                <c:pt idx="61">
                  <c:v>6.880888892377973</c:v>
                </c:pt>
                <c:pt idx="62">
                  <c:v>6.8833193756235058</c:v>
                </c:pt>
                <c:pt idx="63">
                  <c:v>6.966253708956839</c:v>
                </c:pt>
                <c:pt idx="64">
                  <c:v>6.9157692798440884</c:v>
                </c:pt>
                <c:pt idx="65">
                  <c:v>6.9152292798440884</c:v>
                </c:pt>
                <c:pt idx="66">
                  <c:v>6.9430593772424007</c:v>
                </c:pt>
                <c:pt idx="67">
                  <c:v>7.0496261592100913</c:v>
                </c:pt>
                <c:pt idx="68">
                  <c:v>6.9525785695055466</c:v>
                </c:pt>
                <c:pt idx="69">
                  <c:v>7.0413029028388801</c:v>
                </c:pt>
                <c:pt idx="70">
                  <c:v>7.1456539028388804</c:v>
                </c:pt>
                <c:pt idx="71">
                  <c:v>7.0970503682498025</c:v>
                </c:pt>
                <c:pt idx="72">
                  <c:v>7.2292221597855839</c:v>
                </c:pt>
                <c:pt idx="73">
                  <c:v>7.1161954931189175</c:v>
                </c:pt>
                <c:pt idx="74">
                  <c:v>7.0605984431485469</c:v>
                </c:pt>
                <c:pt idx="75">
                  <c:v>7.1078561790114394</c:v>
                </c:pt>
                <c:pt idx="76">
                  <c:v>7.1353462574917632</c:v>
                </c:pt>
                <c:pt idx="77">
                  <c:v>7.3900862574917632</c:v>
                </c:pt>
                <c:pt idx="78">
                  <c:v>7.2649812574917636</c:v>
                </c:pt>
                <c:pt idx="79">
                  <c:v>7.5988592942044866</c:v>
                </c:pt>
                <c:pt idx="80">
                  <c:v>7.6656992942044866</c:v>
                </c:pt>
                <c:pt idx="81">
                  <c:v>7.8544990799647643</c:v>
                </c:pt>
                <c:pt idx="82">
                  <c:v>8.0615844125982772</c:v>
                </c:pt>
                <c:pt idx="83">
                  <c:v>8.1775031838777252</c:v>
                </c:pt>
                <c:pt idx="84">
                  <c:v>8.295282930156084</c:v>
                </c:pt>
                <c:pt idx="85">
                  <c:v>8.1689575708774971</c:v>
                </c:pt>
                <c:pt idx="86">
                  <c:v>8.2798811111642792</c:v>
                </c:pt>
                <c:pt idx="87">
                  <c:v>8.0392293125392378</c:v>
                </c:pt>
                <c:pt idx="88">
                  <c:v>8.2590593125392378</c:v>
                </c:pt>
                <c:pt idx="89">
                  <c:v>8.4118632293494446</c:v>
                </c:pt>
                <c:pt idx="90">
                  <c:v>8.6839222293494451</c:v>
                </c:pt>
                <c:pt idx="91">
                  <c:v>8.9433307863188478</c:v>
                </c:pt>
                <c:pt idx="92">
                  <c:v>8.960490401837971</c:v>
                </c:pt>
                <c:pt idx="93">
                  <c:v>9.2072631718298581</c:v>
                </c:pt>
                <c:pt idx="94">
                  <c:v>9.2920451077142232</c:v>
                </c:pt>
                <c:pt idx="95">
                  <c:v>9.3303097743808898</c:v>
                </c:pt>
                <c:pt idx="96">
                  <c:v>9.4976636855672574</c:v>
                </c:pt>
                <c:pt idx="97">
                  <c:v>9.6638863642568111</c:v>
                </c:pt>
                <c:pt idx="98">
                  <c:v>9.6867704065887956</c:v>
                </c:pt>
                <c:pt idx="99">
                  <c:v>9.6905199998566438</c:v>
                </c:pt>
                <c:pt idx="100">
                  <c:v>9.7950309998566443</c:v>
                </c:pt>
                <c:pt idx="101">
                  <c:v>10.057951484455883</c:v>
                </c:pt>
                <c:pt idx="102">
                  <c:v>10.090405484455882</c:v>
                </c:pt>
                <c:pt idx="103">
                  <c:v>10.144446151122549</c:v>
                </c:pt>
                <c:pt idx="104">
                  <c:v>10.123721366678392</c:v>
                </c:pt>
                <c:pt idx="105">
                  <c:v>10.155431535804217</c:v>
                </c:pt>
                <c:pt idx="106">
                  <c:v>10.137675032302285</c:v>
                </c:pt>
                <c:pt idx="107">
                  <c:v>10.527343032302285</c:v>
                </c:pt>
                <c:pt idx="108">
                  <c:v>10.599234032302286</c:v>
                </c:pt>
                <c:pt idx="109">
                  <c:v>10.680689365635619</c:v>
                </c:pt>
                <c:pt idx="110">
                  <c:v>10.740811698968953</c:v>
                </c:pt>
                <c:pt idx="111">
                  <c:v>10.894511461799283</c:v>
                </c:pt>
                <c:pt idx="112">
                  <c:v>10.985939128465949</c:v>
                </c:pt>
                <c:pt idx="113">
                  <c:v>10.982725797722811</c:v>
                </c:pt>
                <c:pt idx="114">
                  <c:v>10.950841464389477</c:v>
                </c:pt>
                <c:pt idx="115">
                  <c:v>10.997604792593485</c:v>
                </c:pt>
                <c:pt idx="116">
                  <c:v>11.073320125926818</c:v>
                </c:pt>
                <c:pt idx="117">
                  <c:v>11.242882558067549</c:v>
                </c:pt>
                <c:pt idx="118">
                  <c:v>11.408286724612189</c:v>
                </c:pt>
                <c:pt idx="119">
                  <c:v>11.402194171996872</c:v>
                </c:pt>
                <c:pt idx="120">
                  <c:v>11.365845171996872</c:v>
                </c:pt>
                <c:pt idx="121">
                  <c:v>11.392973925975042</c:v>
                </c:pt>
                <c:pt idx="122">
                  <c:v>11.554519592641709</c:v>
                </c:pt>
                <c:pt idx="123">
                  <c:v>11.680224710319887</c:v>
                </c:pt>
                <c:pt idx="124">
                  <c:v>11.598808710319886</c:v>
                </c:pt>
                <c:pt idx="125">
                  <c:v>11.821251318768182</c:v>
                </c:pt>
                <c:pt idx="126">
                  <c:v>11.941207652101514</c:v>
                </c:pt>
                <c:pt idx="127">
                  <c:v>12.052041318768181</c:v>
                </c:pt>
                <c:pt idx="128">
                  <c:v>12.017850076358307</c:v>
                </c:pt>
                <c:pt idx="129">
                  <c:v>12.147616026664377</c:v>
                </c:pt>
                <c:pt idx="130">
                  <c:v>12.169111128240015</c:v>
                </c:pt>
                <c:pt idx="131">
                  <c:v>12.246524695297623</c:v>
                </c:pt>
                <c:pt idx="132">
                  <c:v>12.294160695297624</c:v>
                </c:pt>
                <c:pt idx="133">
                  <c:v>12.330753361964291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20-CC40-A5C6-CB614070F43C}"/>
            </c:ext>
          </c:extLst>
        </c:ser>
        <c:ser>
          <c:idx val="11"/>
          <c:order val="11"/>
          <c:tx>
            <c:strRef>
              <c:f>真實畫圖!$B$23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真實畫圖!$C$23:$EF$23</c:f>
              <c:numCache>
                <c:formatCode>General</c:formatCode>
                <c:ptCount val="134"/>
                <c:pt idx="0">
                  <c:v>0.28298899999999999</c:v>
                </c:pt>
                <c:pt idx="1">
                  <c:v>0.53708299999999998</c:v>
                </c:pt>
                <c:pt idx="2">
                  <c:v>0.67008800000000002</c:v>
                </c:pt>
                <c:pt idx="3">
                  <c:v>0.48769192467912131</c:v>
                </c:pt>
                <c:pt idx="4">
                  <c:v>0.46072035615475332</c:v>
                </c:pt>
                <c:pt idx="5">
                  <c:v>0.44253185615475332</c:v>
                </c:pt>
                <c:pt idx="6">
                  <c:v>0.59068388475504729</c:v>
                </c:pt>
                <c:pt idx="7">
                  <c:v>0.49252159360859493</c:v>
                </c:pt>
                <c:pt idx="8">
                  <c:v>0.63512916873324987</c:v>
                </c:pt>
                <c:pt idx="9">
                  <c:v>0.58435816873324986</c:v>
                </c:pt>
                <c:pt idx="10">
                  <c:v>0.32590825237460747</c:v>
                </c:pt>
                <c:pt idx="11">
                  <c:v>1.3018092523746074</c:v>
                </c:pt>
                <c:pt idx="12">
                  <c:v>1.2824015411078382</c:v>
                </c:pt>
                <c:pt idx="13">
                  <c:v>1.3728032522899636</c:v>
                </c:pt>
                <c:pt idx="14">
                  <c:v>1.313235235389443</c:v>
                </c:pt>
                <c:pt idx="15">
                  <c:v>1.2570240920761879</c:v>
                </c:pt>
                <c:pt idx="16">
                  <c:v>1.37074862490345</c:v>
                </c:pt>
                <c:pt idx="17">
                  <c:v>1.5253513182308784</c:v>
                </c:pt>
                <c:pt idx="18">
                  <c:v>1.6191087406716729</c:v>
                </c:pt>
                <c:pt idx="19">
                  <c:v>1.5960792835618818</c:v>
                </c:pt>
                <c:pt idx="20">
                  <c:v>1.8556262835618818</c:v>
                </c:pt>
                <c:pt idx="21">
                  <c:v>2.0374074693597048</c:v>
                </c:pt>
                <c:pt idx="22">
                  <c:v>2.0227476678292144</c:v>
                </c:pt>
                <c:pt idx="23">
                  <c:v>2.0557801832730895</c:v>
                </c:pt>
                <c:pt idx="24">
                  <c:v>1.9990317373129793</c:v>
                </c:pt>
                <c:pt idx="25">
                  <c:v>2.0630715171897629</c:v>
                </c:pt>
                <c:pt idx="26">
                  <c:v>2.2318263168266754</c:v>
                </c:pt>
                <c:pt idx="27">
                  <c:v>2.3034533168266753</c:v>
                </c:pt>
                <c:pt idx="28">
                  <c:v>2.4406653055843353</c:v>
                </c:pt>
                <c:pt idx="29">
                  <c:v>2.7653246312245465</c:v>
                </c:pt>
                <c:pt idx="30">
                  <c:v>2.8571982888709067</c:v>
                </c:pt>
                <c:pt idx="31">
                  <c:v>2.7730267043477235</c:v>
                </c:pt>
                <c:pt idx="32">
                  <c:v>2.9821787043477235</c:v>
                </c:pt>
                <c:pt idx="33">
                  <c:v>2.9878218421958778</c:v>
                </c:pt>
                <c:pt idx="34">
                  <c:v>3.101932941543069</c:v>
                </c:pt>
                <c:pt idx="35">
                  <c:v>3.0878664415430688</c:v>
                </c:pt>
                <c:pt idx="36">
                  <c:v>3.095635930547934</c:v>
                </c:pt>
                <c:pt idx="37">
                  <c:v>3.3379506299052348</c:v>
                </c:pt>
                <c:pt idx="38">
                  <c:v>3.4287331094348521</c:v>
                </c:pt>
                <c:pt idx="39">
                  <c:v>3.4256120100825465</c:v>
                </c:pt>
                <c:pt idx="40">
                  <c:v>3.5249910100825463</c:v>
                </c:pt>
                <c:pt idx="41">
                  <c:v>3.6711270100825462</c:v>
                </c:pt>
                <c:pt idx="42">
                  <c:v>3.7527906308631165</c:v>
                </c:pt>
                <c:pt idx="43">
                  <c:v>3.8622965338280166</c:v>
                </c:pt>
                <c:pt idx="44">
                  <c:v>4.4706285338280169</c:v>
                </c:pt>
                <c:pt idx="45">
                  <c:v>4.4214784671987246</c:v>
                </c:pt>
                <c:pt idx="46">
                  <c:v>5.0037384413729393</c:v>
                </c:pt>
                <c:pt idx="47">
                  <c:v>4.9889256623643989</c:v>
                </c:pt>
                <c:pt idx="48">
                  <c:v>5.1591596432049807</c:v>
                </c:pt>
                <c:pt idx="49">
                  <c:v>5.2372306432049811</c:v>
                </c:pt>
                <c:pt idx="50">
                  <c:v>5.2912286432049811</c:v>
                </c:pt>
                <c:pt idx="51">
                  <c:v>5.9772519728847149</c:v>
                </c:pt>
                <c:pt idx="52">
                  <c:v>6.230121154784654</c:v>
                </c:pt>
                <c:pt idx="53">
                  <c:v>6.3561006547846537</c:v>
                </c:pt>
                <c:pt idx="54">
                  <c:v>6.4803927978105529</c:v>
                </c:pt>
                <c:pt idx="55">
                  <c:v>6.690401910671004</c:v>
                </c:pt>
                <c:pt idx="56">
                  <c:v>6.7287247380901496</c:v>
                </c:pt>
                <c:pt idx="57">
                  <c:v>6.7920899337933882</c:v>
                </c:pt>
                <c:pt idx="58">
                  <c:v>6.9832020131165873</c:v>
                </c:pt>
                <c:pt idx="59">
                  <c:v>7.0406970131165876</c:v>
                </c:pt>
                <c:pt idx="60">
                  <c:v>6.9928450131165878</c:v>
                </c:pt>
                <c:pt idx="61">
                  <c:v>7.1072113032582571</c:v>
                </c:pt>
                <c:pt idx="62">
                  <c:v>7.0377158412338066</c:v>
                </c:pt>
                <c:pt idx="63">
                  <c:v>7.0761658412338067</c:v>
                </c:pt>
                <c:pt idx="64">
                  <c:v>7.1126907829798061</c:v>
                </c:pt>
                <c:pt idx="65">
                  <c:v>7.0902167829798062</c:v>
                </c:pt>
                <c:pt idx="66">
                  <c:v>7.1622646844150726</c:v>
                </c:pt>
                <c:pt idx="67">
                  <c:v>7.2650872745954231</c:v>
                </c:pt>
                <c:pt idx="68">
                  <c:v>7.0445201801930324</c:v>
                </c:pt>
                <c:pt idx="69">
                  <c:v>7.2627056801930321</c:v>
                </c:pt>
                <c:pt idx="70">
                  <c:v>7.3683921801930321</c:v>
                </c:pt>
                <c:pt idx="71">
                  <c:v>7.3151231296351433</c:v>
                </c:pt>
                <c:pt idx="72">
                  <c:v>7.3304856446782338</c:v>
                </c:pt>
                <c:pt idx="73">
                  <c:v>7.2617556446782334</c:v>
                </c:pt>
                <c:pt idx="74">
                  <c:v>7.3800048786051891</c:v>
                </c:pt>
                <c:pt idx="75">
                  <c:v>7.3876746410370338</c:v>
                </c:pt>
                <c:pt idx="76">
                  <c:v>7.4633278407836627</c:v>
                </c:pt>
                <c:pt idx="77">
                  <c:v>7.7794953407836624</c:v>
                </c:pt>
                <c:pt idx="78">
                  <c:v>7.6949503407836621</c:v>
                </c:pt>
                <c:pt idx="79">
                  <c:v>7.8866267957984473</c:v>
                </c:pt>
                <c:pt idx="80">
                  <c:v>7.9462287957984472</c:v>
                </c:pt>
                <c:pt idx="81">
                  <c:v>8.1033637055896115</c:v>
                </c:pt>
                <c:pt idx="82">
                  <c:v>8.3200009472168137</c:v>
                </c:pt>
                <c:pt idx="83">
                  <c:v>8.5001973961382422</c:v>
                </c:pt>
                <c:pt idx="84">
                  <c:v>8.8100968132663393</c:v>
                </c:pt>
                <c:pt idx="85">
                  <c:v>8.6535809168484388</c:v>
                </c:pt>
                <c:pt idx="86">
                  <c:v>8.7254373073849827</c:v>
                </c:pt>
                <c:pt idx="87">
                  <c:v>8.316776294717565</c:v>
                </c:pt>
                <c:pt idx="88">
                  <c:v>8.5514812947175649</c:v>
                </c:pt>
                <c:pt idx="89">
                  <c:v>8.8285855566736338</c:v>
                </c:pt>
                <c:pt idx="90">
                  <c:v>9.094743056673634</c:v>
                </c:pt>
                <c:pt idx="91">
                  <c:v>9.4061037998363908</c:v>
                </c:pt>
                <c:pt idx="92">
                  <c:v>9.3814015297570101</c:v>
                </c:pt>
                <c:pt idx="93">
                  <c:v>9.5323997002309575</c:v>
                </c:pt>
                <c:pt idx="94">
                  <c:v>9.5975595845241699</c:v>
                </c:pt>
                <c:pt idx="95">
                  <c:v>9.6629510845241704</c:v>
                </c:pt>
                <c:pt idx="96">
                  <c:v>9.865054969511327</c:v>
                </c:pt>
                <c:pt idx="97">
                  <c:v>10.018385937782902</c:v>
                </c:pt>
                <c:pt idx="98">
                  <c:v>9.9941996499939005</c:v>
                </c:pt>
                <c:pt idx="99">
                  <c:v>9.9054826558973748</c:v>
                </c:pt>
                <c:pt idx="100">
                  <c:v>10.059233155897374</c:v>
                </c:pt>
                <c:pt idx="101">
                  <c:v>10.241231949754726</c:v>
                </c:pt>
                <c:pt idx="102">
                  <c:v>10.305876949754726</c:v>
                </c:pt>
                <c:pt idx="103">
                  <c:v>10.324624949754726</c:v>
                </c:pt>
                <c:pt idx="104">
                  <c:v>10.44381543582514</c:v>
                </c:pt>
                <c:pt idx="105">
                  <c:v>10.536614110502294</c:v>
                </c:pt>
                <c:pt idx="106">
                  <c:v>10.476528162992123</c:v>
                </c:pt>
                <c:pt idx="107">
                  <c:v>10.885325662992123</c:v>
                </c:pt>
                <c:pt idx="108">
                  <c:v>10.952948162992124</c:v>
                </c:pt>
                <c:pt idx="109">
                  <c:v>11.092176162992123</c:v>
                </c:pt>
                <c:pt idx="110">
                  <c:v>11.188217162992123</c:v>
                </c:pt>
                <c:pt idx="111">
                  <c:v>11.308249744816042</c:v>
                </c:pt>
                <c:pt idx="112">
                  <c:v>11.399493244816041</c:v>
                </c:pt>
                <c:pt idx="113">
                  <c:v>11.425735896920665</c:v>
                </c:pt>
                <c:pt idx="114">
                  <c:v>11.379258896920666</c:v>
                </c:pt>
                <c:pt idx="115">
                  <c:v>11.385756092964636</c:v>
                </c:pt>
                <c:pt idx="116">
                  <c:v>11.509824092964635</c:v>
                </c:pt>
                <c:pt idx="117">
                  <c:v>11.686663711449542</c:v>
                </c:pt>
                <c:pt idx="118">
                  <c:v>11.932609819008329</c:v>
                </c:pt>
                <c:pt idx="119">
                  <c:v>11.842723816277022</c:v>
                </c:pt>
                <c:pt idx="120">
                  <c:v>11.726145816277022</c:v>
                </c:pt>
                <c:pt idx="121">
                  <c:v>11.703849359207265</c:v>
                </c:pt>
                <c:pt idx="122">
                  <c:v>11.759487359207265</c:v>
                </c:pt>
                <c:pt idx="123">
                  <c:v>12.035758967536704</c:v>
                </c:pt>
                <c:pt idx="124">
                  <c:v>12.058811467536705</c:v>
                </c:pt>
                <c:pt idx="125">
                  <c:v>12.372304673915671</c:v>
                </c:pt>
                <c:pt idx="126">
                  <c:v>12.318379673915672</c:v>
                </c:pt>
                <c:pt idx="127">
                  <c:v>12.101204673915673</c:v>
                </c:pt>
                <c:pt idx="128">
                  <c:v>12.007842594446704</c:v>
                </c:pt>
                <c:pt idx="129">
                  <c:v>12.252127252570626</c:v>
                </c:pt>
                <c:pt idx="130">
                  <c:v>12.215542936244812</c:v>
                </c:pt>
                <c:pt idx="131">
                  <c:v>12.306968840864593</c:v>
                </c:pt>
                <c:pt idx="132">
                  <c:v>12.376179840864593</c:v>
                </c:pt>
                <c:pt idx="133">
                  <c:v>12.469593840864592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20-CC40-A5C6-CB614070F43C}"/>
            </c:ext>
          </c:extLst>
        </c:ser>
        <c:ser>
          <c:idx val="12"/>
          <c:order val="12"/>
          <c:tx>
            <c:strRef>
              <c:f>真實畫圖!$B$24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0.28268928112835379</c:v>
                </c:pt>
                <c:pt idx="4">
                  <c:v>0.26006689256573612</c:v>
                </c:pt>
                <c:pt idx="5">
                  <c:v>0.29592289256573612</c:v>
                </c:pt>
                <c:pt idx="6">
                  <c:v>0.29381095936259261</c:v>
                </c:pt>
                <c:pt idx="7">
                  <c:v>0.19383876645245646</c:v>
                </c:pt>
                <c:pt idx="8">
                  <c:v>0.24428310244594517</c:v>
                </c:pt>
                <c:pt idx="9">
                  <c:v>0.15048310244594515</c:v>
                </c:pt>
                <c:pt idx="10">
                  <c:v>3.6637635464366602E-3</c:v>
                </c:pt>
                <c:pt idx="11">
                  <c:v>1.7726957635464367</c:v>
                </c:pt>
                <c:pt idx="12">
                  <c:v>1.8093445542859803</c:v>
                </c:pt>
                <c:pt idx="13">
                  <c:v>1.9135929686949797</c:v>
                </c:pt>
                <c:pt idx="14">
                  <c:v>1.8526280070482735</c:v>
                </c:pt>
                <c:pt idx="15">
                  <c:v>1.6069306362690137</c:v>
                </c:pt>
                <c:pt idx="16">
                  <c:v>1.9594450973291782</c:v>
                </c:pt>
                <c:pt idx="17">
                  <c:v>1.6889583826551609</c:v>
                </c:pt>
                <c:pt idx="18">
                  <c:v>1.8374770568790788</c:v>
                </c:pt>
                <c:pt idx="19">
                  <c:v>1.7703377540414502</c:v>
                </c:pt>
                <c:pt idx="20">
                  <c:v>1.6057757540414501</c:v>
                </c:pt>
                <c:pt idx="21">
                  <c:v>1.5696178576801982</c:v>
                </c:pt>
                <c:pt idx="22">
                  <c:v>1.5601408427537811</c:v>
                </c:pt>
                <c:pt idx="23">
                  <c:v>1.665983170032588</c:v>
                </c:pt>
                <c:pt idx="24">
                  <c:v>1.8845277497237427</c:v>
                </c:pt>
                <c:pt idx="25">
                  <c:v>2.0798673723989864</c:v>
                </c:pt>
                <c:pt idx="26">
                  <c:v>2.4816147062459413</c:v>
                </c:pt>
                <c:pt idx="27">
                  <c:v>2.5827887062459411</c:v>
                </c:pt>
                <c:pt idx="28">
                  <c:v>2.7759304959576991</c:v>
                </c:pt>
                <c:pt idx="29">
                  <c:v>3.271319908761861</c:v>
                </c:pt>
                <c:pt idx="30">
                  <c:v>3.4100556263884987</c:v>
                </c:pt>
                <c:pt idx="31">
                  <c:v>3.3533582663207091</c:v>
                </c:pt>
                <c:pt idx="32">
                  <c:v>3.6637722663207093</c:v>
                </c:pt>
                <c:pt idx="33">
                  <c:v>3.5828810223213341</c:v>
                </c:pt>
                <c:pt idx="34">
                  <c:v>3.6677649753895265</c:v>
                </c:pt>
                <c:pt idx="35">
                  <c:v>3.7549379753895264</c:v>
                </c:pt>
                <c:pt idx="36">
                  <c:v>3.7360186939689997</c:v>
                </c:pt>
                <c:pt idx="37">
                  <c:v>3.957208159114431</c:v>
                </c:pt>
                <c:pt idx="38">
                  <c:v>4.0601138616922201</c:v>
                </c:pt>
                <c:pt idx="39">
                  <c:v>4.0829655771813167</c:v>
                </c:pt>
                <c:pt idx="40">
                  <c:v>4.3000895771813168</c:v>
                </c:pt>
                <c:pt idx="41">
                  <c:v>4.4709225771813168</c:v>
                </c:pt>
                <c:pt idx="42">
                  <c:v>4.4742093508879393</c:v>
                </c:pt>
                <c:pt idx="43">
                  <c:v>4.6249783308136196</c:v>
                </c:pt>
                <c:pt idx="44">
                  <c:v>5.1020323308136195</c:v>
                </c:pt>
                <c:pt idx="45">
                  <c:v>5.3497169910439473</c:v>
                </c:pt>
                <c:pt idx="46">
                  <c:v>5.2010060345125071</c:v>
                </c:pt>
                <c:pt idx="47">
                  <c:v>5.3124973714287229</c:v>
                </c:pt>
                <c:pt idx="48">
                  <c:v>5.4806246653136119</c:v>
                </c:pt>
                <c:pt idx="49">
                  <c:v>5.5992466653136121</c:v>
                </c:pt>
                <c:pt idx="50">
                  <c:v>5.6497376653136122</c:v>
                </c:pt>
                <c:pt idx="51">
                  <c:v>6.5224408144201025</c:v>
                </c:pt>
                <c:pt idx="52">
                  <c:v>6.5180739448057192</c:v>
                </c:pt>
                <c:pt idx="53">
                  <c:v>6.5367139448057197</c:v>
                </c:pt>
                <c:pt idx="54">
                  <c:v>6.4793334068206399</c:v>
                </c:pt>
                <c:pt idx="55">
                  <c:v>6.4149629858711767</c:v>
                </c:pt>
                <c:pt idx="56">
                  <c:v>6.323978758163741</c:v>
                </c:pt>
                <c:pt idx="57">
                  <c:v>6.4716523234154604</c:v>
                </c:pt>
                <c:pt idx="58">
                  <c:v>6.6952814294855072</c:v>
                </c:pt>
                <c:pt idx="59">
                  <c:v>6.8949214294855068</c:v>
                </c:pt>
                <c:pt idx="60">
                  <c:v>6.8600914294855064</c:v>
                </c:pt>
                <c:pt idx="61">
                  <c:v>6.9661983496366728</c:v>
                </c:pt>
                <c:pt idx="62">
                  <c:v>7.0509812894756614</c:v>
                </c:pt>
                <c:pt idx="63">
                  <c:v>7.1598922894756614</c:v>
                </c:pt>
                <c:pt idx="64">
                  <c:v>6.9987825983800196</c:v>
                </c:pt>
                <c:pt idx="65">
                  <c:v>7.03057559838002</c:v>
                </c:pt>
                <c:pt idx="66">
                  <c:v>6.9664059650499048</c:v>
                </c:pt>
                <c:pt idx="67">
                  <c:v>7.0653268542351464</c:v>
                </c:pt>
                <c:pt idx="68">
                  <c:v>6.9437058177055402</c:v>
                </c:pt>
                <c:pt idx="69">
                  <c:v>7.22042381770554</c:v>
                </c:pt>
                <c:pt idx="70">
                  <c:v>7.2291728177055399</c:v>
                </c:pt>
                <c:pt idx="71">
                  <c:v>7.1829141119648767</c:v>
                </c:pt>
                <c:pt idx="72">
                  <c:v>7.3339415573872957</c:v>
                </c:pt>
                <c:pt idx="73">
                  <c:v>7.2299915573872955</c:v>
                </c:pt>
                <c:pt idx="74">
                  <c:v>7.3483997884375976</c:v>
                </c:pt>
                <c:pt idx="75">
                  <c:v>7.6072926872875941</c:v>
                </c:pt>
                <c:pt idx="76">
                  <c:v>7.7225143680610087</c:v>
                </c:pt>
                <c:pt idx="77">
                  <c:v>8.362213368061008</c:v>
                </c:pt>
                <c:pt idx="78">
                  <c:v>8.1797433680610077</c:v>
                </c:pt>
                <c:pt idx="79">
                  <c:v>8.3240496788032026</c:v>
                </c:pt>
                <c:pt idx="80">
                  <c:v>8.4896146788032034</c:v>
                </c:pt>
                <c:pt idx="81">
                  <c:v>8.7113360410485914</c:v>
                </c:pt>
                <c:pt idx="82">
                  <c:v>9.2313050071225131</c:v>
                </c:pt>
                <c:pt idx="83">
                  <c:v>9.5855823039650154</c:v>
                </c:pt>
                <c:pt idx="84">
                  <c:v>9.2571304832557502</c:v>
                </c:pt>
                <c:pt idx="85">
                  <c:v>8.9569435896654941</c:v>
                </c:pt>
                <c:pt idx="86">
                  <c:v>9.280002854993878</c:v>
                </c:pt>
                <c:pt idx="87">
                  <c:v>9.4217581883664181</c:v>
                </c:pt>
                <c:pt idx="88">
                  <c:v>10.058198188366418</c:v>
                </c:pt>
                <c:pt idx="89">
                  <c:v>10.667875385633494</c:v>
                </c:pt>
                <c:pt idx="90">
                  <c:v>11.120349385633494</c:v>
                </c:pt>
                <c:pt idx="91">
                  <c:v>11.280693590448337</c:v>
                </c:pt>
                <c:pt idx="92">
                  <c:v>11.120503943820836</c:v>
                </c:pt>
                <c:pt idx="93">
                  <c:v>11.258291399869538</c:v>
                </c:pt>
                <c:pt idx="94">
                  <c:v>11.366265635808565</c:v>
                </c:pt>
                <c:pt idx="95">
                  <c:v>11.246723635808566</c:v>
                </c:pt>
                <c:pt idx="96">
                  <c:v>11.29945268062222</c:v>
                </c:pt>
                <c:pt idx="97">
                  <c:v>11.482316775529444</c:v>
                </c:pt>
                <c:pt idx="98">
                  <c:v>11.247323560256598</c:v>
                </c:pt>
                <c:pt idx="99">
                  <c:v>11.302530753965286</c:v>
                </c:pt>
                <c:pt idx="100">
                  <c:v>11.623678753965287</c:v>
                </c:pt>
                <c:pt idx="101">
                  <c:v>11.735885382409855</c:v>
                </c:pt>
                <c:pt idx="102">
                  <c:v>11.769865382409854</c:v>
                </c:pt>
                <c:pt idx="103">
                  <c:v>11.753365382409854</c:v>
                </c:pt>
                <c:pt idx="104">
                  <c:v>11.944541140580389</c:v>
                </c:pt>
                <c:pt idx="105">
                  <c:v>11.748696418397948</c:v>
                </c:pt>
                <c:pt idx="106">
                  <c:v>11.880282009693481</c:v>
                </c:pt>
                <c:pt idx="107">
                  <c:v>12.40587000969348</c:v>
                </c:pt>
                <c:pt idx="108">
                  <c:v>12.52541500969348</c:v>
                </c:pt>
                <c:pt idx="109">
                  <c:v>12.791220009693481</c:v>
                </c:pt>
                <c:pt idx="110">
                  <c:v>12.82840500969348</c:v>
                </c:pt>
                <c:pt idx="111">
                  <c:v>13.057774884224569</c:v>
                </c:pt>
                <c:pt idx="112">
                  <c:v>13.177453884224569</c:v>
                </c:pt>
                <c:pt idx="113">
                  <c:v>13.238814397439986</c:v>
                </c:pt>
                <c:pt idx="114">
                  <c:v>13.238404397439986</c:v>
                </c:pt>
                <c:pt idx="115">
                  <c:v>13.471738968214682</c:v>
                </c:pt>
                <c:pt idx="116">
                  <c:v>13.587353968214682</c:v>
                </c:pt>
                <c:pt idx="117">
                  <c:v>13.810925791698379</c:v>
                </c:pt>
                <c:pt idx="118">
                  <c:v>14.169997093795027</c:v>
                </c:pt>
                <c:pt idx="119">
                  <c:v>14.149481463582998</c:v>
                </c:pt>
                <c:pt idx="120">
                  <c:v>14.082115463582998</c:v>
                </c:pt>
                <c:pt idx="121">
                  <c:v>14.052679737194135</c:v>
                </c:pt>
                <c:pt idx="122">
                  <c:v>14.030897737194135</c:v>
                </c:pt>
                <c:pt idx="123">
                  <c:v>14.189122435837948</c:v>
                </c:pt>
                <c:pt idx="124">
                  <c:v>14.290305435837949</c:v>
                </c:pt>
                <c:pt idx="125">
                  <c:v>14.601898563630453</c:v>
                </c:pt>
                <c:pt idx="126">
                  <c:v>14.598658563630453</c:v>
                </c:pt>
                <c:pt idx="127">
                  <c:v>14.165148563630453</c:v>
                </c:pt>
                <c:pt idx="128">
                  <c:v>14.141977061783779</c:v>
                </c:pt>
                <c:pt idx="129">
                  <c:v>14.73167497878287</c:v>
                </c:pt>
                <c:pt idx="130">
                  <c:v>14.717365060012192</c:v>
                </c:pt>
                <c:pt idx="131">
                  <c:v>14.773537905310555</c:v>
                </c:pt>
                <c:pt idx="132">
                  <c:v>14.881019905310554</c:v>
                </c:pt>
                <c:pt idx="133">
                  <c:v>15.015104905310555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20-CC40-A5C6-CB614070F43C}"/>
            </c:ext>
          </c:extLst>
        </c:ser>
        <c:ser>
          <c:idx val="13"/>
          <c:order val="13"/>
          <c:tx>
            <c:strRef>
              <c:f>真實畫圖!$B$25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真實畫圖!$C$11:$EF$11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真實畫圖!$C$25:$EF$25</c:f>
              <c:numCache>
                <c:formatCode>General</c:formatCode>
                <c:ptCount val="134"/>
                <c:pt idx="0">
                  <c:v>-1.745E-2</c:v>
                </c:pt>
                <c:pt idx="1">
                  <c:v>3.2510000000000004E-3</c:v>
                </c:pt>
                <c:pt idx="2">
                  <c:v>2.7233E-2</c:v>
                </c:pt>
                <c:pt idx="3">
                  <c:v>2.0673E-2</c:v>
                </c:pt>
                <c:pt idx="4">
                  <c:v>5.2517999999999995E-2</c:v>
                </c:pt>
                <c:pt idx="5">
                  <c:v>8.6867E-2</c:v>
                </c:pt>
                <c:pt idx="6">
                  <c:v>7.8616999999999992E-2</c:v>
                </c:pt>
                <c:pt idx="7">
                  <c:v>9.1460999999999987E-2</c:v>
                </c:pt>
                <c:pt idx="8">
                  <c:v>4.0440999999999984E-2</c:v>
                </c:pt>
                <c:pt idx="9">
                  <c:v>4.1314999999999984E-2</c:v>
                </c:pt>
                <c:pt idx="10">
                  <c:v>6.4704999999999985E-2</c:v>
                </c:pt>
                <c:pt idx="11">
                  <c:v>7.7693999999999985E-2</c:v>
                </c:pt>
                <c:pt idx="12">
                  <c:v>8.3548999999999984E-2</c:v>
                </c:pt>
                <c:pt idx="13">
                  <c:v>0.11096199999999998</c:v>
                </c:pt>
                <c:pt idx="14">
                  <c:v>0.10725199999999997</c:v>
                </c:pt>
                <c:pt idx="15">
                  <c:v>0.13132899999999997</c:v>
                </c:pt>
                <c:pt idx="16">
                  <c:v>0.11913899999999997</c:v>
                </c:pt>
                <c:pt idx="17">
                  <c:v>7.938899999999996E-2</c:v>
                </c:pt>
                <c:pt idx="18">
                  <c:v>6.2289999999999568E-3</c:v>
                </c:pt>
                <c:pt idx="19">
                  <c:v>-5.2031000000000042E-2</c:v>
                </c:pt>
                <c:pt idx="20">
                  <c:v>-5.125800000000004E-2</c:v>
                </c:pt>
                <c:pt idx="21">
                  <c:v>-6.6660000000000399E-3</c:v>
                </c:pt>
                <c:pt idx="22">
                  <c:v>-3.4366000000000035E-2</c:v>
                </c:pt>
                <c:pt idx="23">
                  <c:v>-3.2271000000000036E-2</c:v>
                </c:pt>
                <c:pt idx="24">
                  <c:v>-5.567100000000004E-2</c:v>
                </c:pt>
                <c:pt idx="25">
                  <c:v>-2.3542000000000042E-2</c:v>
                </c:pt>
                <c:pt idx="26">
                  <c:v>1.5360999999999958E-2</c:v>
                </c:pt>
                <c:pt idx="27">
                  <c:v>-2.750900000000004E-2</c:v>
                </c:pt>
                <c:pt idx="28">
                  <c:v>-8.86200000000004E-3</c:v>
                </c:pt>
                <c:pt idx="29">
                  <c:v>6.3679999999999605E-3</c:v>
                </c:pt>
                <c:pt idx="30">
                  <c:v>4.2384999999999964E-2</c:v>
                </c:pt>
                <c:pt idx="31">
                  <c:v>5.1739999999999967E-2</c:v>
                </c:pt>
                <c:pt idx="32">
                  <c:v>6.2487999999999967E-2</c:v>
                </c:pt>
                <c:pt idx="33">
                  <c:v>7.5845999999999969E-2</c:v>
                </c:pt>
                <c:pt idx="34">
                  <c:v>7.0515999999999968E-2</c:v>
                </c:pt>
                <c:pt idx="35">
                  <c:v>7.1898999999999963E-2</c:v>
                </c:pt>
                <c:pt idx="36">
                  <c:v>9.2694999999999958E-2</c:v>
                </c:pt>
                <c:pt idx="37">
                  <c:v>0.12421299999999996</c:v>
                </c:pt>
                <c:pt idx="38">
                  <c:v>0.13045499999999996</c:v>
                </c:pt>
                <c:pt idx="39">
                  <c:v>0.13659999999999997</c:v>
                </c:pt>
                <c:pt idx="40">
                  <c:v>0.15354599999999996</c:v>
                </c:pt>
                <c:pt idx="41">
                  <c:v>0.18822899999999995</c:v>
                </c:pt>
                <c:pt idx="42">
                  <c:v>0.19132799999999994</c:v>
                </c:pt>
                <c:pt idx="43">
                  <c:v>0.20640899999999995</c:v>
                </c:pt>
                <c:pt idx="44">
                  <c:v>0.18715899999999996</c:v>
                </c:pt>
                <c:pt idx="45">
                  <c:v>0.22587099999999996</c:v>
                </c:pt>
                <c:pt idx="46">
                  <c:v>0.20401099999999997</c:v>
                </c:pt>
                <c:pt idx="47">
                  <c:v>0.21178499999999997</c:v>
                </c:pt>
                <c:pt idx="48">
                  <c:v>0.25418199999999996</c:v>
                </c:pt>
                <c:pt idx="49">
                  <c:v>0.22787199999999996</c:v>
                </c:pt>
                <c:pt idx="50">
                  <c:v>0.23744399999999996</c:v>
                </c:pt>
                <c:pt idx="51">
                  <c:v>0.21319399999999997</c:v>
                </c:pt>
                <c:pt idx="52">
                  <c:v>0.23335699999999998</c:v>
                </c:pt>
                <c:pt idx="53">
                  <c:v>0.22985699999999998</c:v>
                </c:pt>
                <c:pt idx="54">
                  <c:v>0.25000899999999998</c:v>
                </c:pt>
                <c:pt idx="55">
                  <c:v>0.25058999999999998</c:v>
                </c:pt>
                <c:pt idx="56">
                  <c:v>0.24536999999999998</c:v>
                </c:pt>
                <c:pt idx="57">
                  <c:v>0.12949999999999998</c:v>
                </c:pt>
                <c:pt idx="58">
                  <c:v>0.13822499999999999</c:v>
                </c:pt>
                <c:pt idx="59">
                  <c:v>0.12184499999999998</c:v>
                </c:pt>
                <c:pt idx="60">
                  <c:v>0.14268499999999998</c:v>
                </c:pt>
                <c:pt idx="61">
                  <c:v>0.18766099999999997</c:v>
                </c:pt>
                <c:pt idx="62">
                  <c:v>0.21161499999999997</c:v>
                </c:pt>
                <c:pt idx="63">
                  <c:v>0.24185399999999996</c:v>
                </c:pt>
                <c:pt idx="64">
                  <c:v>0.19812399999999997</c:v>
                </c:pt>
                <c:pt idx="65">
                  <c:v>0.22001299999999996</c:v>
                </c:pt>
                <c:pt idx="66">
                  <c:v>0.22863999999999995</c:v>
                </c:pt>
                <c:pt idx="67">
                  <c:v>0.20944999999999997</c:v>
                </c:pt>
                <c:pt idx="68">
                  <c:v>0.22918499999999997</c:v>
                </c:pt>
                <c:pt idx="69">
                  <c:v>0.27687899999999999</c:v>
                </c:pt>
                <c:pt idx="70">
                  <c:v>0.28833399999999998</c:v>
                </c:pt>
                <c:pt idx="71">
                  <c:v>0.331563</c:v>
                </c:pt>
                <c:pt idx="72">
                  <c:v>0.28881299999999999</c:v>
                </c:pt>
                <c:pt idx="73">
                  <c:v>0.27100299999999999</c:v>
                </c:pt>
                <c:pt idx="74">
                  <c:v>0.11985299999999999</c:v>
                </c:pt>
                <c:pt idx="75">
                  <c:v>0.24407699999999999</c:v>
                </c:pt>
                <c:pt idx="76">
                  <c:v>0.23951699999999998</c:v>
                </c:pt>
                <c:pt idx="77">
                  <c:v>0.29972799999999999</c:v>
                </c:pt>
                <c:pt idx="78">
                  <c:v>0.38572000000000001</c:v>
                </c:pt>
                <c:pt idx="79">
                  <c:v>0.37991000000000003</c:v>
                </c:pt>
                <c:pt idx="80">
                  <c:v>0.37387000000000004</c:v>
                </c:pt>
                <c:pt idx="81">
                  <c:v>0.37632200000000005</c:v>
                </c:pt>
                <c:pt idx="82">
                  <c:v>0.46595800000000004</c:v>
                </c:pt>
                <c:pt idx="83">
                  <c:v>0.53695100000000007</c:v>
                </c:pt>
                <c:pt idx="84">
                  <c:v>0.56412200000000001</c:v>
                </c:pt>
                <c:pt idx="85">
                  <c:v>0.61658999999999997</c:v>
                </c:pt>
                <c:pt idx="86">
                  <c:v>0.64607099999999995</c:v>
                </c:pt>
                <c:pt idx="87">
                  <c:v>0.71289599999999997</c:v>
                </c:pt>
                <c:pt idx="88">
                  <c:v>0.68412600000000001</c:v>
                </c:pt>
                <c:pt idx="89">
                  <c:v>0.72358900000000004</c:v>
                </c:pt>
                <c:pt idx="90">
                  <c:v>0.69455900000000004</c:v>
                </c:pt>
                <c:pt idx="91">
                  <c:v>0.70854300000000003</c:v>
                </c:pt>
                <c:pt idx="92">
                  <c:v>0.67626300000000006</c:v>
                </c:pt>
                <c:pt idx="93">
                  <c:v>0.67936700000000005</c:v>
                </c:pt>
                <c:pt idx="94">
                  <c:v>0.704959</c:v>
                </c:pt>
                <c:pt idx="95">
                  <c:v>0.74935099999999999</c:v>
                </c:pt>
                <c:pt idx="96">
                  <c:v>0.71901099999999996</c:v>
                </c:pt>
                <c:pt idx="97">
                  <c:v>0.71775099999999992</c:v>
                </c:pt>
                <c:pt idx="98">
                  <c:v>0.72008699999999992</c:v>
                </c:pt>
                <c:pt idx="99">
                  <c:v>0.65582699999999994</c:v>
                </c:pt>
                <c:pt idx="100">
                  <c:v>0.66873699999999991</c:v>
                </c:pt>
                <c:pt idx="101">
                  <c:v>0.54325699999999988</c:v>
                </c:pt>
                <c:pt idx="102">
                  <c:v>0.55494799999999989</c:v>
                </c:pt>
                <c:pt idx="103">
                  <c:v>0.56128599999999984</c:v>
                </c:pt>
                <c:pt idx="104">
                  <c:v>0.44397599999999982</c:v>
                </c:pt>
                <c:pt idx="105">
                  <c:v>0.40796599999999983</c:v>
                </c:pt>
                <c:pt idx="106">
                  <c:v>0.54687699999999984</c:v>
                </c:pt>
                <c:pt idx="107">
                  <c:v>0.49573699999999982</c:v>
                </c:pt>
                <c:pt idx="108">
                  <c:v>0.57246799999999975</c:v>
                </c:pt>
                <c:pt idx="109">
                  <c:v>0.58797699999999975</c:v>
                </c:pt>
                <c:pt idx="110">
                  <c:v>0.61120099999999977</c:v>
                </c:pt>
                <c:pt idx="111">
                  <c:v>0.59283099999999977</c:v>
                </c:pt>
                <c:pt idx="112">
                  <c:v>0.65502999999999978</c:v>
                </c:pt>
                <c:pt idx="113">
                  <c:v>0.67512799999999973</c:v>
                </c:pt>
                <c:pt idx="114">
                  <c:v>0.68862699999999977</c:v>
                </c:pt>
                <c:pt idx="115">
                  <c:v>0.65837699999999977</c:v>
                </c:pt>
                <c:pt idx="116">
                  <c:v>0.64135699999999973</c:v>
                </c:pt>
                <c:pt idx="117">
                  <c:v>0.61956699999999976</c:v>
                </c:pt>
                <c:pt idx="118">
                  <c:v>0.70531299999999975</c:v>
                </c:pt>
                <c:pt idx="119">
                  <c:v>0.73341999999999974</c:v>
                </c:pt>
                <c:pt idx="120">
                  <c:v>0.73111999999999977</c:v>
                </c:pt>
                <c:pt idx="121">
                  <c:v>0.78959099999999982</c:v>
                </c:pt>
                <c:pt idx="122">
                  <c:v>0.85724999999999985</c:v>
                </c:pt>
                <c:pt idx="123">
                  <c:v>0.8622709999999999</c:v>
                </c:pt>
                <c:pt idx="124">
                  <c:v>0.8996869999999999</c:v>
                </c:pt>
                <c:pt idx="125">
                  <c:v>0.98379799999999995</c:v>
                </c:pt>
                <c:pt idx="126">
                  <c:v>0.94696799999999992</c:v>
                </c:pt>
                <c:pt idx="127">
                  <c:v>0.9500599999999999</c:v>
                </c:pt>
                <c:pt idx="128">
                  <c:v>0.94809999999999994</c:v>
                </c:pt>
                <c:pt idx="129">
                  <c:v>0.97455899999999995</c:v>
                </c:pt>
                <c:pt idx="130">
                  <c:v>0.9498089999999999</c:v>
                </c:pt>
                <c:pt idx="131">
                  <c:v>0.98392399999999991</c:v>
                </c:pt>
                <c:pt idx="132">
                  <c:v>1.0049859999999999</c:v>
                </c:pt>
                <c:pt idx="133">
                  <c:v>0.98470860729399401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20-CC40-A5C6-CB614070F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45104"/>
        <c:axId val="92007808"/>
      </c:lineChart>
      <c:catAx>
        <c:axId val="920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007808"/>
        <c:crosses val="autoZero"/>
        <c:auto val="1"/>
        <c:lblAlgn val="ctr"/>
        <c:lblOffset val="100"/>
        <c:noMultiLvlLbl val="0"/>
      </c:catAx>
      <c:valAx>
        <c:axId val="920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20451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0.20905084067857849</c:v>
                </c:pt>
                <c:pt idx="2">
                  <c:v>0.26711705639855698</c:v>
                </c:pt>
                <c:pt idx="3">
                  <c:v>0.33802414732451469</c:v>
                </c:pt>
                <c:pt idx="4">
                  <c:v>0.38077060488784897</c:v>
                </c:pt>
                <c:pt idx="5">
                  <c:v>0.43397268872304995</c:v>
                </c:pt>
                <c:pt idx="6">
                  <c:v>0.48603154265771709</c:v>
                </c:pt>
                <c:pt idx="7">
                  <c:v>0.55109680775457703</c:v>
                </c:pt>
                <c:pt idx="8">
                  <c:v>0.59637021848450433</c:v>
                </c:pt>
                <c:pt idx="9">
                  <c:v>0.66324318129706317</c:v>
                </c:pt>
                <c:pt idx="10">
                  <c:v>0.70796641632585589</c:v>
                </c:pt>
                <c:pt idx="11">
                  <c:v>0.82637417707887417</c:v>
                </c:pt>
                <c:pt idx="12">
                  <c:v>0.87735697219866049</c:v>
                </c:pt>
                <c:pt idx="13">
                  <c:v>0.91757074929428994</c:v>
                </c:pt>
                <c:pt idx="14">
                  <c:v>0.98237080366175933</c:v>
                </c:pt>
                <c:pt idx="15">
                  <c:v>1.008929628873684</c:v>
                </c:pt>
                <c:pt idx="16">
                  <c:v>1.1516719079939821</c:v>
                </c:pt>
                <c:pt idx="17">
                  <c:v>1.2546675285544722</c:v>
                </c:pt>
                <c:pt idx="18">
                  <c:v>1.3005888393825238</c:v>
                </c:pt>
                <c:pt idx="19">
                  <c:v>1.4041843336610551</c:v>
                </c:pt>
                <c:pt idx="20">
                  <c:v>1.5581474469067573</c:v>
                </c:pt>
                <c:pt idx="21">
                  <c:v>1.838624655042882</c:v>
                </c:pt>
                <c:pt idx="22">
                  <c:v>1.8862805566280478</c:v>
                </c:pt>
                <c:pt idx="23">
                  <c:v>2.0699163567228491</c:v>
                </c:pt>
                <c:pt idx="24">
                  <c:v>2.1525538369949064</c:v>
                </c:pt>
                <c:pt idx="25">
                  <c:v>2.2619131255659095</c:v>
                </c:pt>
                <c:pt idx="26">
                  <c:v>2.4144824108257548</c:v>
                </c:pt>
                <c:pt idx="27">
                  <c:v>2.4465511584931803</c:v>
                </c:pt>
                <c:pt idx="28">
                  <c:v>2.6066011246695524</c:v>
                </c:pt>
                <c:pt idx="29">
                  <c:v>2.7941880330406712</c:v>
                </c:pt>
                <c:pt idx="30">
                  <c:v>2.9079459285493052</c:v>
                </c:pt>
                <c:pt idx="31">
                  <c:v>2.9603350882487667</c:v>
                </c:pt>
                <c:pt idx="32">
                  <c:v>3.0524008330313235</c:v>
                </c:pt>
                <c:pt idx="33">
                  <c:v>3.1050161824028235</c:v>
                </c:pt>
                <c:pt idx="34">
                  <c:v>3.3025647667045019</c:v>
                </c:pt>
                <c:pt idx="35">
                  <c:v>3.4493048585325337</c:v>
                </c:pt>
                <c:pt idx="36">
                  <c:v>3.5831671589020377</c:v>
                </c:pt>
                <c:pt idx="37">
                  <c:v>3.9004746447119132</c:v>
                </c:pt>
                <c:pt idx="38">
                  <c:v>3.9739595693641752</c:v>
                </c:pt>
                <c:pt idx="39">
                  <c:v>4.1416732530549742</c:v>
                </c:pt>
                <c:pt idx="40">
                  <c:v>4.1760280927226106</c:v>
                </c:pt>
                <c:pt idx="41">
                  <c:v>4.2148708946239761</c:v>
                </c:pt>
                <c:pt idx="42">
                  <c:v>4.3190445788073362</c:v>
                </c:pt>
                <c:pt idx="43">
                  <c:v>4.7030550359239784</c:v>
                </c:pt>
                <c:pt idx="44">
                  <c:v>5.0646868250747366</c:v>
                </c:pt>
                <c:pt idx="45">
                  <c:v>5.3904553026191255</c:v>
                </c:pt>
                <c:pt idx="46">
                  <c:v>5.5001775334688201</c:v>
                </c:pt>
                <c:pt idx="47">
                  <c:v>5.7907095463307039</c:v>
                </c:pt>
                <c:pt idx="48">
                  <c:v>5.9601736931968334</c:v>
                </c:pt>
                <c:pt idx="49">
                  <c:v>6.4234724349542116</c:v>
                </c:pt>
                <c:pt idx="50">
                  <c:v>6.952590098735306</c:v>
                </c:pt>
                <c:pt idx="51">
                  <c:v>7.1835067103662364</c:v>
                </c:pt>
                <c:pt idx="52">
                  <c:v>7.4019324121257402</c:v>
                </c:pt>
                <c:pt idx="53">
                  <c:v>7.8155927149036923</c:v>
                </c:pt>
                <c:pt idx="54">
                  <c:v>8.1273874037988225</c:v>
                </c:pt>
                <c:pt idx="55">
                  <c:v>8.7445534946455403</c:v>
                </c:pt>
                <c:pt idx="56">
                  <c:v>9.2001869286311795</c:v>
                </c:pt>
                <c:pt idx="57">
                  <c:v>9.5580052941158922</c:v>
                </c:pt>
                <c:pt idx="58">
                  <c:v>10.086129948435403</c:v>
                </c:pt>
                <c:pt idx="59">
                  <c:v>10.567522622744754</c:v>
                </c:pt>
                <c:pt idx="60">
                  <c:v>10.799750158503512</c:v>
                </c:pt>
                <c:pt idx="61">
                  <c:v>11.178865491267342</c:v>
                </c:pt>
                <c:pt idx="62">
                  <c:v>11.791531656523039</c:v>
                </c:pt>
                <c:pt idx="63">
                  <c:v>12.040995304771466</c:v>
                </c:pt>
                <c:pt idx="64">
                  <c:v>12.357191322981084</c:v>
                </c:pt>
                <c:pt idx="65">
                  <c:v>12.710121710712551</c:v>
                </c:pt>
                <c:pt idx="66">
                  <c:v>12.900647839368867</c:v>
                </c:pt>
                <c:pt idx="67">
                  <c:v>13.855533592342022</c:v>
                </c:pt>
                <c:pt idx="68">
                  <c:v>14.340460619686487</c:v>
                </c:pt>
                <c:pt idx="69">
                  <c:v>14.667031061898275</c:v>
                </c:pt>
                <c:pt idx="70">
                  <c:v>15.420352017214093</c:v>
                </c:pt>
                <c:pt idx="71">
                  <c:v>16.114643730133874</c:v>
                </c:pt>
                <c:pt idx="72">
                  <c:v>16.875851805923247</c:v>
                </c:pt>
                <c:pt idx="73">
                  <c:v>17.161585007392816</c:v>
                </c:pt>
                <c:pt idx="74">
                  <c:v>18.231845692799265</c:v>
                </c:pt>
                <c:pt idx="75">
                  <c:v>19.104143473430504</c:v>
                </c:pt>
                <c:pt idx="76">
                  <c:v>19.795731787658397</c:v>
                </c:pt>
                <c:pt idx="77">
                  <c:v>21.302917395901162</c:v>
                </c:pt>
                <c:pt idx="78">
                  <c:v>22.76523140716904</c:v>
                </c:pt>
                <c:pt idx="79">
                  <c:v>25.401594880141651</c:v>
                </c:pt>
                <c:pt idx="80">
                  <c:v>29.467629428096828</c:v>
                </c:pt>
                <c:pt idx="81">
                  <c:v>30.313641869661403</c:v>
                </c:pt>
                <c:pt idx="82">
                  <c:v>31.856714260012822</c:v>
                </c:pt>
                <c:pt idx="83">
                  <c:v>33.936457937645081</c:v>
                </c:pt>
                <c:pt idx="84">
                  <c:v>35.147212763924813</c:v>
                </c:pt>
                <c:pt idx="85">
                  <c:v>37.103502337470069</c:v>
                </c:pt>
                <c:pt idx="86">
                  <c:v>39.241163712328579</c:v>
                </c:pt>
                <c:pt idx="87">
                  <c:v>43.990249101171308</c:v>
                </c:pt>
                <c:pt idx="88">
                  <c:v>47.216435190733222</c:v>
                </c:pt>
                <c:pt idx="89">
                  <c:v>50.99974761464793</c:v>
                </c:pt>
                <c:pt idx="90">
                  <c:v>54.706906038294889</c:v>
                </c:pt>
                <c:pt idx="91">
                  <c:v>57.230374370811269</c:v>
                </c:pt>
                <c:pt idx="92">
                  <c:v>60.880507364019266</c:v>
                </c:pt>
                <c:pt idx="93">
                  <c:v>64.41759633089103</c:v>
                </c:pt>
                <c:pt idx="94">
                  <c:v>64.481612263299169</c:v>
                </c:pt>
                <c:pt idx="95">
                  <c:v>66.584486031122253</c:v>
                </c:pt>
                <c:pt idx="96">
                  <c:v>71.638422083251996</c:v>
                </c:pt>
                <c:pt idx="97">
                  <c:v>76.362338849955322</c:v>
                </c:pt>
                <c:pt idx="98">
                  <c:v>77.370886083895684</c:v>
                </c:pt>
                <c:pt idx="99">
                  <c:v>82.15071722047243</c:v>
                </c:pt>
                <c:pt idx="100">
                  <c:v>85.981691631912213</c:v>
                </c:pt>
                <c:pt idx="101">
                  <c:v>92.748199859885432</c:v>
                </c:pt>
                <c:pt idx="102">
                  <c:v>96.214869621491701</c:v>
                </c:pt>
                <c:pt idx="103">
                  <c:v>104.86522897298279</c:v>
                </c:pt>
                <c:pt idx="104">
                  <c:v>108.46180987426642</c:v>
                </c:pt>
                <c:pt idx="105">
                  <c:v>116.11981783013903</c:v>
                </c:pt>
                <c:pt idx="106">
                  <c:v>119.01708623758172</c:v>
                </c:pt>
                <c:pt idx="107">
                  <c:v>125.67636678633998</c:v>
                </c:pt>
                <c:pt idx="108">
                  <c:v>131.55541432980303</c:v>
                </c:pt>
                <c:pt idx="109">
                  <c:v>139.66719952192352</c:v>
                </c:pt>
                <c:pt idx="110">
                  <c:v>148.07192549144227</c:v>
                </c:pt>
                <c:pt idx="111">
                  <c:v>154.24023002493041</c:v>
                </c:pt>
                <c:pt idx="112">
                  <c:v>159.196772430881</c:v>
                </c:pt>
                <c:pt idx="113">
                  <c:v>162.18761947277872</c:v>
                </c:pt>
                <c:pt idx="114">
                  <c:v>165.32696000096769</c:v>
                </c:pt>
                <c:pt idx="115">
                  <c:v>172.38094714816211</c:v>
                </c:pt>
                <c:pt idx="116">
                  <c:v>177.67899390145681</c:v>
                </c:pt>
                <c:pt idx="117">
                  <c:v>188.29407967383986</c:v>
                </c:pt>
                <c:pt idx="118">
                  <c:v>202.4041829369481</c:v>
                </c:pt>
                <c:pt idx="119">
                  <c:v>206.22389855111112</c:v>
                </c:pt>
                <c:pt idx="120">
                  <c:v>220.65725246767687</c:v>
                </c:pt>
                <c:pt idx="121">
                  <c:v>226.15742041160809</c:v>
                </c:pt>
                <c:pt idx="122">
                  <c:v>239.15769163867327</c:v>
                </c:pt>
                <c:pt idx="123">
                  <c:v>250.81754557235146</c:v>
                </c:pt>
                <c:pt idx="124">
                  <c:v>262.14116416837334</c:v>
                </c:pt>
                <c:pt idx="125">
                  <c:v>275.33824102775634</c:v>
                </c:pt>
                <c:pt idx="126">
                  <c:v>290.02432320287681</c:v>
                </c:pt>
                <c:pt idx="127">
                  <c:v>291.83648619091059</c:v>
                </c:pt>
                <c:pt idx="128">
                  <c:v>324.96421158990034</c:v>
                </c:pt>
                <c:pt idx="129">
                  <c:v>334.91452236349738</c:v>
                </c:pt>
                <c:pt idx="130">
                  <c:v>343.86715147421683</c:v>
                </c:pt>
                <c:pt idx="131">
                  <c:v>364.73442577424538</c:v>
                </c:pt>
                <c:pt idx="132">
                  <c:v>374.42883390623524</c:v>
                </c:pt>
                <c:pt idx="133">
                  <c:v>385.40389361506294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B-164F-BD5D-780B794613D3}"/>
            </c:ext>
          </c:extLst>
        </c:ser>
        <c:ser>
          <c:idx val="1"/>
          <c:order val="1"/>
          <c:tx>
            <c:strRef>
              <c:f>真實再投資累積報酬!$A$13:$B$13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0.2407417420762652</c:v>
                </c:pt>
                <c:pt idx="2">
                  <c:v>0.32742156280246348</c:v>
                </c:pt>
                <c:pt idx="3">
                  <c:v>0.40704897181227495</c:v>
                </c:pt>
                <c:pt idx="4">
                  <c:v>0.42400025964574595</c:v>
                </c:pt>
                <c:pt idx="5">
                  <c:v>0.46670653176594712</c:v>
                </c:pt>
                <c:pt idx="6">
                  <c:v>0.51464270038245075</c:v>
                </c:pt>
                <c:pt idx="7">
                  <c:v>0.56697344205327549</c:v>
                </c:pt>
                <c:pt idx="8">
                  <c:v>0.66150290008448631</c:v>
                </c:pt>
                <c:pt idx="9">
                  <c:v>0.67151362813071391</c:v>
                </c:pt>
                <c:pt idx="10">
                  <c:v>0.67699578870245447</c:v>
                </c:pt>
                <c:pt idx="11">
                  <c:v>0.84437125319912099</c:v>
                </c:pt>
                <c:pt idx="12">
                  <c:v>0.87650517803918371</c:v>
                </c:pt>
                <c:pt idx="13">
                  <c:v>0.91564328339682444</c:v>
                </c:pt>
                <c:pt idx="14">
                  <c:v>1.0003497042686011</c:v>
                </c:pt>
                <c:pt idx="15">
                  <c:v>1.0133317941700417</c:v>
                </c:pt>
                <c:pt idx="16">
                  <c:v>1.2608010716304756</c:v>
                </c:pt>
                <c:pt idx="17">
                  <c:v>1.4286295626636822</c:v>
                </c:pt>
                <c:pt idx="18">
                  <c:v>1.5601667506555867</c:v>
                </c:pt>
                <c:pt idx="19">
                  <c:v>1.6952916832962481</c:v>
                </c:pt>
                <c:pt idx="20">
                  <c:v>1.898722585271007</c:v>
                </c:pt>
                <c:pt idx="21">
                  <c:v>2.2498383903453703</c:v>
                </c:pt>
                <c:pt idx="22">
                  <c:v>2.3358677326898292</c:v>
                </c:pt>
                <c:pt idx="23">
                  <c:v>2.5974812742108777</c:v>
                </c:pt>
                <c:pt idx="24">
                  <c:v>2.7691266335536882</c:v>
                </c:pt>
                <c:pt idx="25">
                  <c:v>2.9450627562200533</c:v>
                </c:pt>
                <c:pt idx="26">
                  <c:v>3.2084813045662894</c:v>
                </c:pt>
                <c:pt idx="27">
                  <c:v>3.2991449680173366</c:v>
                </c:pt>
                <c:pt idx="28">
                  <c:v>3.6304861614163295</c:v>
                </c:pt>
                <c:pt idx="29">
                  <c:v>3.9698135625243491</c:v>
                </c:pt>
                <c:pt idx="30">
                  <c:v>4.127266117636057</c:v>
                </c:pt>
                <c:pt idx="31">
                  <c:v>4.1766998296474647</c:v>
                </c:pt>
                <c:pt idx="32">
                  <c:v>4.2797681389515718</c:v>
                </c:pt>
                <c:pt idx="33">
                  <c:v>4.1938110322203164</c:v>
                </c:pt>
                <c:pt idx="34">
                  <c:v>4.5365397817694939</c:v>
                </c:pt>
                <c:pt idx="35">
                  <c:v>4.6613893305712901</c:v>
                </c:pt>
                <c:pt idx="36">
                  <c:v>4.9234122626034615</c:v>
                </c:pt>
                <c:pt idx="37">
                  <c:v>5.5473266868013891</c:v>
                </c:pt>
                <c:pt idx="38">
                  <c:v>5.5361383092732348</c:v>
                </c:pt>
                <c:pt idx="39">
                  <c:v>5.9253708383127028</c:v>
                </c:pt>
                <c:pt idx="40">
                  <c:v>6.0021170765500891</c:v>
                </c:pt>
                <c:pt idx="41">
                  <c:v>5.9373445760432189</c:v>
                </c:pt>
                <c:pt idx="42">
                  <c:v>6.0997128729210086</c:v>
                </c:pt>
                <c:pt idx="43">
                  <c:v>6.7132907531279011</c:v>
                </c:pt>
                <c:pt idx="44">
                  <c:v>7.3055479096225167</c:v>
                </c:pt>
                <c:pt idx="45">
                  <c:v>7.9672174871377059</c:v>
                </c:pt>
                <c:pt idx="46">
                  <c:v>8.2077293612923885</c:v>
                </c:pt>
                <c:pt idx="47">
                  <c:v>8.5097413386951697</c:v>
                </c:pt>
                <c:pt idx="48">
                  <c:v>8.6767737292538492</c:v>
                </c:pt>
                <c:pt idx="49">
                  <c:v>9.2133526469360483</c:v>
                </c:pt>
                <c:pt idx="50">
                  <c:v>10.028677141504646</c:v>
                </c:pt>
                <c:pt idx="51">
                  <c:v>10.277345147235531</c:v>
                </c:pt>
                <c:pt idx="52">
                  <c:v>10.492864993556934</c:v>
                </c:pt>
                <c:pt idx="53">
                  <c:v>10.97185001524247</c:v>
                </c:pt>
                <c:pt idx="54">
                  <c:v>11.49590325636788</c:v>
                </c:pt>
                <c:pt idx="55">
                  <c:v>13.01611914906535</c:v>
                </c:pt>
                <c:pt idx="56">
                  <c:v>14.255109684272512</c:v>
                </c:pt>
                <c:pt idx="57">
                  <c:v>14.880930059134284</c:v>
                </c:pt>
                <c:pt idx="58">
                  <c:v>15.713235826139062</c:v>
                </c:pt>
                <c:pt idx="59">
                  <c:v>16.57317463706072</c:v>
                </c:pt>
                <c:pt idx="60">
                  <c:v>17.014718589099314</c:v>
                </c:pt>
                <c:pt idx="61">
                  <c:v>17.635506520347132</c:v>
                </c:pt>
                <c:pt idx="62">
                  <c:v>18.630116463868816</c:v>
                </c:pt>
                <c:pt idx="63">
                  <c:v>18.534756629773419</c:v>
                </c:pt>
                <c:pt idx="64">
                  <c:v>19.137964836434168</c:v>
                </c:pt>
                <c:pt idx="65">
                  <c:v>19.298102771895362</c:v>
                </c:pt>
                <c:pt idx="66">
                  <c:v>20.143580941457436</c:v>
                </c:pt>
                <c:pt idx="67">
                  <c:v>21.83150381047604</c:v>
                </c:pt>
                <c:pt idx="68">
                  <c:v>22.748885377225616</c:v>
                </c:pt>
                <c:pt idx="69">
                  <c:v>23.548460376263822</c:v>
                </c:pt>
                <c:pt idx="70">
                  <c:v>25.381203422444987</c:v>
                </c:pt>
                <c:pt idx="71">
                  <c:v>27.489875016590691</c:v>
                </c:pt>
                <c:pt idx="72">
                  <c:v>29.646957574185137</c:v>
                </c:pt>
                <c:pt idx="73">
                  <c:v>29.692226322913619</c:v>
                </c:pt>
                <c:pt idx="74">
                  <c:v>30.895421646418889</c:v>
                </c:pt>
                <c:pt idx="75">
                  <c:v>33.323879184754226</c:v>
                </c:pt>
                <c:pt idx="76">
                  <c:v>34.474812591297912</c:v>
                </c:pt>
                <c:pt idx="77">
                  <c:v>38.746934890995767</c:v>
                </c:pt>
                <c:pt idx="78">
                  <c:v>43.521253903987819</c:v>
                </c:pt>
                <c:pt idx="79">
                  <c:v>48.199806951899163</c:v>
                </c:pt>
                <c:pt idx="80">
                  <c:v>57.244095739305173</c:v>
                </c:pt>
                <c:pt idx="81">
                  <c:v>59.836788952205076</c:v>
                </c:pt>
                <c:pt idx="82">
                  <c:v>63.366233304763057</c:v>
                </c:pt>
                <c:pt idx="83">
                  <c:v>67.121012539375869</c:v>
                </c:pt>
                <c:pt idx="84">
                  <c:v>70.653326085321666</c:v>
                </c:pt>
                <c:pt idx="85">
                  <c:v>74.580657834297995</c:v>
                </c:pt>
                <c:pt idx="86">
                  <c:v>79.545334048787126</c:v>
                </c:pt>
                <c:pt idx="87">
                  <c:v>86.106022630885434</c:v>
                </c:pt>
                <c:pt idx="88">
                  <c:v>94.943131874174895</c:v>
                </c:pt>
                <c:pt idx="89">
                  <c:v>104.632828523425</c:v>
                </c:pt>
                <c:pt idx="90">
                  <c:v>113.67142253364787</c:v>
                </c:pt>
                <c:pt idx="91">
                  <c:v>121.66706409564536</c:v>
                </c:pt>
                <c:pt idx="92">
                  <c:v>130.39836648697985</c:v>
                </c:pt>
                <c:pt idx="93">
                  <c:v>145.06832218399867</c:v>
                </c:pt>
                <c:pt idx="94">
                  <c:v>146.46585330210257</c:v>
                </c:pt>
                <c:pt idx="95">
                  <c:v>152.87503879596079</c:v>
                </c:pt>
                <c:pt idx="96">
                  <c:v>169.35366468434347</c:v>
                </c:pt>
                <c:pt idx="97">
                  <c:v>182.58265760088398</c:v>
                </c:pt>
                <c:pt idx="98">
                  <c:v>189.24838230091876</c:v>
                </c:pt>
                <c:pt idx="99">
                  <c:v>200.66961199459701</c:v>
                </c:pt>
                <c:pt idx="100">
                  <c:v>213.23295238837017</c:v>
                </c:pt>
                <c:pt idx="101">
                  <c:v>225.49226606281997</c:v>
                </c:pt>
                <c:pt idx="102">
                  <c:v>236.69135074608454</c:v>
                </c:pt>
                <c:pt idx="103">
                  <c:v>261.94255081543253</c:v>
                </c:pt>
                <c:pt idx="104">
                  <c:v>269.77181405944384</c:v>
                </c:pt>
                <c:pt idx="105">
                  <c:v>288.44885743288427</c:v>
                </c:pt>
                <c:pt idx="106">
                  <c:v>294.94466765783955</c:v>
                </c:pt>
                <c:pt idx="107">
                  <c:v>319.54438378485349</c:v>
                </c:pt>
                <c:pt idx="108">
                  <c:v>334.84374684864071</c:v>
                </c:pt>
                <c:pt idx="109">
                  <c:v>364.64004195837276</c:v>
                </c:pt>
                <c:pt idx="110">
                  <c:v>397.45555014905807</c:v>
                </c:pt>
                <c:pt idx="111">
                  <c:v>400.25315582195975</c:v>
                </c:pt>
                <c:pt idx="112">
                  <c:v>408.03200833009845</c:v>
                </c:pt>
                <c:pt idx="113">
                  <c:v>417.05144662322266</c:v>
                </c:pt>
                <c:pt idx="114">
                  <c:v>416.82906067242942</c:v>
                </c:pt>
                <c:pt idx="115">
                  <c:v>421.63391851392248</c:v>
                </c:pt>
                <c:pt idx="116">
                  <c:v>437.63646757042056</c:v>
                </c:pt>
                <c:pt idx="117">
                  <c:v>463.09155454719343</c:v>
                </c:pt>
                <c:pt idx="118">
                  <c:v>503.52739289053159</c:v>
                </c:pt>
                <c:pt idx="119">
                  <c:v>510.47534520164101</c:v>
                </c:pt>
                <c:pt idx="120">
                  <c:v>545.56085962039253</c:v>
                </c:pt>
                <c:pt idx="121">
                  <c:v>561.87341073149662</c:v>
                </c:pt>
                <c:pt idx="122">
                  <c:v>580.45158707304165</c:v>
                </c:pt>
                <c:pt idx="123">
                  <c:v>626.74684617889022</c:v>
                </c:pt>
                <c:pt idx="124">
                  <c:v>653.13009142546048</c:v>
                </c:pt>
                <c:pt idx="125">
                  <c:v>695.33677560822184</c:v>
                </c:pt>
                <c:pt idx="126">
                  <c:v>735.01484296826709</c:v>
                </c:pt>
                <c:pt idx="127">
                  <c:v>748.48537129062981</c:v>
                </c:pt>
                <c:pt idx="128">
                  <c:v>841.7730346031442</c:v>
                </c:pt>
                <c:pt idx="129">
                  <c:v>889.9841127680653</c:v>
                </c:pt>
                <c:pt idx="130">
                  <c:v>927.10229122068915</c:v>
                </c:pt>
                <c:pt idx="131">
                  <c:v>988.06199283799708</c:v>
                </c:pt>
                <c:pt idx="132">
                  <c:v>1028.8453459489263</c:v>
                </c:pt>
                <c:pt idx="133">
                  <c:v>1074.6868947433734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B-164F-BD5D-780B794613D3}"/>
            </c:ext>
          </c:extLst>
        </c:ser>
        <c:ser>
          <c:idx val="2"/>
          <c:order val="2"/>
          <c:tx>
            <c:strRef>
              <c:f>真實再投資累積報酬!$A$14:$B$14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0.36891449997644599</c:v>
                </c:pt>
                <c:pt idx="2">
                  <c:v>0.5041196634545142</c:v>
                </c:pt>
                <c:pt idx="3">
                  <c:v>0.59488110915398007</c:v>
                </c:pt>
                <c:pt idx="4">
                  <c:v>0.68045705542802715</c:v>
                </c:pt>
                <c:pt idx="5">
                  <c:v>0.78059372245881953</c:v>
                </c:pt>
                <c:pt idx="6">
                  <c:v>0.85856122048295247</c:v>
                </c:pt>
                <c:pt idx="7">
                  <c:v>0.90188423042748056</c:v>
                </c:pt>
                <c:pt idx="8">
                  <c:v>0.99855218698157189</c:v>
                </c:pt>
                <c:pt idx="9">
                  <c:v>1.0155003302750045</c:v>
                </c:pt>
                <c:pt idx="10">
                  <c:v>0.97716205848843241</c:v>
                </c:pt>
                <c:pt idx="11">
                  <c:v>1.3821494700478278</c:v>
                </c:pt>
                <c:pt idx="12">
                  <c:v>1.3857093731266765</c:v>
                </c:pt>
                <c:pt idx="13">
                  <c:v>1.5249057858830275</c:v>
                </c:pt>
                <c:pt idx="14">
                  <c:v>1.8382563682542998</c:v>
                </c:pt>
                <c:pt idx="15">
                  <c:v>1.7930111918907659</c:v>
                </c:pt>
                <c:pt idx="16">
                  <c:v>2.2563528320765345</c:v>
                </c:pt>
                <c:pt idx="17">
                  <c:v>2.3703888586395929</c:v>
                </c:pt>
                <c:pt idx="18">
                  <c:v>2.7218080634550903</c:v>
                </c:pt>
                <c:pt idx="19">
                  <c:v>2.7965759390014067</c:v>
                </c:pt>
                <c:pt idx="20">
                  <c:v>3.2376065816940089</c:v>
                </c:pt>
                <c:pt idx="21">
                  <c:v>4.0287071141205395</c:v>
                </c:pt>
                <c:pt idx="22">
                  <c:v>4.0549563346339079</c:v>
                </c:pt>
                <c:pt idx="23">
                  <c:v>4.249632440343504</c:v>
                </c:pt>
                <c:pt idx="24">
                  <c:v>4.7741015863337086</c:v>
                </c:pt>
                <c:pt idx="25">
                  <c:v>5.1827311603381991</c:v>
                </c:pt>
                <c:pt idx="26">
                  <c:v>5.1636477751878402</c:v>
                </c:pt>
                <c:pt idx="27">
                  <c:v>5.4060513904879137</c:v>
                </c:pt>
                <c:pt idx="28">
                  <c:v>6.1545147032864902</c:v>
                </c:pt>
                <c:pt idx="29">
                  <c:v>6.8419211589241451</c:v>
                </c:pt>
                <c:pt idx="30">
                  <c:v>7.0028443968530762</c:v>
                </c:pt>
                <c:pt idx="31">
                  <c:v>7.0448615541711472</c:v>
                </c:pt>
                <c:pt idx="32">
                  <c:v>7.1330760015952297</c:v>
                </c:pt>
                <c:pt idx="33">
                  <c:v>7.2555522865702624</c:v>
                </c:pt>
                <c:pt idx="34">
                  <c:v>7.8904986254559084</c:v>
                </c:pt>
                <c:pt idx="35">
                  <c:v>8.0554983252877062</c:v>
                </c:pt>
                <c:pt idx="36">
                  <c:v>8.6100766603663388</c:v>
                </c:pt>
                <c:pt idx="37">
                  <c:v>9.5575789663249271</c:v>
                </c:pt>
                <c:pt idx="38">
                  <c:v>9.1559227101394107</c:v>
                </c:pt>
                <c:pt idx="39">
                  <c:v>9.8665988911081062</c:v>
                </c:pt>
                <c:pt idx="40">
                  <c:v>9.9549054491073097</c:v>
                </c:pt>
                <c:pt idx="41">
                  <c:v>9.7558496279312905</c:v>
                </c:pt>
                <c:pt idx="42">
                  <c:v>9.6841152270940025</c:v>
                </c:pt>
                <c:pt idx="43">
                  <c:v>10.532471153754679</c:v>
                </c:pt>
                <c:pt idx="44">
                  <c:v>12.122258113657557</c:v>
                </c:pt>
                <c:pt idx="45">
                  <c:v>12.991722523161407</c:v>
                </c:pt>
                <c:pt idx="46">
                  <c:v>13.746277666963577</c:v>
                </c:pt>
                <c:pt idx="47">
                  <c:v>14.031916211866891</c:v>
                </c:pt>
                <c:pt idx="48">
                  <c:v>14.25841891071447</c:v>
                </c:pt>
                <c:pt idx="49">
                  <c:v>14.649476928977169</c:v>
                </c:pt>
                <c:pt idx="50">
                  <c:v>16.157107177137487</c:v>
                </c:pt>
                <c:pt idx="51">
                  <c:v>18.049729097377899</c:v>
                </c:pt>
                <c:pt idx="52">
                  <c:v>17.506703548980521</c:v>
                </c:pt>
                <c:pt idx="53">
                  <c:v>17.810563166477177</c:v>
                </c:pt>
                <c:pt idx="54">
                  <c:v>19.128840730689667</c:v>
                </c:pt>
                <c:pt idx="55">
                  <c:v>22.225245436632481</c:v>
                </c:pt>
                <c:pt idx="56">
                  <c:v>25.135491933204396</c:v>
                </c:pt>
                <c:pt idx="57">
                  <c:v>27.054188934036059</c:v>
                </c:pt>
                <c:pt idx="58">
                  <c:v>28.462094378170892</c:v>
                </c:pt>
                <c:pt idx="59">
                  <c:v>29.169711859672709</c:v>
                </c:pt>
                <c:pt idx="60">
                  <c:v>28.166954795074481</c:v>
                </c:pt>
                <c:pt idx="61">
                  <c:v>29.916881534768141</c:v>
                </c:pt>
                <c:pt idx="62">
                  <c:v>31.347663026513402</c:v>
                </c:pt>
                <c:pt idx="63">
                  <c:v>29.841011033253228</c:v>
                </c:pt>
                <c:pt idx="64">
                  <c:v>30.877547981802852</c:v>
                </c:pt>
                <c:pt idx="65">
                  <c:v>29.273097303376851</c:v>
                </c:pt>
                <c:pt idx="66">
                  <c:v>29.752729843120246</c:v>
                </c:pt>
                <c:pt idx="67">
                  <c:v>32.829614980107173</c:v>
                </c:pt>
                <c:pt idx="68">
                  <c:v>33.855759353877481</c:v>
                </c:pt>
                <c:pt idx="69">
                  <c:v>33.322873497793502</c:v>
                </c:pt>
                <c:pt idx="70">
                  <c:v>37.13820772874228</c:v>
                </c:pt>
                <c:pt idx="71">
                  <c:v>41.256433686612532</c:v>
                </c:pt>
                <c:pt idx="72">
                  <c:v>46.787695576702028</c:v>
                </c:pt>
                <c:pt idx="73">
                  <c:v>46.773007148166876</c:v>
                </c:pt>
                <c:pt idx="74">
                  <c:v>44.737662559413415</c:v>
                </c:pt>
                <c:pt idx="75">
                  <c:v>47.483479992720909</c:v>
                </c:pt>
                <c:pt idx="76">
                  <c:v>48.669641232921059</c:v>
                </c:pt>
                <c:pt idx="77">
                  <c:v>56.838597991168072</c:v>
                </c:pt>
                <c:pt idx="78">
                  <c:v>63.813655892459934</c:v>
                </c:pt>
                <c:pt idx="79">
                  <c:v>70.166477201716461</c:v>
                </c:pt>
                <c:pt idx="80">
                  <c:v>82.304264484043017</c:v>
                </c:pt>
                <c:pt idx="81">
                  <c:v>89.995804144164282</c:v>
                </c:pt>
                <c:pt idx="82">
                  <c:v>95.211744028694795</c:v>
                </c:pt>
                <c:pt idx="83">
                  <c:v>101.43292935110564</c:v>
                </c:pt>
                <c:pt idx="84">
                  <c:v>112.27901727012413</c:v>
                </c:pt>
                <c:pt idx="85">
                  <c:v>114.29494384137965</c:v>
                </c:pt>
                <c:pt idx="86">
                  <c:v>120.49689943512109</c:v>
                </c:pt>
                <c:pt idx="87">
                  <c:v>128.06250588086462</c:v>
                </c:pt>
                <c:pt idx="88">
                  <c:v>142.26813739986923</c:v>
                </c:pt>
                <c:pt idx="89">
                  <c:v>167.28213451007088</c:v>
                </c:pt>
                <c:pt idx="90">
                  <c:v>196.4368903165784</c:v>
                </c:pt>
                <c:pt idx="91">
                  <c:v>216.14293434891223</c:v>
                </c:pt>
                <c:pt idx="92">
                  <c:v>223.14099509836259</c:v>
                </c:pt>
                <c:pt idx="93">
                  <c:v>269.69949817997633</c:v>
                </c:pt>
                <c:pt idx="94">
                  <c:v>268.50500049687355</c:v>
                </c:pt>
                <c:pt idx="95">
                  <c:v>285.17987062551094</c:v>
                </c:pt>
                <c:pt idx="96">
                  <c:v>314.24000557579097</c:v>
                </c:pt>
                <c:pt idx="97">
                  <c:v>361.96634662648046</c:v>
                </c:pt>
                <c:pt idx="98">
                  <c:v>378.2141302236605</c:v>
                </c:pt>
                <c:pt idx="99">
                  <c:v>391.9793789928471</c:v>
                </c:pt>
                <c:pt idx="100">
                  <c:v>411.68259977991568</c:v>
                </c:pt>
                <c:pt idx="101">
                  <c:v>438.12051765451724</c:v>
                </c:pt>
                <c:pt idx="102">
                  <c:v>466.83574077264956</c:v>
                </c:pt>
                <c:pt idx="103">
                  <c:v>515.77512656632859</c:v>
                </c:pt>
                <c:pt idx="104">
                  <c:v>527.98787117925622</c:v>
                </c:pt>
                <c:pt idx="105">
                  <c:v>569.88654163943136</c:v>
                </c:pt>
                <c:pt idx="106">
                  <c:v>605.58232104483022</c:v>
                </c:pt>
                <c:pt idx="107">
                  <c:v>727.84776733237811</c:v>
                </c:pt>
                <c:pt idx="108">
                  <c:v>761.07129543559552</c:v>
                </c:pt>
                <c:pt idx="109">
                  <c:v>805.83732867124422</c:v>
                </c:pt>
                <c:pt idx="110">
                  <c:v>875.74719282813123</c:v>
                </c:pt>
                <c:pt idx="111">
                  <c:v>883.45733340711286</c:v>
                </c:pt>
                <c:pt idx="112">
                  <c:v>955.64823057215244</c:v>
                </c:pt>
                <c:pt idx="113">
                  <c:v>994.6363065973336</c:v>
                </c:pt>
                <c:pt idx="114">
                  <c:v>995.75210048556391</c:v>
                </c:pt>
                <c:pt idx="115">
                  <c:v>1038.2760328791317</c:v>
                </c:pt>
                <c:pt idx="116">
                  <c:v>1144.8974396442675</c:v>
                </c:pt>
                <c:pt idx="117">
                  <c:v>1216.9913571277352</c:v>
                </c:pt>
                <c:pt idx="118">
                  <c:v>1303.6789256521708</c:v>
                </c:pt>
                <c:pt idx="119">
                  <c:v>1372.3344178050488</c:v>
                </c:pt>
                <c:pt idx="120">
                  <c:v>1449.3121249073045</c:v>
                </c:pt>
                <c:pt idx="121">
                  <c:v>1460.5582662061279</c:v>
                </c:pt>
                <c:pt idx="122">
                  <c:v>1561.1080133086409</c:v>
                </c:pt>
                <c:pt idx="123">
                  <c:v>1730.2255048597826</c:v>
                </c:pt>
                <c:pt idx="124">
                  <c:v>1733.3588407893153</c:v>
                </c:pt>
                <c:pt idx="125">
                  <c:v>1910.1446485991219</c:v>
                </c:pt>
                <c:pt idx="126">
                  <c:v>2052.0621261551141</c:v>
                </c:pt>
                <c:pt idx="127">
                  <c:v>2123.9827293846511</c:v>
                </c:pt>
                <c:pt idx="128">
                  <c:v>2257.6710975609512</c:v>
                </c:pt>
                <c:pt idx="129">
                  <c:v>2434.2536215758441</c:v>
                </c:pt>
                <c:pt idx="130">
                  <c:v>2449.0584589690288</c:v>
                </c:pt>
                <c:pt idx="131">
                  <c:v>2700.5072461021778</c:v>
                </c:pt>
                <c:pt idx="132">
                  <c:v>2691.3241120497169</c:v>
                </c:pt>
                <c:pt idx="133">
                  <c:v>2760.0435594907503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B-164F-BD5D-780B794613D3}"/>
            </c:ext>
          </c:extLst>
        </c:ser>
        <c:ser>
          <c:idx val="3"/>
          <c:order val="3"/>
          <c:tx>
            <c:strRef>
              <c:f>真實再投資累積報酬!$A$15:$B$15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0.68520033692747018</c:v>
                </c:pt>
                <c:pt idx="2">
                  <c:v>0.78975791775200044</c:v>
                </c:pt>
                <c:pt idx="3">
                  <c:v>0.72725700017537731</c:v>
                </c:pt>
                <c:pt idx="4">
                  <c:v>0.78668141349917176</c:v>
                </c:pt>
                <c:pt idx="5">
                  <c:v>0.99901849407763255</c:v>
                </c:pt>
                <c:pt idx="6">
                  <c:v>1.1158240318287502</c:v>
                </c:pt>
                <c:pt idx="7">
                  <c:v>1.2215337006645544</c:v>
                </c:pt>
                <c:pt idx="8">
                  <c:v>1.4315015087265182</c:v>
                </c:pt>
                <c:pt idx="9">
                  <c:v>1.3999724718130122</c:v>
                </c:pt>
                <c:pt idx="10">
                  <c:v>1.3948532910839968</c:v>
                </c:pt>
                <c:pt idx="11">
                  <c:v>2.1858963237206357</c:v>
                </c:pt>
                <c:pt idx="12">
                  <c:v>2.1468028406224242</c:v>
                </c:pt>
                <c:pt idx="13">
                  <c:v>2.3485638274848566</c:v>
                </c:pt>
                <c:pt idx="14">
                  <c:v>2.8693888708083009</c:v>
                </c:pt>
                <c:pt idx="15">
                  <c:v>2.6676788280768737</c:v>
                </c:pt>
                <c:pt idx="16">
                  <c:v>3.6579810682832914</c:v>
                </c:pt>
                <c:pt idx="17">
                  <c:v>3.8717408366982644</c:v>
                </c:pt>
                <c:pt idx="18">
                  <c:v>4.5390137360461038</c:v>
                </c:pt>
                <c:pt idx="19">
                  <c:v>4.4441201650269804</c:v>
                </c:pt>
                <c:pt idx="20">
                  <c:v>5.0262849772260747</c:v>
                </c:pt>
                <c:pt idx="21">
                  <c:v>6.298953969012703</c:v>
                </c:pt>
                <c:pt idx="22">
                  <c:v>6.1483767357346721</c:v>
                </c:pt>
                <c:pt idx="23">
                  <c:v>6.482348697055075</c:v>
                </c:pt>
                <c:pt idx="24">
                  <c:v>7.6858873597925061</c:v>
                </c:pt>
                <c:pt idx="25">
                  <c:v>8.4128976302602112</c:v>
                </c:pt>
                <c:pt idx="26">
                  <c:v>8.4535394051283177</c:v>
                </c:pt>
                <c:pt idx="27">
                  <c:v>8.8287541655336224</c:v>
                </c:pt>
                <c:pt idx="28">
                  <c:v>10.910411988113873</c:v>
                </c:pt>
                <c:pt idx="29">
                  <c:v>12.550788809993021</c:v>
                </c:pt>
                <c:pt idx="30">
                  <c:v>12.687969925939269</c:v>
                </c:pt>
                <c:pt idx="31">
                  <c:v>12.227994274039357</c:v>
                </c:pt>
                <c:pt idx="32">
                  <c:v>13.210535295929887</c:v>
                </c:pt>
                <c:pt idx="33">
                  <c:v>13.345036022568737</c:v>
                </c:pt>
                <c:pt idx="34">
                  <c:v>14.230979991309272</c:v>
                </c:pt>
                <c:pt idx="35">
                  <c:v>14.126148202225089</c:v>
                </c:pt>
                <c:pt idx="36">
                  <c:v>14.95994115392871</c:v>
                </c:pt>
                <c:pt idx="37">
                  <c:v>16.582886916309512</c:v>
                </c:pt>
                <c:pt idx="38">
                  <c:v>15.679398707681347</c:v>
                </c:pt>
                <c:pt idx="39">
                  <c:v>16.985157009226089</c:v>
                </c:pt>
                <c:pt idx="40">
                  <c:v>17.340315300234376</c:v>
                </c:pt>
                <c:pt idx="41">
                  <c:v>16.890055057519032</c:v>
                </c:pt>
                <c:pt idx="42">
                  <c:v>16.018215044363888</c:v>
                </c:pt>
                <c:pt idx="43">
                  <c:v>17.226334941212833</c:v>
                </c:pt>
                <c:pt idx="44">
                  <c:v>20.272119546903969</c:v>
                </c:pt>
                <c:pt idx="45">
                  <c:v>21.065525545043347</c:v>
                </c:pt>
                <c:pt idx="46">
                  <c:v>23.089540439147296</c:v>
                </c:pt>
                <c:pt idx="47">
                  <c:v>25.04947908286659</c:v>
                </c:pt>
                <c:pt idx="48">
                  <c:v>25.779309008364226</c:v>
                </c:pt>
                <c:pt idx="49">
                  <c:v>26.766075664635334</c:v>
                </c:pt>
                <c:pt idx="50">
                  <c:v>31.144460933863051</c:v>
                </c:pt>
                <c:pt idx="51">
                  <c:v>37.499843544216354</c:v>
                </c:pt>
                <c:pt idx="52">
                  <c:v>36.308785756980207</c:v>
                </c:pt>
                <c:pt idx="53">
                  <c:v>36.583553771444642</c:v>
                </c:pt>
                <c:pt idx="54">
                  <c:v>38.139436629160578</c:v>
                </c:pt>
                <c:pt idx="55">
                  <c:v>46.392851334333749</c:v>
                </c:pt>
                <c:pt idx="56">
                  <c:v>54.262491902732805</c:v>
                </c:pt>
                <c:pt idx="57">
                  <c:v>59.71408403097994</c:v>
                </c:pt>
                <c:pt idx="58">
                  <c:v>63.878260215890379</c:v>
                </c:pt>
                <c:pt idx="59">
                  <c:v>68.754185862415625</c:v>
                </c:pt>
                <c:pt idx="60">
                  <c:v>63.671254141970095</c:v>
                </c:pt>
                <c:pt idx="61">
                  <c:v>67.53571215816082</c:v>
                </c:pt>
                <c:pt idx="62">
                  <c:v>70.840435970285924</c:v>
                </c:pt>
                <c:pt idx="63">
                  <c:v>66.09502315631228</c:v>
                </c:pt>
                <c:pt idx="64">
                  <c:v>67.955868462736561</c:v>
                </c:pt>
                <c:pt idx="65">
                  <c:v>64.396656147337637</c:v>
                </c:pt>
                <c:pt idx="66">
                  <c:v>65.233925042609187</c:v>
                </c:pt>
                <c:pt idx="67">
                  <c:v>73.431177110454527</c:v>
                </c:pt>
                <c:pt idx="68">
                  <c:v>74.314370826870274</c:v>
                </c:pt>
                <c:pt idx="69">
                  <c:v>77.073332047622671</c:v>
                </c:pt>
                <c:pt idx="70">
                  <c:v>83.752232347634617</c:v>
                </c:pt>
                <c:pt idx="71">
                  <c:v>92.620709694480226</c:v>
                </c:pt>
                <c:pt idx="72">
                  <c:v>120.60197281134775</c:v>
                </c:pt>
                <c:pt idx="73">
                  <c:v>123.51434006017952</c:v>
                </c:pt>
                <c:pt idx="74">
                  <c:v>107.82259796420307</c:v>
                </c:pt>
                <c:pt idx="75">
                  <c:v>119.02114726564068</c:v>
                </c:pt>
                <c:pt idx="76">
                  <c:v>121.25258293161633</c:v>
                </c:pt>
                <c:pt idx="77">
                  <c:v>137.27886963225461</c:v>
                </c:pt>
                <c:pt idx="78">
                  <c:v>161.29094003234778</c:v>
                </c:pt>
                <c:pt idx="79">
                  <c:v>180.79053468556231</c:v>
                </c:pt>
                <c:pt idx="80">
                  <c:v>194.12803356005182</c:v>
                </c:pt>
                <c:pt idx="81">
                  <c:v>212.53966120463318</c:v>
                </c:pt>
                <c:pt idx="82">
                  <c:v>230.87973314439819</c:v>
                </c:pt>
                <c:pt idx="83">
                  <c:v>245.4617123697526</c:v>
                </c:pt>
                <c:pt idx="84">
                  <c:v>255.02403614200165</c:v>
                </c:pt>
                <c:pt idx="85">
                  <c:v>265.43697327161328</c:v>
                </c:pt>
                <c:pt idx="86">
                  <c:v>290.91920473618148</c:v>
                </c:pt>
                <c:pt idx="87">
                  <c:v>300.09188268745072</c:v>
                </c:pt>
                <c:pt idx="88">
                  <c:v>332.64530475066425</c:v>
                </c:pt>
                <c:pt idx="89">
                  <c:v>380.40656905903558</c:v>
                </c:pt>
                <c:pt idx="90">
                  <c:v>446.52717373045306</c:v>
                </c:pt>
                <c:pt idx="91">
                  <c:v>503.60292571111319</c:v>
                </c:pt>
                <c:pt idx="92">
                  <c:v>491.00634098921307</c:v>
                </c:pt>
                <c:pt idx="93">
                  <c:v>580.30004646855639</c:v>
                </c:pt>
                <c:pt idx="94">
                  <c:v>584.06864437368972</c:v>
                </c:pt>
                <c:pt idx="95">
                  <c:v>602.91774238261246</c:v>
                </c:pt>
                <c:pt idx="96">
                  <c:v>677.83369690479356</c:v>
                </c:pt>
                <c:pt idx="97">
                  <c:v>801.79656893897402</c:v>
                </c:pt>
                <c:pt idx="98">
                  <c:v>822.7271540610692</c:v>
                </c:pt>
                <c:pt idx="99">
                  <c:v>842.5292311638558</c:v>
                </c:pt>
                <c:pt idx="100">
                  <c:v>889.54156145138779</c:v>
                </c:pt>
                <c:pt idx="101">
                  <c:v>960.68420881332804</c:v>
                </c:pt>
                <c:pt idx="102">
                  <c:v>1046.1411986400562</c:v>
                </c:pt>
                <c:pt idx="103">
                  <c:v>1147.7638435433169</c:v>
                </c:pt>
                <c:pt idx="104">
                  <c:v>1188.0569076409761</c:v>
                </c:pt>
                <c:pt idx="105">
                  <c:v>1205.3062305548281</c:v>
                </c:pt>
                <c:pt idx="106">
                  <c:v>1274.2630792922982</c:v>
                </c:pt>
                <c:pt idx="107">
                  <c:v>1660.3127590765896</c:v>
                </c:pt>
                <c:pt idx="108">
                  <c:v>1739.9192116034699</c:v>
                </c:pt>
                <c:pt idx="109">
                  <c:v>1965.5832530287526</c:v>
                </c:pt>
                <c:pt idx="110">
                  <c:v>2049.7746486741662</c:v>
                </c:pt>
                <c:pt idx="111">
                  <c:v>2172.8698882298654</c:v>
                </c:pt>
                <c:pt idx="112">
                  <c:v>2390.9720802460793</c:v>
                </c:pt>
                <c:pt idx="113">
                  <c:v>2390.2449369923306</c:v>
                </c:pt>
                <c:pt idx="114">
                  <c:v>2386.0040640965749</c:v>
                </c:pt>
                <c:pt idx="115">
                  <c:v>2491.0238822527695</c:v>
                </c:pt>
                <c:pt idx="116">
                  <c:v>2888.615327761117</c:v>
                </c:pt>
                <c:pt idx="117">
                  <c:v>3276.7049622622299</c:v>
                </c:pt>
                <c:pt idx="118">
                  <c:v>3398.1068568365345</c:v>
                </c:pt>
                <c:pt idx="119">
                  <c:v>3636.0802538785802</c:v>
                </c:pt>
                <c:pt idx="120">
                  <c:v>3772.5795120986177</c:v>
                </c:pt>
                <c:pt idx="121">
                  <c:v>3971.5180579040002</c:v>
                </c:pt>
                <c:pt idx="122">
                  <c:v>4436.8131392492087</c:v>
                </c:pt>
                <c:pt idx="123">
                  <c:v>5057.0789901326816</c:v>
                </c:pt>
                <c:pt idx="124">
                  <c:v>4749.412231015679</c:v>
                </c:pt>
                <c:pt idx="125">
                  <c:v>5312.8883189005956</c:v>
                </c:pt>
                <c:pt idx="126">
                  <c:v>6076.0136948225827</c:v>
                </c:pt>
                <c:pt idx="127">
                  <c:v>6321.8604992493692</c:v>
                </c:pt>
                <c:pt idx="128">
                  <c:v>6596.5965036040207</c:v>
                </c:pt>
                <c:pt idx="129">
                  <c:v>7177.7619526164326</c:v>
                </c:pt>
                <c:pt idx="130">
                  <c:v>7652.1478665717059</c:v>
                </c:pt>
                <c:pt idx="131">
                  <c:v>8519.6861773638848</c:v>
                </c:pt>
                <c:pt idx="132">
                  <c:v>8546.86887040691</c:v>
                </c:pt>
                <c:pt idx="133">
                  <c:v>8800.2627499881401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7B-164F-BD5D-780B794613D3}"/>
            </c:ext>
          </c:extLst>
        </c:ser>
        <c:ser>
          <c:idx val="4"/>
          <c:order val="4"/>
          <c:tx>
            <c:strRef>
              <c:f>真實再投資累積報酬!$A$16:$B$16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0.70092422892449369</c:v>
                </c:pt>
                <c:pt idx="2">
                  <c:v>0.81149261943414963</c:v>
                </c:pt>
                <c:pt idx="3">
                  <c:v>0.66890012304417779</c:v>
                </c:pt>
                <c:pt idx="4">
                  <c:v>0.682495902441284</c:v>
                </c:pt>
                <c:pt idx="5">
                  <c:v>0.80506367255025069</c:v>
                </c:pt>
                <c:pt idx="6">
                  <c:v>0.90891010236290537</c:v>
                </c:pt>
                <c:pt idx="7">
                  <c:v>0.99807515206637509</c:v>
                </c:pt>
                <c:pt idx="8">
                  <c:v>1.1707505881565718</c:v>
                </c:pt>
                <c:pt idx="9">
                  <c:v>1.1033996744358769</c:v>
                </c:pt>
                <c:pt idx="10">
                  <c:v>1.0739785063977276</c:v>
                </c:pt>
                <c:pt idx="11">
                  <c:v>1.8351035000615608</c:v>
                </c:pt>
                <c:pt idx="12">
                  <c:v>1.7540561783454378</c:v>
                </c:pt>
                <c:pt idx="13">
                  <c:v>1.9221781761191337</c:v>
                </c:pt>
                <c:pt idx="14">
                  <c:v>2.383599082455337</c:v>
                </c:pt>
                <c:pt idx="15">
                  <c:v>2.2178332532886373</c:v>
                </c:pt>
                <c:pt idx="16">
                  <c:v>3.1415541861173537</c:v>
                </c:pt>
                <c:pt idx="17">
                  <c:v>3.3006175046713535</c:v>
                </c:pt>
                <c:pt idx="18">
                  <c:v>3.8599664460029306</c:v>
                </c:pt>
                <c:pt idx="19">
                  <c:v>3.8306990217517649</c:v>
                </c:pt>
                <c:pt idx="20">
                  <c:v>4.2092975431608588</c:v>
                </c:pt>
                <c:pt idx="21">
                  <c:v>5.4623000999169173</c:v>
                </c:pt>
                <c:pt idx="22">
                  <c:v>5.3318870813563244</c:v>
                </c:pt>
                <c:pt idx="23">
                  <c:v>5.6045250376719977</c:v>
                </c:pt>
                <c:pt idx="24">
                  <c:v>6.7019255954769479</c:v>
                </c:pt>
                <c:pt idx="25">
                  <c:v>7.2794548069464149</c:v>
                </c:pt>
                <c:pt idx="26">
                  <c:v>7.1737638568467599</c:v>
                </c:pt>
                <c:pt idx="27">
                  <c:v>7.4583007504674512</c:v>
                </c:pt>
                <c:pt idx="28">
                  <c:v>9.2313994601332858</c:v>
                </c:pt>
                <c:pt idx="29">
                  <c:v>10.744783155138025</c:v>
                </c:pt>
                <c:pt idx="30">
                  <c:v>10.900880167520626</c:v>
                </c:pt>
                <c:pt idx="31">
                  <c:v>10.522843943298527</c:v>
                </c:pt>
                <c:pt idx="32">
                  <c:v>11.565927625893734</c:v>
                </c:pt>
                <c:pt idx="33">
                  <c:v>11.477639844732554</c:v>
                </c:pt>
                <c:pt idx="34">
                  <c:v>12.281466882612046</c:v>
                </c:pt>
                <c:pt idx="35">
                  <c:v>12.089235358108747</c:v>
                </c:pt>
                <c:pt idx="36">
                  <c:v>12.954129236650028</c:v>
                </c:pt>
                <c:pt idx="37">
                  <c:v>14.439632810744035</c:v>
                </c:pt>
                <c:pt idx="38">
                  <c:v>13.805215930701591</c:v>
                </c:pt>
                <c:pt idx="39">
                  <c:v>14.957037570153245</c:v>
                </c:pt>
                <c:pt idx="40">
                  <c:v>15.340525962060042</c:v>
                </c:pt>
                <c:pt idx="41">
                  <c:v>14.809585961272795</c:v>
                </c:pt>
                <c:pt idx="42">
                  <c:v>13.977326382050375</c:v>
                </c:pt>
                <c:pt idx="43">
                  <c:v>15.813008062011363</c:v>
                </c:pt>
                <c:pt idx="44">
                  <c:v>18.675196643015965</c:v>
                </c:pt>
                <c:pt idx="45">
                  <c:v>19.699897321566329</c:v>
                </c:pt>
                <c:pt idx="46">
                  <c:v>21.955874361043179</c:v>
                </c:pt>
                <c:pt idx="47">
                  <c:v>24.26572494993616</c:v>
                </c:pt>
                <c:pt idx="48">
                  <c:v>25.120024544788411</c:v>
                </c:pt>
                <c:pt idx="49">
                  <c:v>26.343170151946811</c:v>
                </c:pt>
                <c:pt idx="50">
                  <c:v>30.717834325856952</c:v>
                </c:pt>
                <c:pt idx="51">
                  <c:v>37.869367444353912</c:v>
                </c:pt>
                <c:pt idx="52">
                  <c:v>36.353485749622322</c:v>
                </c:pt>
                <c:pt idx="53">
                  <c:v>36.588219204460259</c:v>
                </c:pt>
                <c:pt idx="54">
                  <c:v>38.888529659164512</c:v>
                </c:pt>
                <c:pt idx="55">
                  <c:v>48.772383137544438</c:v>
                </c:pt>
                <c:pt idx="56">
                  <c:v>56.797163047998119</c:v>
                </c:pt>
                <c:pt idx="57">
                  <c:v>62.355055835468825</c:v>
                </c:pt>
                <c:pt idx="58">
                  <c:v>64.98073059034472</c:v>
                </c:pt>
                <c:pt idx="59">
                  <c:v>70.353468170393626</c:v>
                </c:pt>
                <c:pt idx="60">
                  <c:v>62.877535393450714</c:v>
                </c:pt>
                <c:pt idx="61">
                  <c:v>66.785154159664742</c:v>
                </c:pt>
                <c:pt idx="62">
                  <c:v>69.462531195175572</c:v>
                </c:pt>
                <c:pt idx="63">
                  <c:v>64.727496073880573</c:v>
                </c:pt>
                <c:pt idx="64">
                  <c:v>66.166294621790442</c:v>
                </c:pt>
                <c:pt idx="65">
                  <c:v>62.287515736598294</c:v>
                </c:pt>
                <c:pt idx="66">
                  <c:v>63.330368449640005</c:v>
                </c:pt>
                <c:pt idx="67">
                  <c:v>71.730818908803286</c:v>
                </c:pt>
                <c:pt idx="68">
                  <c:v>74.058713298145264</c:v>
                </c:pt>
                <c:pt idx="69">
                  <c:v>76.915848239410266</c:v>
                </c:pt>
                <c:pt idx="70">
                  <c:v>84.827207036728211</c:v>
                </c:pt>
                <c:pt idx="71">
                  <c:v>87.967250157380391</c:v>
                </c:pt>
                <c:pt idx="72">
                  <c:v>116.25624093650632</c:v>
                </c:pt>
                <c:pt idx="73">
                  <c:v>119.07964093354525</c:v>
                </c:pt>
                <c:pt idx="74">
                  <c:v>103.16207474719722</c:v>
                </c:pt>
                <c:pt idx="75">
                  <c:v>114.7788385150706</c:v>
                </c:pt>
                <c:pt idx="76">
                  <c:v>118.21913604815381</c:v>
                </c:pt>
                <c:pt idx="77">
                  <c:v>134.82743467188607</c:v>
                </c:pt>
                <c:pt idx="78">
                  <c:v>140.85631646304398</c:v>
                </c:pt>
                <c:pt idx="79">
                  <c:v>162.85415584519981</c:v>
                </c:pt>
                <c:pt idx="80">
                  <c:v>178.19316237845771</c:v>
                </c:pt>
                <c:pt idx="81">
                  <c:v>197.04450956257602</c:v>
                </c:pt>
                <c:pt idx="82">
                  <c:v>209.26937691647106</c:v>
                </c:pt>
                <c:pt idx="83">
                  <c:v>218.03706632510426</c:v>
                </c:pt>
                <c:pt idx="84">
                  <c:v>226.51596527861417</c:v>
                </c:pt>
                <c:pt idx="85">
                  <c:v>233.27395970127054</c:v>
                </c:pt>
                <c:pt idx="86">
                  <c:v>253.98909336384483</c:v>
                </c:pt>
                <c:pt idx="87">
                  <c:v>258.03798417618486</c:v>
                </c:pt>
                <c:pt idx="88">
                  <c:v>287.32335078523403</c:v>
                </c:pt>
                <c:pt idx="89">
                  <c:v>333.55885918925497</c:v>
                </c:pt>
                <c:pt idx="90">
                  <c:v>403.66466445578578</c:v>
                </c:pt>
                <c:pt idx="91">
                  <c:v>458.95468123408341</c:v>
                </c:pt>
                <c:pt idx="92">
                  <c:v>449.60206401852525</c:v>
                </c:pt>
                <c:pt idx="93">
                  <c:v>534.89496668984657</c:v>
                </c:pt>
                <c:pt idx="94">
                  <c:v>556.78744840013894</c:v>
                </c:pt>
                <c:pt idx="95">
                  <c:v>584.06542380031613</c:v>
                </c:pt>
                <c:pt idx="96">
                  <c:v>663.3252318793825</c:v>
                </c:pt>
                <c:pt idx="97">
                  <c:v>777.75626459777175</c:v>
                </c:pt>
                <c:pt idx="98">
                  <c:v>814.62387825619476</c:v>
                </c:pt>
                <c:pt idx="99">
                  <c:v>824.60734677841629</c:v>
                </c:pt>
                <c:pt idx="100">
                  <c:v>872.95041803242793</c:v>
                </c:pt>
                <c:pt idx="101">
                  <c:v>962.64679779518735</c:v>
                </c:pt>
                <c:pt idx="102">
                  <c:v>1076.5311117179547</c:v>
                </c:pt>
                <c:pt idx="103">
                  <c:v>1182.1471195181762</c:v>
                </c:pt>
                <c:pt idx="104">
                  <c:v>1232.9542518029821</c:v>
                </c:pt>
                <c:pt idx="105">
                  <c:v>1272.1245383267642</c:v>
                </c:pt>
                <c:pt idx="106">
                  <c:v>1316.1140470816304</c:v>
                </c:pt>
                <c:pt idx="107">
                  <c:v>1744.9412092985094</c:v>
                </c:pt>
                <c:pt idx="108">
                  <c:v>1824.6905659156373</c:v>
                </c:pt>
                <c:pt idx="109">
                  <c:v>2075.0830127584304</c:v>
                </c:pt>
                <c:pt idx="110">
                  <c:v>2174.3795258238724</c:v>
                </c:pt>
                <c:pt idx="111">
                  <c:v>2328.7336941488325</c:v>
                </c:pt>
                <c:pt idx="112">
                  <c:v>2552.9806577233326</c:v>
                </c:pt>
                <c:pt idx="113">
                  <c:v>2497.1177599605944</c:v>
                </c:pt>
                <c:pt idx="114">
                  <c:v>2401.8512064785773</c:v>
                </c:pt>
                <c:pt idx="115">
                  <c:v>2503.8230536235897</c:v>
                </c:pt>
                <c:pt idx="116">
                  <c:v>2928.6176651696501</c:v>
                </c:pt>
                <c:pt idx="117">
                  <c:v>3398.3349677132032</c:v>
                </c:pt>
                <c:pt idx="118">
                  <c:v>3558.3421949551234</c:v>
                </c:pt>
                <c:pt idx="119">
                  <c:v>3754.7867457436296</c:v>
                </c:pt>
                <c:pt idx="120">
                  <c:v>3835.3103962627347</c:v>
                </c:pt>
                <c:pt idx="121">
                  <c:v>4062.0861171091997</c:v>
                </c:pt>
                <c:pt idx="122">
                  <c:v>4560.9233889650477</c:v>
                </c:pt>
                <c:pt idx="123">
                  <c:v>5185.6958222630719</c:v>
                </c:pt>
                <c:pt idx="124">
                  <c:v>4815.8682737487125</c:v>
                </c:pt>
                <c:pt idx="125">
                  <c:v>5419.3482008266046</c:v>
                </c:pt>
                <c:pt idx="126">
                  <c:v>6273.4421030054327</c:v>
                </c:pt>
                <c:pt idx="127">
                  <c:v>6642.4448317241167</c:v>
                </c:pt>
                <c:pt idx="128">
                  <c:v>6645.2385015235759</c:v>
                </c:pt>
                <c:pt idx="129">
                  <c:v>7314.3758167431615</c:v>
                </c:pt>
                <c:pt idx="130">
                  <c:v>7779.1367605894084</c:v>
                </c:pt>
                <c:pt idx="131">
                  <c:v>8677.0948405934305</c:v>
                </c:pt>
                <c:pt idx="132">
                  <c:v>8715.2447097454387</c:v>
                </c:pt>
                <c:pt idx="133">
                  <c:v>9016.3774058642612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7B-164F-BD5D-780B794613D3}"/>
            </c:ext>
          </c:extLst>
        </c:ser>
        <c:ser>
          <c:idx val="5"/>
          <c:order val="5"/>
          <c:tx>
            <c:strRef>
              <c:f>真實再投資累積報酬!$A$17:$B$17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0.73627656222614046</c:v>
                </c:pt>
                <c:pt idx="2">
                  <c:v>0.87446334126059444</c:v>
                </c:pt>
                <c:pt idx="3">
                  <c:v>0.72309636982961445</c:v>
                </c:pt>
                <c:pt idx="4">
                  <c:v>0.90468845560965128</c:v>
                </c:pt>
                <c:pt idx="5">
                  <c:v>1.1046707438342724</c:v>
                </c:pt>
                <c:pt idx="6">
                  <c:v>1.3440244826912759</c:v>
                </c:pt>
                <c:pt idx="7">
                  <c:v>1.4421415856545701</c:v>
                </c:pt>
                <c:pt idx="8">
                  <c:v>1.6901656797868165</c:v>
                </c:pt>
                <c:pt idx="9">
                  <c:v>1.5993056702227268</c:v>
                </c:pt>
                <c:pt idx="10">
                  <c:v>1.6374092613786142</c:v>
                </c:pt>
                <c:pt idx="11">
                  <c:v>2.7058455117894975</c:v>
                </c:pt>
                <c:pt idx="12">
                  <c:v>2.6639447170439752</c:v>
                </c:pt>
                <c:pt idx="13">
                  <c:v>2.9070084981322251</c:v>
                </c:pt>
                <c:pt idx="14">
                  <c:v>3.5391675312023212</c:v>
                </c:pt>
                <c:pt idx="15">
                  <c:v>3.3028693231108619</c:v>
                </c:pt>
                <c:pt idx="16">
                  <c:v>4.6395704486024298</c:v>
                </c:pt>
                <c:pt idx="17">
                  <c:v>4.7712126040439067</c:v>
                </c:pt>
                <c:pt idx="18">
                  <c:v>5.5865184024501096</c:v>
                </c:pt>
                <c:pt idx="19">
                  <c:v>5.6129381780791388</c:v>
                </c:pt>
                <c:pt idx="20">
                  <c:v>6.13630015798595</c:v>
                </c:pt>
                <c:pt idx="21">
                  <c:v>7.8346641743160994</c:v>
                </c:pt>
                <c:pt idx="22">
                  <c:v>7.6321028963925386</c:v>
                </c:pt>
                <c:pt idx="23">
                  <c:v>8.0971012388245125</c:v>
                </c:pt>
                <c:pt idx="24">
                  <c:v>9.8372260297542944</c:v>
                </c:pt>
                <c:pt idx="25">
                  <c:v>10.756787014255972</c:v>
                </c:pt>
                <c:pt idx="26">
                  <c:v>10.520637195386962</c:v>
                </c:pt>
                <c:pt idx="27">
                  <c:v>11.311181879654766</c:v>
                </c:pt>
                <c:pt idx="28">
                  <c:v>14.045774893474222</c:v>
                </c:pt>
                <c:pt idx="29">
                  <c:v>15.855575857009448</c:v>
                </c:pt>
                <c:pt idx="30">
                  <c:v>16.238888183740841</c:v>
                </c:pt>
                <c:pt idx="31">
                  <c:v>15.627379668234987</c:v>
                </c:pt>
                <c:pt idx="32">
                  <c:v>17.537285712249254</c:v>
                </c:pt>
                <c:pt idx="33">
                  <c:v>16.74754857822596</c:v>
                </c:pt>
                <c:pt idx="34">
                  <c:v>18.055831745162862</c:v>
                </c:pt>
                <c:pt idx="35">
                  <c:v>17.865561647166381</c:v>
                </c:pt>
                <c:pt idx="36">
                  <c:v>19.287447097699268</c:v>
                </c:pt>
                <c:pt idx="37">
                  <c:v>21.585753558567767</c:v>
                </c:pt>
                <c:pt idx="38">
                  <c:v>19.853549858392437</c:v>
                </c:pt>
                <c:pt idx="39">
                  <c:v>21.46433674009382</c:v>
                </c:pt>
                <c:pt idx="40">
                  <c:v>21.671690992331165</c:v>
                </c:pt>
                <c:pt idx="41">
                  <c:v>20.878258324556672</c:v>
                </c:pt>
                <c:pt idx="42">
                  <c:v>19.591752042282931</c:v>
                </c:pt>
                <c:pt idx="43">
                  <c:v>22.208382897515737</c:v>
                </c:pt>
                <c:pt idx="44">
                  <c:v>26.329324286803736</c:v>
                </c:pt>
                <c:pt idx="45">
                  <c:v>27.928894587997924</c:v>
                </c:pt>
                <c:pt idx="46">
                  <c:v>30.132975791036934</c:v>
                </c:pt>
                <c:pt idx="47">
                  <c:v>33.172149027406107</c:v>
                </c:pt>
                <c:pt idx="48">
                  <c:v>34.109275677599705</c:v>
                </c:pt>
                <c:pt idx="49">
                  <c:v>35.793866999864996</c:v>
                </c:pt>
                <c:pt idx="50">
                  <c:v>41.784147707578519</c:v>
                </c:pt>
                <c:pt idx="51">
                  <c:v>51.643414196664644</c:v>
                </c:pt>
                <c:pt idx="52">
                  <c:v>50.206626738205685</c:v>
                </c:pt>
                <c:pt idx="53">
                  <c:v>51.200758590529553</c:v>
                </c:pt>
                <c:pt idx="54">
                  <c:v>53.503347276750567</c:v>
                </c:pt>
                <c:pt idx="55">
                  <c:v>61.557679176967461</c:v>
                </c:pt>
                <c:pt idx="56">
                  <c:v>73.17786680829451</c:v>
                </c:pt>
                <c:pt idx="57">
                  <c:v>83.057699472589235</c:v>
                </c:pt>
                <c:pt idx="58">
                  <c:v>90.380129202852899</c:v>
                </c:pt>
                <c:pt idx="59">
                  <c:v>98.530551376778362</c:v>
                </c:pt>
                <c:pt idx="60">
                  <c:v>87.102839148583257</c:v>
                </c:pt>
                <c:pt idx="61">
                  <c:v>90.111766721726028</c:v>
                </c:pt>
                <c:pt idx="62">
                  <c:v>92.759384567003366</c:v>
                </c:pt>
                <c:pt idx="63">
                  <c:v>85.853255818567035</c:v>
                </c:pt>
                <c:pt idx="64">
                  <c:v>88.908719955954538</c:v>
                </c:pt>
                <c:pt idx="65">
                  <c:v>83.456936142575316</c:v>
                </c:pt>
                <c:pt idx="66">
                  <c:v>84.417761358876618</c:v>
                </c:pt>
                <c:pt idx="67">
                  <c:v>94.242713260566731</c:v>
                </c:pt>
                <c:pt idx="68">
                  <c:v>96.233859158713926</c:v>
                </c:pt>
                <c:pt idx="69">
                  <c:v>99.505511126291964</c:v>
                </c:pt>
                <c:pt idx="70">
                  <c:v>110.01078686082317</c:v>
                </c:pt>
                <c:pt idx="71">
                  <c:v>114.25594553244225</c:v>
                </c:pt>
                <c:pt idx="72">
                  <c:v>138.26800334667632</c:v>
                </c:pt>
                <c:pt idx="73">
                  <c:v>139.25631873242602</c:v>
                </c:pt>
                <c:pt idx="74">
                  <c:v>119.27296659452884</c:v>
                </c:pt>
                <c:pt idx="75">
                  <c:v>133.77525910884449</c:v>
                </c:pt>
                <c:pt idx="76">
                  <c:v>137.54018337812207</c:v>
                </c:pt>
                <c:pt idx="77">
                  <c:v>158.27041859010939</c:v>
                </c:pt>
                <c:pt idx="78">
                  <c:v>164.92131236480446</c:v>
                </c:pt>
                <c:pt idx="79">
                  <c:v>193.61901961416257</c:v>
                </c:pt>
                <c:pt idx="80">
                  <c:v>212.24554376126247</c:v>
                </c:pt>
                <c:pt idx="81">
                  <c:v>233.30273032576915</c:v>
                </c:pt>
                <c:pt idx="82">
                  <c:v>250.80865615773962</c:v>
                </c:pt>
                <c:pt idx="83">
                  <c:v>265.57382097972589</c:v>
                </c:pt>
                <c:pt idx="84">
                  <c:v>269.44745448576379</c:v>
                </c:pt>
                <c:pt idx="85">
                  <c:v>275.11355244746483</c:v>
                </c:pt>
                <c:pt idx="86">
                  <c:v>298.2948999591718</c:v>
                </c:pt>
                <c:pt idx="87">
                  <c:v>295.47364304454391</c:v>
                </c:pt>
                <c:pt idx="88">
                  <c:v>323.78468946218038</c:v>
                </c:pt>
                <c:pt idx="89">
                  <c:v>381.11934595659778</c:v>
                </c:pt>
                <c:pt idx="90">
                  <c:v>456.80968929843539</c:v>
                </c:pt>
                <c:pt idx="91">
                  <c:v>524.63843829635459</c:v>
                </c:pt>
                <c:pt idx="92">
                  <c:v>551.92280703338713</c:v>
                </c:pt>
                <c:pt idx="93">
                  <c:v>660.51830149613681</c:v>
                </c:pt>
                <c:pt idx="94">
                  <c:v>681.2541340402787</c:v>
                </c:pt>
                <c:pt idx="95">
                  <c:v>721.27123858181074</c:v>
                </c:pt>
                <c:pt idx="96">
                  <c:v>833.47744261032165</c:v>
                </c:pt>
                <c:pt idx="97">
                  <c:v>959.87689647806849</c:v>
                </c:pt>
                <c:pt idx="98">
                  <c:v>1020.78997582068</c:v>
                </c:pt>
                <c:pt idx="99">
                  <c:v>1031.7971005608354</c:v>
                </c:pt>
                <c:pt idx="100">
                  <c:v>1093.2465915496414</c:v>
                </c:pt>
                <c:pt idx="101">
                  <c:v>1229.2054588684043</c:v>
                </c:pt>
                <c:pt idx="102">
                  <c:v>1345.454492582586</c:v>
                </c:pt>
                <c:pt idx="103">
                  <c:v>1485.8506489786648</c:v>
                </c:pt>
                <c:pt idx="104">
                  <c:v>1550.3256509698258</c:v>
                </c:pt>
                <c:pt idx="105">
                  <c:v>1595.5552032502601</c:v>
                </c:pt>
                <c:pt idx="106">
                  <c:v>1634.0718793541705</c:v>
                </c:pt>
                <c:pt idx="107">
                  <c:v>2209.9889553554067</c:v>
                </c:pt>
                <c:pt idx="108">
                  <c:v>2314.3722313003104</c:v>
                </c:pt>
                <c:pt idx="109">
                  <c:v>2692.7813294430007</c:v>
                </c:pt>
                <c:pt idx="110">
                  <c:v>2881.8342703699727</c:v>
                </c:pt>
                <c:pt idx="111">
                  <c:v>3253.5038510305785</c:v>
                </c:pt>
                <c:pt idx="112">
                  <c:v>3588.00135002652</c:v>
                </c:pt>
                <c:pt idx="113">
                  <c:v>3573.8975376818171</c:v>
                </c:pt>
                <c:pt idx="114">
                  <c:v>3421.737386336697</c:v>
                </c:pt>
                <c:pt idx="115">
                  <c:v>3543.2070254129908</c:v>
                </c:pt>
                <c:pt idx="116">
                  <c:v>4180.3207687152808</c:v>
                </c:pt>
                <c:pt idx="117">
                  <c:v>4774.2111444756529</c:v>
                </c:pt>
                <c:pt idx="118">
                  <c:v>5121.1493593487339</c:v>
                </c:pt>
                <c:pt idx="119">
                  <c:v>5407.3997280648409</c:v>
                </c:pt>
                <c:pt idx="120">
                  <c:v>5609.4230633570769</c:v>
                </c:pt>
                <c:pt idx="121">
                  <c:v>5944.993324263407</c:v>
                </c:pt>
                <c:pt idx="122">
                  <c:v>6714.9637837955725</c:v>
                </c:pt>
                <c:pt idx="123">
                  <c:v>7505.8719324930089</c:v>
                </c:pt>
                <c:pt idx="124">
                  <c:v>6930.8474191820278</c:v>
                </c:pt>
                <c:pt idx="125">
                  <c:v>7828.7918813768629</c:v>
                </c:pt>
                <c:pt idx="126">
                  <c:v>8668.789571442705</c:v>
                </c:pt>
                <c:pt idx="127">
                  <c:v>9095.4472558325433</c:v>
                </c:pt>
                <c:pt idx="128">
                  <c:v>9053.3077436337408</c:v>
                </c:pt>
                <c:pt idx="129">
                  <c:v>10024.702108438563</c:v>
                </c:pt>
                <c:pt idx="130">
                  <c:v>10189.376443313184</c:v>
                </c:pt>
                <c:pt idx="131">
                  <c:v>11497.050833827638</c:v>
                </c:pt>
                <c:pt idx="132">
                  <c:v>11494.815900196812</c:v>
                </c:pt>
                <c:pt idx="133">
                  <c:v>11965.969040912403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7B-164F-BD5D-780B794613D3}"/>
            </c:ext>
          </c:extLst>
        </c:ser>
        <c:ser>
          <c:idx val="6"/>
          <c:order val="6"/>
          <c:tx>
            <c:strRef>
              <c:f>真實再投資累積報酬!$A$18:$B$18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0.66789309115314288</c:v>
                </c:pt>
                <c:pt idx="2">
                  <c:v>0.7570217238877428</c:v>
                </c:pt>
                <c:pt idx="3">
                  <c:v>0.54726326952617166</c:v>
                </c:pt>
                <c:pt idx="4">
                  <c:v>0.71485721539846181</c:v>
                </c:pt>
                <c:pt idx="5">
                  <c:v>0.93528496186578036</c:v>
                </c:pt>
                <c:pt idx="6">
                  <c:v>1.1975164229819222</c:v>
                </c:pt>
                <c:pt idx="7">
                  <c:v>1.2929139417926931</c:v>
                </c:pt>
                <c:pt idx="8">
                  <c:v>1.6039428771456707</c:v>
                </c:pt>
                <c:pt idx="9">
                  <c:v>1.4824127711590465</c:v>
                </c:pt>
                <c:pt idx="10">
                  <c:v>1.5545304973480358</c:v>
                </c:pt>
                <c:pt idx="11">
                  <c:v>2.7342648664320901</c:v>
                </c:pt>
                <c:pt idx="12">
                  <c:v>2.8527827448053689</c:v>
                </c:pt>
                <c:pt idx="13">
                  <c:v>3.1708400222006841</c:v>
                </c:pt>
                <c:pt idx="14">
                  <c:v>3.9590262616829399</c:v>
                </c:pt>
                <c:pt idx="15">
                  <c:v>3.6540846391861619</c:v>
                </c:pt>
                <c:pt idx="16">
                  <c:v>5.4400087730526145</c:v>
                </c:pt>
                <c:pt idx="17">
                  <c:v>5.7768836841950506</c:v>
                </c:pt>
                <c:pt idx="18">
                  <c:v>6.6747870534905163</c:v>
                </c:pt>
                <c:pt idx="19">
                  <c:v>6.7737544691776179</c:v>
                </c:pt>
                <c:pt idx="20">
                  <c:v>7.3746423683816396</c:v>
                </c:pt>
                <c:pt idx="21">
                  <c:v>9.1762042900143346</c:v>
                </c:pt>
                <c:pt idx="22">
                  <c:v>8.9804921266192093</c:v>
                </c:pt>
                <c:pt idx="23">
                  <c:v>9.8710949883612251</c:v>
                </c:pt>
                <c:pt idx="24">
                  <c:v>11.747126998623042</c:v>
                </c:pt>
                <c:pt idx="25">
                  <c:v>12.826786981854964</c:v>
                </c:pt>
                <c:pt idx="26">
                  <c:v>12.845666359928787</c:v>
                </c:pt>
                <c:pt idx="27">
                  <c:v>14.178808213108551</c:v>
                </c:pt>
                <c:pt idx="28">
                  <c:v>18.100880942218915</c:v>
                </c:pt>
                <c:pt idx="29">
                  <c:v>20.976397083106825</c:v>
                </c:pt>
                <c:pt idx="30">
                  <c:v>21.690478704941242</c:v>
                </c:pt>
                <c:pt idx="31">
                  <c:v>20.778379072842451</c:v>
                </c:pt>
                <c:pt idx="32">
                  <c:v>23.350110077629161</c:v>
                </c:pt>
                <c:pt idx="33">
                  <c:v>22.196066897983808</c:v>
                </c:pt>
                <c:pt idx="34">
                  <c:v>22.895485855066504</c:v>
                </c:pt>
                <c:pt idx="35">
                  <c:v>22.875004010047874</c:v>
                </c:pt>
                <c:pt idx="36">
                  <c:v>24.466115581807529</c:v>
                </c:pt>
                <c:pt idx="37">
                  <c:v>26.485442047924508</c:v>
                </c:pt>
                <c:pt idx="38">
                  <c:v>27.161151863380169</c:v>
                </c:pt>
                <c:pt idx="39">
                  <c:v>29.365567178479672</c:v>
                </c:pt>
                <c:pt idx="40">
                  <c:v>28.855785698749187</c:v>
                </c:pt>
                <c:pt idx="41">
                  <c:v>27.013850060513825</c:v>
                </c:pt>
                <c:pt idx="42">
                  <c:v>24.68160941875739</c:v>
                </c:pt>
                <c:pt idx="43">
                  <c:v>28.954664789209872</c:v>
                </c:pt>
                <c:pt idx="44">
                  <c:v>34.845553445893714</c:v>
                </c:pt>
                <c:pt idx="45">
                  <c:v>37.004734184478416</c:v>
                </c:pt>
                <c:pt idx="46">
                  <c:v>40.720337780045092</c:v>
                </c:pt>
                <c:pt idx="47">
                  <c:v>45.97978451948071</c:v>
                </c:pt>
                <c:pt idx="48">
                  <c:v>47.613895454922904</c:v>
                </c:pt>
                <c:pt idx="49">
                  <c:v>50.839038507193393</c:v>
                </c:pt>
                <c:pt idx="50">
                  <c:v>60.194940771394727</c:v>
                </c:pt>
                <c:pt idx="51">
                  <c:v>79.621729132349529</c:v>
                </c:pt>
                <c:pt idx="52">
                  <c:v>81.874465575446109</c:v>
                </c:pt>
                <c:pt idx="53">
                  <c:v>83.554970309966265</c:v>
                </c:pt>
                <c:pt idx="54">
                  <c:v>91.264088176273717</c:v>
                </c:pt>
                <c:pt idx="55">
                  <c:v>106.48641667080045</c:v>
                </c:pt>
                <c:pt idx="56">
                  <c:v>122.25617610062321</c:v>
                </c:pt>
                <c:pt idx="57">
                  <c:v>139.25298895393962</c:v>
                </c:pt>
                <c:pt idx="58">
                  <c:v>154.54056572028259</c:v>
                </c:pt>
                <c:pt idx="59">
                  <c:v>170.02194040795783</c:v>
                </c:pt>
                <c:pt idx="60">
                  <c:v>157.4593283216451</c:v>
                </c:pt>
                <c:pt idx="61">
                  <c:v>166.29943845149072</c:v>
                </c:pt>
                <c:pt idx="62">
                  <c:v>170.99743360366574</c:v>
                </c:pt>
                <c:pt idx="63">
                  <c:v>157.54548975046109</c:v>
                </c:pt>
                <c:pt idx="64">
                  <c:v>160.75246802707181</c:v>
                </c:pt>
                <c:pt idx="65">
                  <c:v>150.64908536916485</c:v>
                </c:pt>
                <c:pt idx="66">
                  <c:v>150.9397639262736</c:v>
                </c:pt>
                <c:pt idx="67">
                  <c:v>169.31867397942989</c:v>
                </c:pt>
                <c:pt idx="68">
                  <c:v>174.91760344884523</c:v>
                </c:pt>
                <c:pt idx="69">
                  <c:v>177.25710652602521</c:v>
                </c:pt>
                <c:pt idx="70">
                  <c:v>197.12602559892994</c:v>
                </c:pt>
                <c:pt idx="71">
                  <c:v>204.97665566354576</c:v>
                </c:pt>
                <c:pt idx="72">
                  <c:v>249.95691065340435</c:v>
                </c:pt>
                <c:pt idx="73">
                  <c:v>245.98910264103785</c:v>
                </c:pt>
                <c:pt idx="74">
                  <c:v>224.38613451825381</c:v>
                </c:pt>
                <c:pt idx="75">
                  <c:v>258.94233391346722</c:v>
                </c:pt>
                <c:pt idx="76">
                  <c:v>263.12130825423975</c:v>
                </c:pt>
                <c:pt idx="77">
                  <c:v>291.34168901920322</c:v>
                </c:pt>
                <c:pt idx="78">
                  <c:v>321.9380866657562</c:v>
                </c:pt>
                <c:pt idx="79">
                  <c:v>384.49662543454099</c:v>
                </c:pt>
                <c:pt idx="80">
                  <c:v>414.28003964466711</c:v>
                </c:pt>
                <c:pt idx="81">
                  <c:v>444.10445197318296</c:v>
                </c:pt>
                <c:pt idx="82">
                  <c:v>484.88013946663256</c:v>
                </c:pt>
                <c:pt idx="83">
                  <c:v>563.91196799625595</c:v>
                </c:pt>
                <c:pt idx="84">
                  <c:v>585.86961029888323</c:v>
                </c:pt>
                <c:pt idx="85">
                  <c:v>583.65572304089039</c:v>
                </c:pt>
                <c:pt idx="86">
                  <c:v>639.81660099818157</c:v>
                </c:pt>
                <c:pt idx="87">
                  <c:v>619.95798606751032</c:v>
                </c:pt>
                <c:pt idx="88">
                  <c:v>683.7730399211149</c:v>
                </c:pt>
                <c:pt idx="89">
                  <c:v>766.59163713396435</c:v>
                </c:pt>
                <c:pt idx="90">
                  <c:v>941.81899124218012</c:v>
                </c:pt>
                <c:pt idx="91">
                  <c:v>1095.3467956753191</c:v>
                </c:pt>
                <c:pt idx="92">
                  <c:v>1137.2740305218854</c:v>
                </c:pt>
                <c:pt idx="93">
                  <c:v>1357.7832162825694</c:v>
                </c:pt>
                <c:pt idx="94">
                  <c:v>1436.1723014065674</c:v>
                </c:pt>
                <c:pt idx="95">
                  <c:v>1546.6489680776629</c:v>
                </c:pt>
                <c:pt idx="96">
                  <c:v>1770.38456439124</c:v>
                </c:pt>
                <c:pt idx="97">
                  <c:v>1995.3898494960138</c:v>
                </c:pt>
                <c:pt idx="98">
                  <c:v>2128.2667120213764</c:v>
                </c:pt>
                <c:pt idx="99">
                  <c:v>2259.3447665030899</c:v>
                </c:pt>
                <c:pt idx="100">
                  <c:v>2420.8060367703342</c:v>
                </c:pt>
                <c:pt idx="101">
                  <c:v>2742.5256850564201</c:v>
                </c:pt>
                <c:pt idx="102">
                  <c:v>2957.5024787538305</c:v>
                </c:pt>
                <c:pt idx="103">
                  <c:v>3306.9430405293606</c:v>
                </c:pt>
                <c:pt idx="104">
                  <c:v>3427.3812158915748</c:v>
                </c:pt>
                <c:pt idx="105">
                  <c:v>3567.9934852822375</c:v>
                </c:pt>
                <c:pt idx="106">
                  <c:v>3705.1163117220972</c:v>
                </c:pt>
                <c:pt idx="107">
                  <c:v>5064.1253381971583</c:v>
                </c:pt>
                <c:pt idx="108">
                  <c:v>5341.545870916887</c:v>
                </c:pt>
                <c:pt idx="109">
                  <c:v>6369.4654344563924</c:v>
                </c:pt>
                <c:pt idx="110">
                  <c:v>6993.5344297455522</c:v>
                </c:pt>
                <c:pt idx="111">
                  <c:v>8016.1079175165924</c:v>
                </c:pt>
                <c:pt idx="112">
                  <c:v>8870.1372102368332</c:v>
                </c:pt>
                <c:pt idx="113">
                  <c:v>8836.1583234304107</c:v>
                </c:pt>
                <c:pt idx="114">
                  <c:v>8319.5670842200179</c:v>
                </c:pt>
                <c:pt idx="115">
                  <c:v>8180.4300282722161</c:v>
                </c:pt>
                <c:pt idx="116">
                  <c:v>9982.9591857739961</c:v>
                </c:pt>
                <c:pt idx="117">
                  <c:v>11315.682676841321</c:v>
                </c:pt>
                <c:pt idx="118">
                  <c:v>12059.748431282753</c:v>
                </c:pt>
                <c:pt idx="119">
                  <c:v>12986.504237782423</c:v>
                </c:pt>
                <c:pt idx="120">
                  <c:v>13132.966178429642</c:v>
                </c:pt>
                <c:pt idx="121">
                  <c:v>13429.807405630258</c:v>
                </c:pt>
                <c:pt idx="122">
                  <c:v>15561.483759075179</c:v>
                </c:pt>
                <c:pt idx="123">
                  <c:v>17205.514017824957</c:v>
                </c:pt>
                <c:pt idx="124">
                  <c:v>16024.495766742917</c:v>
                </c:pt>
                <c:pt idx="125">
                  <c:v>18486.059631827029</c:v>
                </c:pt>
                <c:pt idx="126">
                  <c:v>21015.68625738622</c:v>
                </c:pt>
                <c:pt idx="127">
                  <c:v>22163.821822859729</c:v>
                </c:pt>
                <c:pt idx="128">
                  <c:v>22058.798308830286</c:v>
                </c:pt>
                <c:pt idx="129">
                  <c:v>24484.589789162321</c:v>
                </c:pt>
                <c:pt idx="130">
                  <c:v>24552.270785597862</c:v>
                </c:pt>
                <c:pt idx="131">
                  <c:v>27264.867572325205</c:v>
                </c:pt>
                <c:pt idx="132">
                  <c:v>27295.140475578366</c:v>
                </c:pt>
                <c:pt idx="133">
                  <c:v>29040.779351823916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7B-164F-BD5D-780B794613D3}"/>
            </c:ext>
          </c:extLst>
        </c:ser>
        <c:ser>
          <c:idx val="7"/>
          <c:order val="7"/>
          <c:tx>
            <c:strRef>
              <c:f>真實再投資累積報酬!$A$19:$B$19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0.68423979287977788</c:v>
                </c:pt>
                <c:pt idx="2">
                  <c:v>0.79508382424867841</c:v>
                </c:pt>
                <c:pt idx="3">
                  <c:v>0.47611778168912267</c:v>
                </c:pt>
                <c:pt idx="4">
                  <c:v>0.6179224709627491</c:v>
                </c:pt>
                <c:pt idx="5">
                  <c:v>0.90528195068418826</c:v>
                </c:pt>
                <c:pt idx="6">
                  <c:v>1.1618364207237195</c:v>
                </c:pt>
                <c:pt idx="7">
                  <c:v>1.2384293869105778</c:v>
                </c:pt>
                <c:pt idx="8">
                  <c:v>1.7729426301117703</c:v>
                </c:pt>
                <c:pt idx="9">
                  <c:v>1.6887528567618419</c:v>
                </c:pt>
                <c:pt idx="10">
                  <c:v>1.5712806094839711</c:v>
                </c:pt>
                <c:pt idx="11">
                  <c:v>2.9401648383176955</c:v>
                </c:pt>
                <c:pt idx="12">
                  <c:v>3.0645238264103183</c:v>
                </c:pt>
                <c:pt idx="13">
                  <c:v>3.4406312309236373</c:v>
                </c:pt>
                <c:pt idx="14">
                  <c:v>4.3161597982564182</c:v>
                </c:pt>
                <c:pt idx="15">
                  <c:v>3.8361154028255475</c:v>
                </c:pt>
                <c:pt idx="16">
                  <c:v>4.7267349797729992</c:v>
                </c:pt>
                <c:pt idx="17">
                  <c:v>5.0214597762458402</c:v>
                </c:pt>
                <c:pt idx="18">
                  <c:v>5.8385618640213535</c:v>
                </c:pt>
                <c:pt idx="19">
                  <c:v>6.088981025821445</c:v>
                </c:pt>
                <c:pt idx="20">
                  <c:v>6.602335494290493</c:v>
                </c:pt>
                <c:pt idx="21">
                  <c:v>7.7381234543224355</c:v>
                </c:pt>
                <c:pt idx="22">
                  <c:v>7.5141772556353228</c:v>
                </c:pt>
                <c:pt idx="23">
                  <c:v>8.2942386030832402</c:v>
                </c:pt>
                <c:pt idx="24">
                  <c:v>9.5195250265967903</c:v>
                </c:pt>
                <c:pt idx="25">
                  <c:v>10.595184392752691</c:v>
                </c:pt>
                <c:pt idx="26">
                  <c:v>10.759158188057008</c:v>
                </c:pt>
                <c:pt idx="27">
                  <c:v>11.887953100143465</c:v>
                </c:pt>
                <c:pt idx="28">
                  <c:v>15.863794584814837</c:v>
                </c:pt>
                <c:pt idx="29">
                  <c:v>18.710918817510276</c:v>
                </c:pt>
                <c:pt idx="30">
                  <c:v>19.147244034575888</c:v>
                </c:pt>
                <c:pt idx="31">
                  <c:v>18.007761943966177</c:v>
                </c:pt>
                <c:pt idx="32">
                  <c:v>19.747909878094983</c:v>
                </c:pt>
                <c:pt idx="33">
                  <c:v>18.678452839744704</c:v>
                </c:pt>
                <c:pt idx="34">
                  <c:v>18.827065352041842</c:v>
                </c:pt>
                <c:pt idx="35">
                  <c:v>18.804495542649434</c:v>
                </c:pt>
                <c:pt idx="36">
                  <c:v>19.658188361429801</c:v>
                </c:pt>
                <c:pt idx="37">
                  <c:v>21.384557927479474</c:v>
                </c:pt>
                <c:pt idx="38">
                  <c:v>22.635633693390776</c:v>
                </c:pt>
                <c:pt idx="39">
                  <c:v>24.705503521180859</c:v>
                </c:pt>
                <c:pt idx="40">
                  <c:v>23.293555908020021</c:v>
                </c:pt>
                <c:pt idx="41">
                  <c:v>21.480847695757276</c:v>
                </c:pt>
                <c:pt idx="42">
                  <c:v>19.025964394660416</c:v>
                </c:pt>
                <c:pt idx="43">
                  <c:v>22.722630533600555</c:v>
                </c:pt>
                <c:pt idx="44">
                  <c:v>28.388666177170133</c:v>
                </c:pt>
                <c:pt idx="45">
                  <c:v>28.299541825913405</c:v>
                </c:pt>
                <c:pt idx="46">
                  <c:v>32.304595732418171</c:v>
                </c:pt>
                <c:pt idx="47">
                  <c:v>39.768948128928429</c:v>
                </c:pt>
                <c:pt idx="48">
                  <c:v>40.972813191196799</c:v>
                </c:pt>
                <c:pt idx="49">
                  <c:v>44.499886620217175</c:v>
                </c:pt>
                <c:pt idx="50">
                  <c:v>53.008228918537931</c:v>
                </c:pt>
                <c:pt idx="51">
                  <c:v>72.675915886014181</c:v>
                </c:pt>
                <c:pt idx="52">
                  <c:v>86.274411517253228</c:v>
                </c:pt>
                <c:pt idx="53">
                  <c:v>86.268229579770747</c:v>
                </c:pt>
                <c:pt idx="54">
                  <c:v>94.077053749318395</c:v>
                </c:pt>
                <c:pt idx="55">
                  <c:v>107.55987701952654</c:v>
                </c:pt>
                <c:pt idx="56">
                  <c:v>124.20305619253595</c:v>
                </c:pt>
                <c:pt idx="57">
                  <c:v>141.79369820351863</c:v>
                </c:pt>
                <c:pt idx="58">
                  <c:v>160.04253703795365</c:v>
                </c:pt>
                <c:pt idx="59">
                  <c:v>168.38778814768324</c:v>
                </c:pt>
                <c:pt idx="60">
                  <c:v>151.95059480491824</c:v>
                </c:pt>
                <c:pt idx="61">
                  <c:v>161.61164781210016</c:v>
                </c:pt>
                <c:pt idx="62">
                  <c:v>166.78046472026375</c:v>
                </c:pt>
                <c:pt idx="63">
                  <c:v>153.12059022165269</c:v>
                </c:pt>
                <c:pt idx="64">
                  <c:v>157.08595291762234</c:v>
                </c:pt>
                <c:pt idx="65">
                  <c:v>155.1243170231852</c:v>
                </c:pt>
                <c:pt idx="66">
                  <c:v>156.67526292889434</c:v>
                </c:pt>
                <c:pt idx="67">
                  <c:v>178.25142537214873</c:v>
                </c:pt>
                <c:pt idx="68">
                  <c:v>177.62405758326295</c:v>
                </c:pt>
                <c:pt idx="69">
                  <c:v>175.26714291412807</c:v>
                </c:pt>
                <c:pt idx="70">
                  <c:v>198.30011736800293</c:v>
                </c:pt>
                <c:pt idx="71">
                  <c:v>204.34903376901809</c:v>
                </c:pt>
                <c:pt idx="72">
                  <c:v>267.4842116467762</c:v>
                </c:pt>
                <c:pt idx="73">
                  <c:v>257.71214704809989</c:v>
                </c:pt>
                <c:pt idx="74">
                  <c:v>237.04960286795892</c:v>
                </c:pt>
                <c:pt idx="75">
                  <c:v>253.40411639803378</c:v>
                </c:pt>
                <c:pt idx="76">
                  <c:v>260.86547245579231</c:v>
                </c:pt>
                <c:pt idx="77">
                  <c:v>294.3419616563321</c:v>
                </c:pt>
                <c:pt idx="78">
                  <c:v>300.98882939804901</c:v>
                </c:pt>
                <c:pt idx="79">
                  <c:v>366.10341862611693</c:v>
                </c:pt>
                <c:pt idx="80">
                  <c:v>398.58258766954708</c:v>
                </c:pt>
                <c:pt idx="81">
                  <c:v>430.5109934713156</c:v>
                </c:pt>
                <c:pt idx="82">
                  <c:v>455.15787652237822</c:v>
                </c:pt>
                <c:pt idx="83">
                  <c:v>524.89979361766132</c:v>
                </c:pt>
                <c:pt idx="84">
                  <c:v>544.39329295334494</c:v>
                </c:pt>
                <c:pt idx="85">
                  <c:v>537.95114950207028</c:v>
                </c:pt>
                <c:pt idx="86">
                  <c:v>601.97707093062536</c:v>
                </c:pt>
                <c:pt idx="87">
                  <c:v>575.90417356520629</c:v>
                </c:pt>
                <c:pt idx="88">
                  <c:v>639.49930128886251</c:v>
                </c:pt>
                <c:pt idx="89">
                  <c:v>731.21445254390835</c:v>
                </c:pt>
                <c:pt idx="90">
                  <c:v>915.17283867174547</c:v>
                </c:pt>
                <c:pt idx="91">
                  <c:v>1060.8741863227344</c:v>
                </c:pt>
                <c:pt idx="92">
                  <c:v>1095.2731838204757</c:v>
                </c:pt>
                <c:pt idx="93">
                  <c:v>1288.5535177388072</c:v>
                </c:pt>
                <c:pt idx="94">
                  <c:v>1358.5123757927724</c:v>
                </c:pt>
                <c:pt idx="95">
                  <c:v>1394.4334117859689</c:v>
                </c:pt>
                <c:pt idx="96">
                  <c:v>1599.01447607214</c:v>
                </c:pt>
                <c:pt idx="97">
                  <c:v>1750.3006575825109</c:v>
                </c:pt>
                <c:pt idx="98">
                  <c:v>1856.2821555216544</c:v>
                </c:pt>
                <c:pt idx="99">
                  <c:v>1963.3261043436576</c:v>
                </c:pt>
                <c:pt idx="100">
                  <c:v>2107.0181958148164</c:v>
                </c:pt>
                <c:pt idx="101">
                  <c:v>2344.911904021998</c:v>
                </c:pt>
                <c:pt idx="102">
                  <c:v>2521.2834257461318</c:v>
                </c:pt>
                <c:pt idx="103">
                  <c:v>2894.4830037029551</c:v>
                </c:pt>
                <c:pt idx="104">
                  <c:v>2792.6216492059725</c:v>
                </c:pt>
                <c:pt idx="105">
                  <c:v>2809.9452469673001</c:v>
                </c:pt>
                <c:pt idx="106">
                  <c:v>2902.7582027063941</c:v>
                </c:pt>
                <c:pt idx="107">
                  <c:v>3499.4887406774656</c:v>
                </c:pt>
                <c:pt idx="108">
                  <c:v>3731.831930595562</c:v>
                </c:pt>
                <c:pt idx="109">
                  <c:v>4570.1936309972598</c:v>
                </c:pt>
                <c:pt idx="110">
                  <c:v>5065.992910871274</c:v>
                </c:pt>
                <c:pt idx="111">
                  <c:v>5903.3158656050446</c:v>
                </c:pt>
                <c:pt idx="112">
                  <c:v>6620.3399205346986</c:v>
                </c:pt>
                <c:pt idx="113">
                  <c:v>6540.9978218363894</c:v>
                </c:pt>
                <c:pt idx="114">
                  <c:v>6166.1424369781344</c:v>
                </c:pt>
                <c:pt idx="115">
                  <c:v>6181.4068736703257</c:v>
                </c:pt>
                <c:pt idx="116">
                  <c:v>7722.4408238094102</c:v>
                </c:pt>
                <c:pt idx="117">
                  <c:v>9037.4966552967453</c:v>
                </c:pt>
                <c:pt idx="118">
                  <c:v>9763.9583386274317</c:v>
                </c:pt>
                <c:pt idx="119">
                  <c:v>10505.727554150624</c:v>
                </c:pt>
                <c:pt idx="120">
                  <c:v>10446.066852855638</c:v>
                </c:pt>
                <c:pt idx="121">
                  <c:v>10498.649515738078</c:v>
                </c:pt>
                <c:pt idx="122">
                  <c:v>12079.712988941708</c:v>
                </c:pt>
                <c:pt idx="123">
                  <c:v>13427.01095862663</c:v>
                </c:pt>
                <c:pt idx="124">
                  <c:v>12066.793732550628</c:v>
                </c:pt>
                <c:pt idx="125">
                  <c:v>13736.555632313635</c:v>
                </c:pt>
                <c:pt idx="126">
                  <c:v>15649.482779002044</c:v>
                </c:pt>
                <c:pt idx="127">
                  <c:v>16878.632570257916</c:v>
                </c:pt>
                <c:pt idx="128">
                  <c:v>17434.305469622901</c:v>
                </c:pt>
                <c:pt idx="129">
                  <c:v>19330.456131059414</c:v>
                </c:pt>
                <c:pt idx="130">
                  <c:v>19094.804845244696</c:v>
                </c:pt>
                <c:pt idx="131">
                  <c:v>21977.036202743879</c:v>
                </c:pt>
                <c:pt idx="132">
                  <c:v>21816.457344234565</c:v>
                </c:pt>
                <c:pt idx="133">
                  <c:v>23431.385536854807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7B-164F-BD5D-780B794613D3}"/>
            </c:ext>
          </c:extLst>
        </c:ser>
        <c:ser>
          <c:idx val="8"/>
          <c:order val="8"/>
          <c:tx>
            <c:strRef>
              <c:f>真實再投資累積報酬!$A$20:$B$20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0.66057448201580016</c:v>
                </c:pt>
                <c:pt idx="2">
                  <c:v>0.75578385205707255</c:v>
                </c:pt>
                <c:pt idx="3">
                  <c:v>0.39491537704801161</c:v>
                </c:pt>
                <c:pt idx="4">
                  <c:v>0.55837594276274238</c:v>
                </c:pt>
                <c:pt idx="5">
                  <c:v>0.7826764206316581</c:v>
                </c:pt>
                <c:pt idx="6">
                  <c:v>1.0646059168138522</c:v>
                </c:pt>
                <c:pt idx="7">
                  <c:v>1.1357754815413408</c:v>
                </c:pt>
                <c:pt idx="8">
                  <c:v>1.5943788119603908</c:v>
                </c:pt>
                <c:pt idx="9">
                  <c:v>1.5147479864576034</c:v>
                </c:pt>
                <c:pt idx="10">
                  <c:v>1.319306228351071</c:v>
                </c:pt>
                <c:pt idx="11">
                  <c:v>2.4789862464788555</c:v>
                </c:pt>
                <c:pt idx="12">
                  <c:v>2.652465499296095</c:v>
                </c:pt>
                <c:pt idx="13">
                  <c:v>2.9854605146787034</c:v>
                </c:pt>
                <c:pt idx="14">
                  <c:v>3.8492123899896358</c:v>
                </c:pt>
                <c:pt idx="15">
                  <c:v>3.3194211189481955</c:v>
                </c:pt>
                <c:pt idx="16">
                  <c:v>3.9897201978467249</c:v>
                </c:pt>
                <c:pt idx="17">
                  <c:v>4.4161689085598779</c:v>
                </c:pt>
                <c:pt idx="18">
                  <c:v>5.2212806842811412</c:v>
                </c:pt>
                <c:pt idx="19">
                  <c:v>5.2999431987741676</c:v>
                </c:pt>
                <c:pt idx="20">
                  <c:v>5.8737735250345136</c:v>
                </c:pt>
                <c:pt idx="21">
                  <c:v>7.3199220802101319</c:v>
                </c:pt>
                <c:pt idx="22">
                  <c:v>6.9699238451389478</c:v>
                </c:pt>
                <c:pt idx="23">
                  <c:v>7.8116829769487612</c:v>
                </c:pt>
                <c:pt idx="24">
                  <c:v>8.9614610537645998</c:v>
                </c:pt>
                <c:pt idx="25">
                  <c:v>9.8057929060816651</c:v>
                </c:pt>
                <c:pt idx="26">
                  <c:v>10.316347848292219</c:v>
                </c:pt>
                <c:pt idx="27">
                  <c:v>11.785691875418886</c:v>
                </c:pt>
                <c:pt idx="28">
                  <c:v>13.847016553887215</c:v>
                </c:pt>
                <c:pt idx="29">
                  <c:v>17.165292381786138</c:v>
                </c:pt>
                <c:pt idx="30">
                  <c:v>17.667730173615002</c:v>
                </c:pt>
                <c:pt idx="31">
                  <c:v>15.984307855129344</c:v>
                </c:pt>
                <c:pt idx="32">
                  <c:v>17.960214674933098</c:v>
                </c:pt>
                <c:pt idx="33">
                  <c:v>16.784870312205076</c:v>
                </c:pt>
                <c:pt idx="34">
                  <c:v>16.543082946229216</c:v>
                </c:pt>
                <c:pt idx="35">
                  <c:v>16.444525906237299</c:v>
                </c:pt>
                <c:pt idx="36">
                  <c:v>17.02186959980212</c:v>
                </c:pt>
                <c:pt idx="37">
                  <c:v>18.381983586073339</c:v>
                </c:pt>
                <c:pt idx="38">
                  <c:v>19.333799746714238</c:v>
                </c:pt>
                <c:pt idx="39">
                  <c:v>22.012380566423591</c:v>
                </c:pt>
                <c:pt idx="40">
                  <c:v>23.689950892383077</c:v>
                </c:pt>
                <c:pt idx="41">
                  <c:v>23.36184119698402</c:v>
                </c:pt>
                <c:pt idx="42">
                  <c:v>22.331537116906194</c:v>
                </c:pt>
                <c:pt idx="43">
                  <c:v>27.91066170595456</c:v>
                </c:pt>
                <c:pt idx="44">
                  <c:v>36.054766197860253</c:v>
                </c:pt>
                <c:pt idx="45">
                  <c:v>34.859875500373811</c:v>
                </c:pt>
                <c:pt idx="46">
                  <c:v>42.928270058538168</c:v>
                </c:pt>
                <c:pt idx="47">
                  <c:v>51.904538496516096</c:v>
                </c:pt>
                <c:pt idx="48">
                  <c:v>53.950605569130147</c:v>
                </c:pt>
                <c:pt idx="49">
                  <c:v>59.434906797472721</c:v>
                </c:pt>
                <c:pt idx="50">
                  <c:v>68.581004722388641</c:v>
                </c:pt>
                <c:pt idx="51">
                  <c:v>94.913712278170948</c:v>
                </c:pt>
                <c:pt idx="52">
                  <c:v>117.94649588548724</c:v>
                </c:pt>
                <c:pt idx="53">
                  <c:v>118.9413167984751</c:v>
                </c:pt>
                <c:pt idx="54">
                  <c:v>130.7289544769277</c:v>
                </c:pt>
                <c:pt idx="55">
                  <c:v>148.90376470886497</c:v>
                </c:pt>
                <c:pt idx="56">
                  <c:v>163.00402096080978</c:v>
                </c:pt>
                <c:pt idx="57">
                  <c:v>187.6140216277411</c:v>
                </c:pt>
                <c:pt idx="58">
                  <c:v>212.46302628309678</c:v>
                </c:pt>
                <c:pt idx="59">
                  <c:v>224.23717719421455</c:v>
                </c:pt>
                <c:pt idx="60">
                  <c:v>197.73779806013803</c:v>
                </c:pt>
                <c:pt idx="61">
                  <c:v>211.62150972445133</c:v>
                </c:pt>
                <c:pt idx="62">
                  <c:v>221.71434480119999</c:v>
                </c:pt>
                <c:pt idx="63">
                  <c:v>225.86484933091518</c:v>
                </c:pt>
                <c:pt idx="64">
                  <c:v>217.13923758164435</c:v>
                </c:pt>
                <c:pt idx="65">
                  <c:v>218.72812016034152</c:v>
                </c:pt>
                <c:pt idx="66">
                  <c:v>222.12329468411602</c:v>
                </c:pt>
                <c:pt idx="67">
                  <c:v>262.53696585859149</c:v>
                </c:pt>
                <c:pt idx="68">
                  <c:v>253.96247502960767</c:v>
                </c:pt>
                <c:pt idx="69">
                  <c:v>240.58495091226919</c:v>
                </c:pt>
                <c:pt idx="70">
                  <c:v>276.68764756154962</c:v>
                </c:pt>
                <c:pt idx="71">
                  <c:v>254.04404104497667</c:v>
                </c:pt>
                <c:pt idx="72">
                  <c:v>343.77607124835771</c:v>
                </c:pt>
                <c:pt idx="73">
                  <c:v>325.55169080866926</c:v>
                </c:pt>
                <c:pt idx="74">
                  <c:v>324.03670023407636</c:v>
                </c:pt>
                <c:pt idx="75">
                  <c:v>353.37821960033534</c:v>
                </c:pt>
                <c:pt idx="76">
                  <c:v>367.58975296843198</c:v>
                </c:pt>
                <c:pt idx="77">
                  <c:v>414.21466120607499</c:v>
                </c:pt>
                <c:pt idx="78">
                  <c:v>419.57707551261916</c:v>
                </c:pt>
                <c:pt idx="79">
                  <c:v>495.71309099458244</c:v>
                </c:pt>
                <c:pt idx="80">
                  <c:v>538.31984848606112</c:v>
                </c:pt>
                <c:pt idx="81">
                  <c:v>581.98207090979542</c:v>
                </c:pt>
                <c:pt idx="82">
                  <c:v>626.27135918572822</c:v>
                </c:pt>
                <c:pt idx="83">
                  <c:v>671.34960419860317</c:v>
                </c:pt>
                <c:pt idx="84">
                  <c:v>691.78545107699108</c:v>
                </c:pt>
                <c:pt idx="85">
                  <c:v>663.02793754425807</c:v>
                </c:pt>
                <c:pt idx="86">
                  <c:v>716.54169931701642</c:v>
                </c:pt>
                <c:pt idx="87">
                  <c:v>650.39516498752153</c:v>
                </c:pt>
                <c:pt idx="88">
                  <c:v>713.43341096305699</c:v>
                </c:pt>
                <c:pt idx="89">
                  <c:v>859.81498254974508</c:v>
                </c:pt>
                <c:pt idx="90">
                  <c:v>1115.1098086954637</c:v>
                </c:pt>
                <c:pt idx="91">
                  <c:v>1329.4377202932596</c:v>
                </c:pt>
                <c:pt idx="92">
                  <c:v>1360.1948397802046</c:v>
                </c:pt>
                <c:pt idx="93">
                  <c:v>1626.2895246210107</c:v>
                </c:pt>
                <c:pt idx="94">
                  <c:v>1784.35970784345</c:v>
                </c:pt>
                <c:pt idx="95">
                  <c:v>1835.0914180857046</c:v>
                </c:pt>
                <c:pt idx="96">
                  <c:v>2104.4974563349201</c:v>
                </c:pt>
                <c:pt idx="97">
                  <c:v>2355.5025000459127</c:v>
                </c:pt>
                <c:pt idx="98">
                  <c:v>2515.5177581223243</c:v>
                </c:pt>
                <c:pt idx="99">
                  <c:v>2742.7556649137655</c:v>
                </c:pt>
                <c:pt idx="100">
                  <c:v>3041.0902546223019</c:v>
                </c:pt>
                <c:pt idx="101">
                  <c:v>3513.1059832218421</c:v>
                </c:pt>
                <c:pt idx="102">
                  <c:v>3783.978894978155</c:v>
                </c:pt>
                <c:pt idx="103">
                  <c:v>4075.2973655879387</c:v>
                </c:pt>
                <c:pt idx="104">
                  <c:v>3873.0597421643106</c:v>
                </c:pt>
                <c:pt idx="105">
                  <c:v>3886.9954508163387</c:v>
                </c:pt>
                <c:pt idx="106">
                  <c:v>3927.5033930271043</c:v>
                </c:pt>
                <c:pt idx="107">
                  <c:v>4892.2471851710925</c:v>
                </c:pt>
                <c:pt idx="108">
                  <c:v>5148.3881236766219</c:v>
                </c:pt>
                <c:pt idx="109">
                  <c:v>6581.4607787405766</c:v>
                </c:pt>
                <c:pt idx="110">
                  <c:v>7487.1810520521658</c:v>
                </c:pt>
                <c:pt idx="111">
                  <c:v>8509.7527723110798</c:v>
                </c:pt>
                <c:pt idx="112">
                  <c:v>9234.7378429192904</c:v>
                </c:pt>
                <c:pt idx="113">
                  <c:v>9054.9607577954266</c:v>
                </c:pt>
                <c:pt idx="114">
                  <c:v>8427.0584738850757</c:v>
                </c:pt>
                <c:pt idx="115">
                  <c:v>8916.0477401750886</c:v>
                </c:pt>
                <c:pt idx="116">
                  <c:v>11216.654974188001</c:v>
                </c:pt>
                <c:pt idx="117">
                  <c:v>13461.929582471337</c:v>
                </c:pt>
                <c:pt idx="118">
                  <c:v>14235.511961480686</c:v>
                </c:pt>
                <c:pt idx="119">
                  <c:v>15353.258385101111</c:v>
                </c:pt>
                <c:pt idx="120">
                  <c:v>15238.224281279932</c:v>
                </c:pt>
                <c:pt idx="121">
                  <c:v>14785.842745458591</c:v>
                </c:pt>
                <c:pt idx="122">
                  <c:v>17393.883964163047</c:v>
                </c:pt>
                <c:pt idx="123">
                  <c:v>19643.833438089914</c:v>
                </c:pt>
                <c:pt idx="124">
                  <c:v>17609.677728009392</c:v>
                </c:pt>
                <c:pt idx="125">
                  <c:v>20319.368071897872</c:v>
                </c:pt>
                <c:pt idx="126">
                  <c:v>22790.133817980779</c:v>
                </c:pt>
                <c:pt idx="127">
                  <c:v>24845.880413682353</c:v>
                </c:pt>
                <c:pt idx="128">
                  <c:v>24698.647757158415</c:v>
                </c:pt>
                <c:pt idx="129">
                  <c:v>26734.075148209558</c:v>
                </c:pt>
                <c:pt idx="130">
                  <c:v>27644.393266076375</c:v>
                </c:pt>
                <c:pt idx="131">
                  <c:v>32535.384756460204</c:v>
                </c:pt>
                <c:pt idx="132">
                  <c:v>32478.719388768353</c:v>
                </c:pt>
                <c:pt idx="133">
                  <c:v>35265.479312324671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7B-164F-BD5D-780B794613D3}"/>
            </c:ext>
          </c:extLst>
        </c:ser>
        <c:ser>
          <c:idx val="9"/>
          <c:order val="9"/>
          <c:tx>
            <c:strRef>
              <c:f>真實再投資累積報酬!$A$21:$B$21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0.3681464342645</c:v>
                </c:pt>
                <c:pt idx="2">
                  <c:v>0.34941445735976773</c:v>
                </c:pt>
                <c:pt idx="3">
                  <c:v>0.10107013462847059</c:v>
                </c:pt>
                <c:pt idx="4">
                  <c:v>0.25945043131923073</c:v>
                </c:pt>
                <c:pt idx="5">
                  <c:v>0.46368795106368244</c:v>
                </c:pt>
                <c:pt idx="6">
                  <c:v>0.67922421040641989</c:v>
                </c:pt>
                <c:pt idx="7">
                  <c:v>0.78070867247162279</c:v>
                </c:pt>
                <c:pt idx="8">
                  <c:v>1.149101728937024</c:v>
                </c:pt>
                <c:pt idx="9">
                  <c:v>1.159913859735306</c:v>
                </c:pt>
                <c:pt idx="10">
                  <c:v>0.94460372483083188</c:v>
                </c:pt>
                <c:pt idx="11">
                  <c:v>2.0819839697489995</c:v>
                </c:pt>
                <c:pt idx="12">
                  <c:v>2.1878562505958348</c:v>
                </c:pt>
                <c:pt idx="13">
                  <c:v>2.6493704912570326</c:v>
                </c:pt>
                <c:pt idx="14">
                  <c:v>3.5883902827597574</c:v>
                </c:pt>
                <c:pt idx="15">
                  <c:v>3.1498534540063545</c:v>
                </c:pt>
                <c:pt idx="16">
                  <c:v>3.6834842942325219</c:v>
                </c:pt>
                <c:pt idx="17">
                  <c:v>4.1446279921728451</c:v>
                </c:pt>
                <c:pt idx="18">
                  <c:v>4.5884983545386735</c:v>
                </c:pt>
                <c:pt idx="19">
                  <c:v>4.8878050222387479</c:v>
                </c:pt>
                <c:pt idx="20">
                  <c:v>5.6208293877511952</c:v>
                </c:pt>
                <c:pt idx="21">
                  <c:v>7.0352434080358073</c:v>
                </c:pt>
                <c:pt idx="22">
                  <c:v>6.8678445160553068</c:v>
                </c:pt>
                <c:pt idx="23">
                  <c:v>7.7663837306372709</c:v>
                </c:pt>
                <c:pt idx="24">
                  <c:v>8.7362605458080989</c:v>
                </c:pt>
                <c:pt idx="25">
                  <c:v>10.000412549184889</c:v>
                </c:pt>
                <c:pt idx="26">
                  <c:v>10.207525420327121</c:v>
                </c:pt>
                <c:pt idx="27">
                  <c:v>11.651329278838052</c:v>
                </c:pt>
                <c:pt idx="28">
                  <c:v>13.272027547847925</c:v>
                </c:pt>
                <c:pt idx="29">
                  <c:v>17.484334529802826</c:v>
                </c:pt>
                <c:pt idx="30">
                  <c:v>18.303241895068897</c:v>
                </c:pt>
                <c:pt idx="31">
                  <c:v>16.226572830079487</c:v>
                </c:pt>
                <c:pt idx="32">
                  <c:v>17.98582366042173</c:v>
                </c:pt>
                <c:pt idx="33">
                  <c:v>16.649120253474379</c:v>
                </c:pt>
                <c:pt idx="34">
                  <c:v>16.017225842727054</c:v>
                </c:pt>
                <c:pt idx="35">
                  <c:v>16.353830824202657</c:v>
                </c:pt>
                <c:pt idx="36">
                  <c:v>17.543189632048964</c:v>
                </c:pt>
                <c:pt idx="37">
                  <c:v>19.619212010083228</c:v>
                </c:pt>
                <c:pt idx="38">
                  <c:v>21.383552102263749</c:v>
                </c:pt>
                <c:pt idx="39">
                  <c:v>23.007146267608455</c:v>
                </c:pt>
                <c:pt idx="40">
                  <c:v>26.205474321964324</c:v>
                </c:pt>
                <c:pt idx="41">
                  <c:v>27.511017425095329</c:v>
                </c:pt>
                <c:pt idx="42">
                  <c:v>26.216426721666675</c:v>
                </c:pt>
                <c:pt idx="43">
                  <c:v>33.424377751315632</c:v>
                </c:pt>
                <c:pt idx="44">
                  <c:v>45.351779185063663</c:v>
                </c:pt>
                <c:pt idx="45">
                  <c:v>42.166767076814693</c:v>
                </c:pt>
                <c:pt idx="46">
                  <c:v>53.53063073374949</c:v>
                </c:pt>
                <c:pt idx="47">
                  <c:v>65.402947092284805</c:v>
                </c:pt>
                <c:pt idx="48">
                  <c:v>68.525299389310391</c:v>
                </c:pt>
                <c:pt idx="49">
                  <c:v>76.069002948948736</c:v>
                </c:pt>
                <c:pt idx="50">
                  <c:v>86.827257743099864</c:v>
                </c:pt>
                <c:pt idx="51">
                  <c:v>122.34736102115994</c:v>
                </c:pt>
                <c:pt idx="52">
                  <c:v>142.63313362671695</c:v>
                </c:pt>
                <c:pt idx="53">
                  <c:v>148.12315107676415</c:v>
                </c:pt>
                <c:pt idx="54">
                  <c:v>168.5150494448734</c:v>
                </c:pt>
                <c:pt idx="55">
                  <c:v>202.26841423343265</c:v>
                </c:pt>
                <c:pt idx="56">
                  <c:v>221.02715601033816</c:v>
                </c:pt>
                <c:pt idx="57">
                  <c:v>244.7490057552815</c:v>
                </c:pt>
                <c:pt idx="58">
                  <c:v>285.53586900172684</c:v>
                </c:pt>
                <c:pt idx="59">
                  <c:v>291.95319795785673</c:v>
                </c:pt>
                <c:pt idx="60">
                  <c:v>270.64854282786905</c:v>
                </c:pt>
                <c:pt idx="61">
                  <c:v>294.3745412878535</c:v>
                </c:pt>
                <c:pt idx="62">
                  <c:v>306.42443018529366</c:v>
                </c:pt>
                <c:pt idx="63">
                  <c:v>314.35236824701957</c:v>
                </c:pt>
                <c:pt idx="64">
                  <c:v>294.21483751425569</c:v>
                </c:pt>
                <c:pt idx="65">
                  <c:v>292.98083949344613</c:v>
                </c:pt>
                <c:pt idx="66">
                  <c:v>309.01521030201923</c:v>
                </c:pt>
                <c:pt idx="67">
                  <c:v>353.05642243179852</c:v>
                </c:pt>
                <c:pt idx="68">
                  <c:v>329.7801084984261</c:v>
                </c:pt>
                <c:pt idx="69">
                  <c:v>309.66140073933485</c:v>
                </c:pt>
                <c:pt idx="70">
                  <c:v>362.70310697876744</c:v>
                </c:pt>
                <c:pt idx="71">
                  <c:v>346.57651847437972</c:v>
                </c:pt>
                <c:pt idx="72">
                  <c:v>410.69071619882845</c:v>
                </c:pt>
                <c:pt idx="73">
                  <c:v>378.92332254209919</c:v>
                </c:pt>
                <c:pt idx="74">
                  <c:v>357.77439983982885</c:v>
                </c:pt>
                <c:pt idx="75">
                  <c:v>374.87463848621212</c:v>
                </c:pt>
                <c:pt idx="76">
                  <c:v>397.62167074955312</c:v>
                </c:pt>
                <c:pt idx="77">
                  <c:v>480.48325710368044</c:v>
                </c:pt>
                <c:pt idx="78">
                  <c:v>476.6220021233375</c:v>
                </c:pt>
                <c:pt idx="79">
                  <c:v>614.20391630791096</c:v>
                </c:pt>
                <c:pt idx="80">
                  <c:v>652.04787761763384</c:v>
                </c:pt>
                <c:pt idx="81">
                  <c:v>737.77064925661637</c:v>
                </c:pt>
                <c:pt idx="82">
                  <c:v>800.62919778705714</c:v>
                </c:pt>
                <c:pt idx="83">
                  <c:v>864.83995391386645</c:v>
                </c:pt>
                <c:pt idx="84">
                  <c:v>934.53973805991859</c:v>
                </c:pt>
                <c:pt idx="85">
                  <c:v>882.95328304061206</c:v>
                </c:pt>
                <c:pt idx="86">
                  <c:v>942.31925872931151</c:v>
                </c:pt>
                <c:pt idx="87">
                  <c:v>816.01784262302374</c:v>
                </c:pt>
                <c:pt idx="88">
                  <c:v>910.98003072555855</c:v>
                </c:pt>
                <c:pt idx="89">
                  <c:v>984.7149922320333</c:v>
                </c:pt>
                <c:pt idx="90">
                  <c:v>1315.4056149710125</c:v>
                </c:pt>
                <c:pt idx="91">
                  <c:v>1608.5692255650829</c:v>
                </c:pt>
                <c:pt idx="92">
                  <c:v>1645.4479881904758</c:v>
                </c:pt>
                <c:pt idx="93">
                  <c:v>2039.0477888628679</c:v>
                </c:pt>
                <c:pt idx="94">
                  <c:v>2164.0395507278727</c:v>
                </c:pt>
                <c:pt idx="95">
                  <c:v>2267.9500827051693</c:v>
                </c:pt>
                <c:pt idx="96">
                  <c:v>2628.523966055574</c:v>
                </c:pt>
                <c:pt idx="97">
                  <c:v>3034.3432506158811</c:v>
                </c:pt>
                <c:pt idx="98">
                  <c:v>3150.7350564437202</c:v>
                </c:pt>
                <c:pt idx="99">
                  <c:v>3472.5970975034738</c:v>
                </c:pt>
                <c:pt idx="100">
                  <c:v>3828.659036382342</c:v>
                </c:pt>
                <c:pt idx="101">
                  <c:v>4738.0168243668568</c:v>
                </c:pt>
                <c:pt idx="102">
                  <c:v>4935.6800313569929</c:v>
                </c:pt>
                <c:pt idx="103">
                  <c:v>5288.4527180577479</c:v>
                </c:pt>
                <c:pt idx="104">
                  <c:v>5050.1757834822456</c:v>
                </c:pt>
                <c:pt idx="105">
                  <c:v>5064.4140094490376</c:v>
                </c:pt>
                <c:pt idx="106">
                  <c:v>5211.1982447165465</c:v>
                </c:pt>
                <c:pt idx="107">
                  <c:v>6780.8608674598627</c:v>
                </c:pt>
                <c:pt idx="108">
                  <c:v>7183.7763079913038</c:v>
                </c:pt>
                <c:pt idx="109">
                  <c:v>7768.8829361851913</c:v>
                </c:pt>
                <c:pt idx="110">
                  <c:v>9166.2186834287368</c:v>
                </c:pt>
                <c:pt idx="111">
                  <c:v>10601.857551660412</c:v>
                </c:pt>
                <c:pt idx="112">
                  <c:v>11565.585733817868</c:v>
                </c:pt>
                <c:pt idx="113">
                  <c:v>11418.262229630489</c:v>
                </c:pt>
                <c:pt idx="114">
                  <c:v>11132.914850220925</c:v>
                </c:pt>
                <c:pt idx="115">
                  <c:v>11925.623005268068</c:v>
                </c:pt>
                <c:pt idx="116">
                  <c:v>15880.804267668847</c:v>
                </c:pt>
                <c:pt idx="117">
                  <c:v>19518.053328973449</c:v>
                </c:pt>
                <c:pt idx="118">
                  <c:v>20892.637742580613</c:v>
                </c:pt>
                <c:pt idx="119">
                  <c:v>21940.889496535452</c:v>
                </c:pt>
                <c:pt idx="120">
                  <c:v>21904.164258990626</c:v>
                </c:pt>
                <c:pt idx="121">
                  <c:v>21789.924657804713</c:v>
                </c:pt>
                <c:pt idx="122">
                  <c:v>25028.377478093193</c:v>
                </c:pt>
                <c:pt idx="123">
                  <c:v>28539.397854277639</c:v>
                </c:pt>
                <c:pt idx="124">
                  <c:v>25584.439222037148</c:v>
                </c:pt>
                <c:pt idx="125">
                  <c:v>30342.466488484348</c:v>
                </c:pt>
                <c:pt idx="126">
                  <c:v>35401.632656109345</c:v>
                </c:pt>
                <c:pt idx="127">
                  <c:v>38904.015104778242</c:v>
                </c:pt>
                <c:pt idx="128">
                  <c:v>37539.75405831555</c:v>
                </c:pt>
                <c:pt idx="129">
                  <c:v>38527.15825440862</c:v>
                </c:pt>
                <c:pt idx="130">
                  <c:v>39067.980134651836</c:v>
                </c:pt>
                <c:pt idx="131">
                  <c:v>41197.194870680156</c:v>
                </c:pt>
                <c:pt idx="132">
                  <c:v>42075.12840337435</c:v>
                </c:pt>
                <c:pt idx="133">
                  <c:v>43286.689482685317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7B-164F-BD5D-780B794613D3}"/>
            </c:ext>
          </c:extLst>
        </c:ser>
        <c:ser>
          <c:idx val="10"/>
          <c:order val="10"/>
          <c:tx>
            <c:strRef>
              <c:f>真實再投資累積報酬!$A$22:$B$22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0.37695027335822218</c:v>
                </c:pt>
                <c:pt idx="2">
                  <c:v>0.35305100644696785</c:v>
                </c:pt>
                <c:pt idx="3">
                  <c:v>0.26127212119906762</c:v>
                </c:pt>
                <c:pt idx="4">
                  <c:v>0.392298572445682</c:v>
                </c:pt>
                <c:pt idx="5">
                  <c:v>0.56519142457484173</c:v>
                </c:pt>
                <c:pt idx="6">
                  <c:v>0.75848187421635749</c:v>
                </c:pt>
                <c:pt idx="7">
                  <c:v>0.85097554004881393</c:v>
                </c:pt>
                <c:pt idx="8">
                  <c:v>1.3051418427863477</c:v>
                </c:pt>
                <c:pt idx="9">
                  <c:v>1.2722428584061007</c:v>
                </c:pt>
                <c:pt idx="10">
                  <c:v>1.1038695290571949</c:v>
                </c:pt>
                <c:pt idx="11">
                  <c:v>2.6946943437874031</c:v>
                </c:pt>
                <c:pt idx="12">
                  <c:v>2.6698812261768294</c:v>
                </c:pt>
                <c:pt idx="13">
                  <c:v>2.9369857662281782</c:v>
                </c:pt>
                <c:pt idx="14">
                  <c:v>4.0266524576697513</c:v>
                </c:pt>
                <c:pt idx="15">
                  <c:v>3.8425340485178783</c:v>
                </c:pt>
                <c:pt idx="16">
                  <c:v>4.6640532700209851</c:v>
                </c:pt>
                <c:pt idx="17">
                  <c:v>5.3936536899738146</c:v>
                </c:pt>
                <c:pt idx="18">
                  <c:v>6.1007280011755256</c:v>
                </c:pt>
                <c:pt idx="19">
                  <c:v>6.3725919872848138</c:v>
                </c:pt>
                <c:pt idx="20">
                  <c:v>7.5378154056912035</c:v>
                </c:pt>
                <c:pt idx="21">
                  <c:v>9.4313898137489058</c:v>
                </c:pt>
                <c:pt idx="22">
                  <c:v>9.2672810151563265</c:v>
                </c:pt>
                <c:pt idx="23">
                  <c:v>10.042956324685392</c:v>
                </c:pt>
                <c:pt idx="24">
                  <c:v>10.954269952064244</c:v>
                </c:pt>
                <c:pt idx="25">
                  <c:v>12.56135673017247</c:v>
                </c:pt>
                <c:pt idx="26">
                  <c:v>13.724601912986076</c:v>
                </c:pt>
                <c:pt idx="27">
                  <c:v>13.924434393747848</c:v>
                </c:pt>
                <c:pt idx="28">
                  <c:v>15.876906252998207</c:v>
                </c:pt>
                <c:pt idx="29">
                  <c:v>23.132571243946607</c:v>
                </c:pt>
                <c:pt idx="30">
                  <c:v>24.40777347687737</c:v>
                </c:pt>
                <c:pt idx="31">
                  <c:v>21.717955161009709</c:v>
                </c:pt>
                <c:pt idx="32">
                  <c:v>24.239754201005869</c:v>
                </c:pt>
                <c:pt idx="33">
                  <c:v>23.439657795798404</c:v>
                </c:pt>
                <c:pt idx="34">
                  <c:v>25.915115558922615</c:v>
                </c:pt>
                <c:pt idx="35">
                  <c:v>25.661045839751573</c:v>
                </c:pt>
                <c:pt idx="36">
                  <c:v>27.902943949718459</c:v>
                </c:pt>
                <c:pt idx="37">
                  <c:v>31.115009318399046</c:v>
                </c:pt>
                <c:pt idx="38">
                  <c:v>36.194090382188691</c:v>
                </c:pt>
                <c:pt idx="39">
                  <c:v>38.520073180871222</c:v>
                </c:pt>
                <c:pt idx="40">
                  <c:v>42.872392493565116</c:v>
                </c:pt>
                <c:pt idx="41">
                  <c:v>45.852410129559694</c:v>
                </c:pt>
                <c:pt idx="42">
                  <c:v>49.312165573281639</c:v>
                </c:pt>
                <c:pt idx="43">
                  <c:v>50.204118310098302</c:v>
                </c:pt>
                <c:pt idx="44">
                  <c:v>72.188862527130553</c:v>
                </c:pt>
                <c:pt idx="45">
                  <c:v>65.619870686665067</c:v>
                </c:pt>
                <c:pt idx="46">
                  <c:v>90.322470683779727</c:v>
                </c:pt>
                <c:pt idx="47">
                  <c:v>89.420644299277868</c:v>
                </c:pt>
                <c:pt idx="48">
                  <c:v>95.906823218967361</c:v>
                </c:pt>
                <c:pt idx="49">
                  <c:v>110.94566390522128</c:v>
                </c:pt>
                <c:pt idx="50">
                  <c:v>116.51772201088238</c:v>
                </c:pt>
                <c:pt idx="51">
                  <c:v>177.42293250238609</c:v>
                </c:pt>
                <c:pt idx="52">
                  <c:v>212.32710340344087</c:v>
                </c:pt>
                <c:pt idx="53">
                  <c:v>229.23626292761122</c:v>
                </c:pt>
                <c:pt idx="54">
                  <c:v>258.72213393291173</c:v>
                </c:pt>
                <c:pt idx="55">
                  <c:v>310.43344674117992</c:v>
                </c:pt>
                <c:pt idx="56">
                  <c:v>297.59258818872689</c:v>
                </c:pt>
                <c:pt idx="57">
                  <c:v>335.72495465424487</c:v>
                </c:pt>
                <c:pt idx="58">
                  <c:v>373.13129866014395</c:v>
                </c:pt>
                <c:pt idx="59">
                  <c:v>388.43077456668613</c:v>
                </c:pt>
                <c:pt idx="60">
                  <c:v>369.61516707298034</c:v>
                </c:pt>
                <c:pt idx="61">
                  <c:v>421.30537972829723</c:v>
                </c:pt>
                <c:pt idx="62">
                  <c:v>422.33178587822545</c:v>
                </c:pt>
                <c:pt idx="63">
                  <c:v>457.44052531884546</c:v>
                </c:pt>
                <c:pt idx="64">
                  <c:v>434.29641711597412</c:v>
                </c:pt>
                <c:pt idx="65">
                  <c:v>434.06135705073149</c:v>
                </c:pt>
                <c:pt idx="66">
                  <c:v>446.16915699169539</c:v>
                </c:pt>
                <c:pt idx="67">
                  <c:v>493.8225350475052</c:v>
                </c:pt>
                <c:pt idx="68">
                  <c:v>445.80120068965203</c:v>
                </c:pt>
                <c:pt idx="69">
                  <c:v>485.44333935337431</c:v>
                </c:pt>
                <c:pt idx="70">
                  <c:v>536.20418825823833</c:v>
                </c:pt>
                <c:pt idx="71">
                  <c:v>510.09416591283144</c:v>
                </c:pt>
                <c:pt idx="72">
                  <c:v>577.64639746501632</c:v>
                </c:pt>
                <c:pt idx="73">
                  <c:v>512.24392398087036</c:v>
                </c:pt>
                <c:pt idx="74">
                  <c:v>483.7090758923166</c:v>
                </c:pt>
                <c:pt idx="75">
                  <c:v>506.61532937118221</c:v>
                </c:pt>
                <c:pt idx="76">
                  <c:v>520.56971461341129</c:v>
                </c:pt>
                <c:pt idx="77">
                  <c:v>653.4343837140317</c:v>
                </c:pt>
                <c:pt idx="78">
                  <c:v>571.56137013948774</c:v>
                </c:pt>
                <c:pt idx="79">
                  <c:v>762.72703629920659</c:v>
                </c:pt>
                <c:pt idx="80">
                  <c:v>813.77455140544555</c:v>
                </c:pt>
                <c:pt idx="81">
                  <c:v>967.60381215371979</c:v>
                </c:pt>
                <c:pt idx="82">
                  <c:v>1168.1874547836615</c:v>
                </c:pt>
                <c:pt idx="83">
                  <c:v>1303.718227937529</c:v>
                </c:pt>
                <c:pt idx="84">
                  <c:v>1457.3876097887617</c:v>
                </c:pt>
                <c:pt idx="85">
                  <c:v>1273.1562710147562</c:v>
                </c:pt>
                <c:pt idx="86">
                  <c:v>1414.4901954743175</c:v>
                </c:pt>
                <c:pt idx="87">
                  <c:v>1073.8499339973123</c:v>
                </c:pt>
                <c:pt idx="88">
                  <c:v>1310.1341949879413</c:v>
                </c:pt>
                <c:pt idx="89">
                  <c:v>1510.4806354458965</c:v>
                </c:pt>
                <c:pt idx="90">
                  <c:v>1921.6925456446718</c:v>
                </c:pt>
                <c:pt idx="91">
                  <c:v>2420.4554444061832</c:v>
                </c:pt>
                <c:pt idx="92">
                  <c:v>2462.0066888288825</c:v>
                </c:pt>
                <c:pt idx="93">
                  <c:v>3069.8096719397308</c:v>
                </c:pt>
                <c:pt idx="94">
                  <c:v>3330.1588606592113</c:v>
                </c:pt>
                <c:pt idx="95">
                  <c:v>3457.624544076049</c:v>
                </c:pt>
                <c:pt idx="96">
                  <c:v>4036.4388888523454</c:v>
                </c:pt>
                <c:pt idx="97">
                  <c:v>4707.5527960027594</c:v>
                </c:pt>
                <c:pt idx="98">
                  <c:v>4815.3035175088717</c:v>
                </c:pt>
                <c:pt idx="99">
                  <c:v>4833.3626967540395</c:v>
                </c:pt>
                <c:pt idx="100">
                  <c:v>5338.6067765545013</c:v>
                </c:pt>
                <c:pt idx="101">
                  <c:v>6742.4987778155928</c:v>
                </c:pt>
                <c:pt idx="102">
                  <c:v>6961.3522871508203</c:v>
                </c:pt>
                <c:pt idx="103">
                  <c:v>7337.6024463166414</c:v>
                </c:pt>
                <c:pt idx="104">
                  <c:v>7185.5114924953614</c:v>
                </c:pt>
                <c:pt idx="105">
                  <c:v>7413.3969873470778</c:v>
                </c:pt>
                <c:pt idx="106">
                  <c:v>7281.7432212765298</c:v>
                </c:pt>
                <c:pt idx="107">
                  <c:v>10119.595206824912</c:v>
                </c:pt>
                <c:pt idx="108">
                  <c:v>10847.174916838761</c:v>
                </c:pt>
                <c:pt idx="109">
                  <c:v>11730.81662074817</c:v>
                </c:pt>
                <c:pt idx="110">
                  <c:v>12436.160810226333</c:v>
                </c:pt>
                <c:pt idx="111">
                  <c:v>14347.74947704079</c:v>
                </c:pt>
                <c:pt idx="112">
                  <c:v>15659.622161311183</c:v>
                </c:pt>
                <c:pt idx="113">
                  <c:v>15609.299402663562</c:v>
                </c:pt>
                <c:pt idx="114">
                  <c:v>15111.575413075903</c:v>
                </c:pt>
                <c:pt idx="115">
                  <c:v>15818.289737125384</c:v>
                </c:pt>
                <c:pt idx="116">
                  <c:v>17016.052532668411</c:v>
                </c:pt>
                <c:pt idx="117">
                  <c:v>19901.505347974242</c:v>
                </c:pt>
                <c:pt idx="118">
                  <c:v>23193.462657206161</c:v>
                </c:pt>
                <c:pt idx="119">
                  <c:v>23052.149173083104</c:v>
                </c:pt>
                <c:pt idx="120">
                  <c:v>22214.190253790708</c:v>
                </c:pt>
                <c:pt idx="121">
                  <c:v>22816.860684764033</c:v>
                </c:pt>
                <c:pt idx="122">
                  <c:v>26502.98720099136</c:v>
                </c:pt>
                <c:pt idx="123">
                  <c:v>29834.674031032904</c:v>
                </c:pt>
                <c:pt idx="124">
                  <c:v>27405.572794122327</c:v>
                </c:pt>
                <c:pt idx="125">
                  <c:v>33501.962335074968</c:v>
                </c:pt>
                <c:pt idx="126">
                  <c:v>37520.85485259533</c:v>
                </c:pt>
                <c:pt idx="127">
                  <c:v>41679.539606042934</c:v>
                </c:pt>
                <c:pt idx="128">
                  <c:v>40254.430172598404</c:v>
                </c:pt>
                <c:pt idx="129">
                  <c:v>45478.21432392524</c:v>
                </c:pt>
                <c:pt idx="130">
                  <c:v>46455.794655398233</c:v>
                </c:pt>
                <c:pt idx="131">
                  <c:v>50052.180843735405</c:v>
                </c:pt>
                <c:pt idx="132">
                  <c:v>52436.514166407585</c:v>
                </c:pt>
                <c:pt idx="133">
                  <c:v>54355.342643127551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7B-164F-BD5D-780B794613D3}"/>
            </c:ext>
          </c:extLst>
        </c:ser>
        <c:ser>
          <c:idx val="11"/>
          <c:order val="11"/>
          <c:tx>
            <c:strRef>
              <c:f>真實再投資累積報酬!$A$23:$B$23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0.60898880696599988</c:v>
                </c:pt>
                <c:pt idx="2">
                  <c:v>0.82299236323651281</c:v>
                </c:pt>
                <c:pt idx="3">
                  <c:v>0.49048571084223935</c:v>
                </c:pt>
                <c:pt idx="4">
                  <c:v>0.4502849733576666</c:v>
                </c:pt>
                <c:pt idx="5">
                  <c:v>0.42390646511975061</c:v>
                </c:pt>
                <c:pt idx="6">
                  <c:v>0.63486109646431532</c:v>
                </c:pt>
                <c:pt idx="7">
                  <c:v>0.47437938552917691</c:v>
                </c:pt>
                <c:pt idx="8">
                  <c:v>0.68463705451327161</c:v>
                </c:pt>
                <c:pt idx="9">
                  <c:v>0.5991063466185782</c:v>
                </c:pt>
                <c:pt idx="10">
                  <c:v>0.18581744508643228</c:v>
                </c:pt>
                <c:pt idx="11">
                  <c:v>1.3430578755637264</c:v>
                </c:pt>
                <c:pt idx="12">
                  <c:v>1.2975844848334561</c:v>
                </c:pt>
                <c:pt idx="13">
                  <c:v>1.5052900538479026</c:v>
                </c:pt>
                <c:pt idx="14">
                  <c:v>1.3560548935795849</c:v>
                </c:pt>
                <c:pt idx="15">
                  <c:v>1.2236183543026868</c:v>
                </c:pt>
                <c:pt idx="16">
                  <c:v>1.4764983128318852</c:v>
                </c:pt>
                <c:pt idx="17">
                  <c:v>1.8593716220165271</c:v>
                </c:pt>
                <c:pt idx="18">
                  <c:v>2.1274589350971502</c:v>
                </c:pt>
                <c:pt idx="19">
                  <c:v>2.0554352536886973</c:v>
                </c:pt>
                <c:pt idx="20">
                  <c:v>2.8484643074778373</c:v>
                </c:pt>
                <c:pt idx="21">
                  <c:v>3.548042712791756</c:v>
                </c:pt>
                <c:pt idx="22">
                  <c:v>3.4813693092700362</c:v>
                </c:pt>
                <c:pt idx="23">
                  <c:v>3.6294002101882077</c:v>
                </c:pt>
                <c:pt idx="24">
                  <c:v>3.366688942532619</c:v>
                </c:pt>
                <c:pt idx="25">
                  <c:v>3.6463307412027923</c:v>
                </c:pt>
                <c:pt idx="26">
                  <c:v>4.4304213544812976</c:v>
                </c:pt>
                <c:pt idx="27">
                  <c:v>4.8193861448387292</c:v>
                </c:pt>
                <c:pt idx="28">
                  <c:v>5.6178756911208225</c:v>
                </c:pt>
                <c:pt idx="29">
                  <c:v>7.7664307501708567</c:v>
                </c:pt>
                <c:pt idx="30">
                  <c:v>8.5718348076925786</c:v>
                </c:pt>
                <c:pt idx="31">
                  <c:v>7.766158305134935</c:v>
                </c:pt>
                <c:pt idx="32">
                  <c:v>9.5996178469705171</c:v>
                </c:pt>
                <c:pt idx="33">
                  <c:v>9.6594329516187276</c:v>
                </c:pt>
                <c:pt idx="34">
                  <c:v>10.875792564145614</c:v>
                </c:pt>
                <c:pt idx="35">
                  <c:v>10.70874172804206</c:v>
                </c:pt>
                <c:pt idx="36">
                  <c:v>10.79971266815889</c:v>
                </c:pt>
                <c:pt idx="37">
                  <c:v>13.658956495846343</c:v>
                </c:pt>
                <c:pt idx="38">
                  <c:v>14.989732913856068</c:v>
                </c:pt>
                <c:pt idx="39">
                  <c:v>14.939827368815092</c:v>
                </c:pt>
                <c:pt idx="40">
                  <c:v>16.523911472900568</c:v>
                </c:pt>
                <c:pt idx="41">
                  <c:v>19.084785799904367</c:v>
                </c:pt>
                <c:pt idx="42">
                  <c:v>20.72498213092674</c:v>
                </c:pt>
                <c:pt idx="43">
                  <c:v>23.103995916070193</c:v>
                </c:pt>
                <c:pt idx="44">
                  <c:v>37.767227959685002</c:v>
                </c:pt>
                <c:pt idx="45">
                  <c:v>35.861816122433531</c:v>
                </c:pt>
                <c:pt idx="46">
                  <c:v>57.324976225896336</c:v>
                </c:pt>
                <c:pt idx="47">
                  <c:v>56.461021242383737</c:v>
                </c:pt>
                <c:pt idx="48">
                  <c:v>66.242839631639981</c:v>
                </c:pt>
                <c:pt idx="49">
                  <c:v>71.492555364521749</c:v>
                </c:pt>
                <c:pt idx="50">
                  <c:v>75.407008369095195</c:v>
                </c:pt>
                <c:pt idx="51">
                  <c:v>127.82399866132917</c:v>
                </c:pt>
                <c:pt idx="52">
                  <c:v>160.39961781189839</c:v>
                </c:pt>
                <c:pt idx="53">
                  <c:v>180.73266096403245</c:v>
                </c:pt>
                <c:pt idx="54">
                  <c:v>203.32060285305127</c:v>
                </c:pt>
                <c:pt idx="55">
                  <c:v>246.22979139733312</c:v>
                </c:pt>
                <c:pt idx="56">
                  <c:v>255.70433602592453</c:v>
                </c:pt>
                <c:pt idx="57">
                  <c:v>271.97045651607704</c:v>
                </c:pt>
                <c:pt idx="58">
                  <c:v>324.13840805466742</c:v>
                </c:pt>
                <c:pt idx="59">
                  <c:v>342.83224082577055</c:v>
                </c:pt>
                <c:pt idx="60">
                  <c:v>326.3791804377758</c:v>
                </c:pt>
                <c:pt idx="61">
                  <c:v>363.82032277406432</c:v>
                </c:pt>
                <c:pt idx="62">
                  <c:v>338.46696588697154</c:v>
                </c:pt>
                <c:pt idx="63">
                  <c:v>351.51947072532562</c:v>
                </c:pt>
                <c:pt idx="64">
                  <c:v>364.39522385789854</c:v>
                </c:pt>
                <c:pt idx="65">
                  <c:v>356.1833315969161</c:v>
                </c:pt>
                <c:pt idx="66">
                  <c:v>381.91764106613073</c:v>
                </c:pt>
                <c:pt idx="67">
                  <c:v>421.29022474630017</c:v>
                </c:pt>
                <c:pt idx="68">
                  <c:v>328.14689687947617</c:v>
                </c:pt>
                <c:pt idx="69">
                  <c:v>399.96197714857311</c:v>
                </c:pt>
                <c:pt idx="70">
                  <c:v>442.3382451464858</c:v>
                </c:pt>
                <c:pt idx="71">
                  <c:v>418.72203775153218</c:v>
                </c:pt>
                <c:pt idx="72">
                  <c:v>425.17002387040662</c:v>
                </c:pt>
                <c:pt idx="73">
                  <c:v>395.87935812979362</c:v>
                </c:pt>
                <c:pt idx="74">
                  <c:v>442.81003819006366</c:v>
                </c:pt>
                <c:pt idx="75">
                  <c:v>446.21395574784947</c:v>
                </c:pt>
                <c:pt idx="76">
                  <c:v>480.04712247152162</c:v>
                </c:pt>
                <c:pt idx="77">
                  <c:v>632.13858856553645</c:v>
                </c:pt>
                <c:pt idx="78">
                  <c:v>578.60988659526322</c:v>
                </c:pt>
                <c:pt idx="79">
                  <c:v>689.70745494936489</c:v>
                </c:pt>
                <c:pt idx="80">
                  <c:v>730.87500067925691</c:v>
                </c:pt>
                <c:pt idx="81">
                  <c:v>845.87811288940077</c:v>
                </c:pt>
                <c:pt idx="82">
                  <c:v>1029.3434512602116</c:v>
                </c:pt>
                <c:pt idx="83">
                  <c:v>1215.0076823467507</c:v>
                </c:pt>
                <c:pt idx="84">
                  <c:v>1591.8477543292968</c:v>
                </c:pt>
                <c:pt idx="85">
                  <c:v>1342.5417602032066</c:v>
                </c:pt>
                <c:pt idx="86">
                  <c:v>1439.0838216265247</c:v>
                </c:pt>
                <c:pt idx="87">
                  <c:v>850.57770875466315</c:v>
                </c:pt>
                <c:pt idx="88">
                  <c:v>1050.4472548879264</c:v>
                </c:pt>
                <c:pt idx="89">
                  <c:v>1341.8077704393793</c:v>
                </c:pt>
                <c:pt idx="90">
                  <c:v>1699.2061296000984</c:v>
                </c:pt>
                <c:pt idx="91">
                  <c:v>2228.5835736422591</c:v>
                </c:pt>
                <c:pt idx="92">
                  <c:v>2173.5077980415967</c:v>
                </c:pt>
                <c:pt idx="93">
                  <c:v>2501.8544972272102</c:v>
                </c:pt>
                <c:pt idx="94">
                  <c:v>2664.9402066692805</c:v>
                </c:pt>
                <c:pt idx="95">
                  <c:v>2839.2700356936948</c:v>
                </c:pt>
                <c:pt idx="96">
                  <c:v>3413.2996443200009</c:v>
                </c:pt>
                <c:pt idx="97">
                  <c:v>3936.8175147528796</c:v>
                </c:pt>
                <c:pt idx="98">
                  <c:v>3841.5763270804969</c:v>
                </c:pt>
                <c:pt idx="99">
                  <c:v>3500.6745057554444</c:v>
                </c:pt>
                <c:pt idx="100">
                  <c:v>4039.0587118525973</c:v>
                </c:pt>
                <c:pt idx="101">
                  <c:v>4774.344524522654</c:v>
                </c:pt>
                <c:pt idx="102">
                  <c:v>5083.0466713104215</c:v>
                </c:pt>
                <c:pt idx="103">
                  <c:v>5178.3623783041494</c:v>
                </c:pt>
                <c:pt idx="104">
                  <c:v>5795.6930977090378</c:v>
                </c:pt>
                <c:pt idx="105">
                  <c:v>6333.6185346866368</c:v>
                </c:pt>
                <c:pt idx="106">
                  <c:v>5952.9969779144958</c:v>
                </c:pt>
                <c:pt idx="107">
                  <c:v>8386.9760574934971</c:v>
                </c:pt>
                <c:pt idx="108">
                  <c:v>8954.1919684413497</c:v>
                </c:pt>
                <c:pt idx="109">
                  <c:v>10201.005435823501</c:v>
                </c:pt>
                <c:pt idx="110">
                  <c:v>11180.816239885426</c:v>
                </c:pt>
                <c:pt idx="111">
                  <c:v>12522.998512639497</c:v>
                </c:pt>
                <c:pt idx="112">
                  <c:v>13665.73197092752</c:v>
                </c:pt>
                <c:pt idx="113">
                  <c:v>14024.383263447718</c:v>
                </c:pt>
                <c:pt idx="114">
                  <c:v>13372.525525512459</c:v>
                </c:pt>
                <c:pt idx="115">
                  <c:v>13459.415942650752</c:v>
                </c:pt>
                <c:pt idx="116">
                  <c:v>15129.422827823546</c:v>
                </c:pt>
                <c:pt idx="117">
                  <c:v>17805.081028211182</c:v>
                </c:pt>
                <c:pt idx="118">
                  <c:v>22184.417347976072</c:v>
                </c:pt>
                <c:pt idx="119">
                  <c:v>20190.258863640716</c:v>
                </c:pt>
                <c:pt idx="120">
                  <c:v>17836.402287835208</c:v>
                </c:pt>
                <c:pt idx="121">
                  <c:v>17438.691413488501</c:v>
                </c:pt>
                <c:pt idx="122">
                  <c:v>18409.000964352177</c:v>
                </c:pt>
                <c:pt idx="123">
                  <c:v>23495.161540120287</c:v>
                </c:pt>
                <c:pt idx="124">
                  <c:v>24036.806804023909</c:v>
                </c:pt>
                <c:pt idx="125">
                  <c:v>31572.495933335493</c:v>
                </c:pt>
                <c:pt idx="126">
                  <c:v>29869.895165130376</c:v>
                </c:pt>
                <c:pt idx="127">
                  <c:v>23382.683507643185</c:v>
                </c:pt>
                <c:pt idx="128">
                  <c:v>21199.534189725386</c:v>
                </c:pt>
                <c:pt idx="129">
                  <c:v>26378.499436306975</c:v>
                </c:pt>
                <c:pt idx="130">
                  <c:v>25413.423484412506</c:v>
                </c:pt>
                <c:pt idx="131">
                  <c:v>27736.960141865125</c:v>
                </c:pt>
                <c:pt idx="132">
                  <c:v>29656.73210124375</c:v>
                </c:pt>
                <c:pt idx="133">
                  <c:v>32427.179487749338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7B-164F-BD5D-780B794613D3}"/>
            </c:ext>
          </c:extLst>
        </c:ser>
        <c:ser>
          <c:idx val="12"/>
          <c:order val="12"/>
          <c:tx>
            <c:strRef>
              <c:f>真實再投資累積報酬!$A$24:$B$24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0.20969475893</c:v>
                </c:pt>
                <c:pt idx="2">
                  <c:v>0.55386743418269191</c:v>
                </c:pt>
                <c:pt idx="3">
                  <c:v>0.24069210512910089</c:v>
                </c:pt>
                <c:pt idx="4">
                  <c:v>0.21262468624029829</c:v>
                </c:pt>
                <c:pt idx="5">
                  <c:v>0.25610455699013057</c:v>
                </c:pt>
                <c:pt idx="6">
                  <c:v>0.25345174806960324</c:v>
                </c:pt>
                <c:pt idx="7">
                  <c:v>0.12814142810804152</c:v>
                </c:pt>
                <c:pt idx="8">
                  <c:v>0.18504977335569772</c:v>
                </c:pt>
                <c:pt idx="9">
                  <c:v>7.3892104614933229E-2</c:v>
                </c:pt>
                <c:pt idx="10">
                  <c:v>-8.3776024234033075E-2</c:v>
                </c:pt>
                <c:pt idx="11">
                  <c:v>1.5370535080631869</c:v>
                </c:pt>
                <c:pt idx="12">
                  <c:v>1.6300334511752195</c:v>
                </c:pt>
                <c:pt idx="13">
                  <c:v>1.9042102683028648</c:v>
                </c:pt>
                <c:pt idx="14">
                  <c:v>1.7271552006818101</c:v>
                </c:pt>
                <c:pt idx="15">
                  <c:v>1.057100338167305</c:v>
                </c:pt>
                <c:pt idx="16">
                  <c:v>1.7822579552230344</c:v>
                </c:pt>
                <c:pt idx="17">
                  <c:v>1.0296941415391063</c:v>
                </c:pt>
                <c:pt idx="18">
                  <c:v>1.3311416245205479</c:v>
                </c:pt>
                <c:pt idx="19">
                  <c:v>1.1746304010344617</c:v>
                </c:pt>
                <c:pt idx="20">
                  <c:v>0.81676887297942868</c:v>
                </c:pt>
                <c:pt idx="21">
                  <c:v>0.75107833235789001</c:v>
                </c:pt>
                <c:pt idx="22">
                  <c:v>0.73448333686480871</c:v>
                </c:pt>
                <c:pt idx="23">
                  <c:v>0.91806508986489099</c:v>
                </c:pt>
                <c:pt idx="24">
                  <c:v>1.3372478187496903</c:v>
                </c:pt>
                <c:pt idx="25">
                  <c:v>1.7938049257627915</c:v>
                </c:pt>
                <c:pt idx="26">
                  <c:v>2.916208605976482</c:v>
                </c:pt>
                <c:pt idx="27">
                  <c:v>3.3124270954775472</c:v>
                </c:pt>
                <c:pt idx="28">
                  <c:v>4.1453369826995585</c:v>
                </c:pt>
                <c:pt idx="29">
                  <c:v>6.6942824492386306</c:v>
                </c:pt>
                <c:pt idx="30">
                  <c:v>7.761754246455796</c:v>
                </c:pt>
                <c:pt idx="31">
                  <c:v>7.2649859111190072</c:v>
                </c:pt>
                <c:pt idx="32">
                  <c:v>9.8305532477331017</c:v>
                </c:pt>
                <c:pt idx="33">
                  <c:v>8.9544563223224962</c:v>
                </c:pt>
                <c:pt idx="34">
                  <c:v>9.7994299256058905</c:v>
                </c:pt>
                <c:pt idx="35">
                  <c:v>10.740848630510733</c:v>
                </c:pt>
                <c:pt idx="36">
                  <c:v>10.518720211154296</c:v>
                </c:pt>
                <c:pt idx="37">
                  <c:v>13.066539773819384</c:v>
                </c:pt>
                <c:pt idx="38">
                  <c:v>14.514066932082688</c:v>
                </c:pt>
                <c:pt idx="39">
                  <c:v>14.868589975693439</c:v>
                </c:pt>
                <c:pt idx="40">
                  <c:v>18.314041705575903</c:v>
                </c:pt>
                <c:pt idx="41">
                  <c:v>21.613517392264551</c:v>
                </c:pt>
                <c:pt idx="42">
                  <c:v>21.687842906643702</c:v>
                </c:pt>
                <c:pt idx="43">
                  <c:v>25.108465838392465</c:v>
                </c:pt>
                <c:pt idx="44">
                  <c:v>37.563613900460943</c:v>
                </c:pt>
                <c:pt idx="45">
                  <c:v>47.115229506650145</c:v>
                </c:pt>
                <c:pt idx="46">
                  <c:v>39.959967702986432</c:v>
                </c:pt>
                <c:pt idx="47">
                  <c:v>44.526649262237399</c:v>
                </c:pt>
                <c:pt idx="48">
                  <c:v>52.180921602343872</c:v>
                </c:pt>
                <c:pt idx="49">
                  <c:v>58.489348884657105</c:v>
                </c:pt>
                <c:pt idx="50">
                  <c:v>61.493025599192329</c:v>
                </c:pt>
                <c:pt idx="51">
                  <c:v>116.03088583679998</c:v>
                </c:pt>
                <c:pt idx="52">
                  <c:v>115.51982721749489</c:v>
                </c:pt>
                <c:pt idx="53">
                  <c:v>117.691756796829</c:v>
                </c:pt>
                <c:pt idx="54">
                  <c:v>110.88115993743266</c:v>
                </c:pt>
                <c:pt idx="55">
                  <c:v>103.67932257594586</c:v>
                </c:pt>
                <c:pt idx="56">
                  <c:v>94.155155254435897</c:v>
                </c:pt>
                <c:pt idx="57">
                  <c:v>108.20705628293936</c:v>
                </c:pt>
                <c:pt idx="58">
                  <c:v>132.62893265603441</c:v>
                </c:pt>
                <c:pt idx="59">
                  <c:v>159.30661277148513</c:v>
                </c:pt>
                <c:pt idx="60">
                  <c:v>153.72313344865429</c:v>
                </c:pt>
                <c:pt idx="61">
                  <c:v>170.14032861502895</c:v>
                </c:pt>
                <c:pt idx="62">
                  <c:v>184.65010880002163</c:v>
                </c:pt>
                <c:pt idx="63">
                  <c:v>204.86944779954078</c:v>
                </c:pt>
                <c:pt idx="64">
                  <c:v>171.70188465852638</c:v>
                </c:pt>
                <c:pt idx="65">
                  <c:v>177.19259567747491</c:v>
                </c:pt>
                <c:pt idx="66">
                  <c:v>165.75804215070991</c:v>
                </c:pt>
                <c:pt idx="67">
                  <c:v>182.25389595904812</c:v>
                </c:pt>
                <c:pt idx="68">
                  <c:v>159.96636718441999</c:v>
                </c:pt>
                <c:pt idx="69">
                  <c:v>204.50865837895833</c:v>
                </c:pt>
                <c:pt idx="70">
                  <c:v>206.30665363111581</c:v>
                </c:pt>
                <c:pt idx="71">
                  <c:v>196.71691614271248</c:v>
                </c:pt>
                <c:pt idx="72">
                  <c:v>226.57759690454506</c:v>
                </c:pt>
                <c:pt idx="73">
                  <c:v>202.9209057063176</c:v>
                </c:pt>
                <c:pt idx="74">
                  <c:v>227.06681942517807</c:v>
                </c:pt>
                <c:pt idx="75">
                  <c:v>286.11169943766123</c:v>
                </c:pt>
                <c:pt idx="76">
                  <c:v>319.19319201658004</c:v>
                </c:pt>
                <c:pt idx="77">
                  <c:v>524.02045675639431</c:v>
                </c:pt>
                <c:pt idx="78">
                  <c:v>428.21997401205505</c:v>
                </c:pt>
                <c:pt idx="79">
                  <c:v>490.1591249585955</c:v>
                </c:pt>
                <c:pt idx="80">
                  <c:v>571.47788548236531</c:v>
                </c:pt>
                <c:pt idx="81">
                  <c:v>698.40846210687482</c:v>
                </c:pt>
                <c:pt idx="82">
                  <c:v>1062.0791570119386</c:v>
                </c:pt>
                <c:pt idx="83">
                  <c:v>1438.703967087735</c:v>
                </c:pt>
                <c:pt idx="84">
                  <c:v>965.83057781541731</c:v>
                </c:pt>
                <c:pt idx="85">
                  <c:v>675.60071003293558</c:v>
                </c:pt>
                <c:pt idx="86">
                  <c:v>894.18283833683881</c:v>
                </c:pt>
                <c:pt idx="87">
                  <c:v>1021.0797800146547</c:v>
                </c:pt>
                <c:pt idx="88">
                  <c:v>1671.5722352071814</c:v>
                </c:pt>
                <c:pt idx="89">
                  <c:v>2691.3013877950216</c:v>
                </c:pt>
                <c:pt idx="90">
                  <c:v>3909.4977659361862</c:v>
                </c:pt>
                <c:pt idx="91">
                  <c:v>4536.5234206454397</c:v>
                </c:pt>
                <c:pt idx="92">
                  <c:v>3809.6591473282392</c:v>
                </c:pt>
                <c:pt idx="93">
                  <c:v>4334.7201771073178</c:v>
                </c:pt>
                <c:pt idx="94">
                  <c:v>4802.866250475905</c:v>
                </c:pt>
                <c:pt idx="95">
                  <c:v>4228.6024711615146</c:v>
                </c:pt>
                <c:pt idx="96">
                  <c:v>4451.6253694073348</c:v>
                </c:pt>
                <c:pt idx="97">
                  <c:v>5265.8506775449459</c:v>
                </c:pt>
                <c:pt idx="98">
                  <c:v>4028.1765024666915</c:v>
                </c:pt>
                <c:pt idx="99">
                  <c:v>4250.6160301248601</c:v>
                </c:pt>
                <c:pt idx="100">
                  <c:v>5616.0140149673989</c:v>
                </c:pt>
                <c:pt idx="101">
                  <c:v>6246.2802195127733</c:v>
                </c:pt>
                <c:pt idx="102">
                  <c:v>6458.5628013718169</c:v>
                </c:pt>
                <c:pt idx="103">
                  <c:v>6351.9800151491818</c:v>
                </c:pt>
                <c:pt idx="104">
                  <c:v>7566.5157861875832</c:v>
                </c:pt>
                <c:pt idx="105">
                  <c:v>6084.4577594304374</c:v>
                </c:pt>
                <c:pt idx="106">
                  <c:v>6885.2163170090798</c:v>
                </c:pt>
                <c:pt idx="107">
                  <c:v>10504.528978633247</c:v>
                </c:pt>
                <c:pt idx="108">
                  <c:v>11760.412440383958</c:v>
                </c:pt>
                <c:pt idx="109">
                  <c:v>14886.654674100217</c:v>
                </c:pt>
                <c:pt idx="110">
                  <c:v>15440.252113156634</c:v>
                </c:pt>
                <c:pt idx="111">
                  <c:v>18982.010172954291</c:v>
                </c:pt>
                <c:pt idx="112">
                  <c:v>21253.877847443291</c:v>
                </c:pt>
                <c:pt idx="113">
                  <c:v>22558.088060493406</c:v>
                </c:pt>
                <c:pt idx="114">
                  <c:v>22548.838834388604</c:v>
                </c:pt>
                <c:pt idx="115">
                  <c:v>27810.495799849243</c:v>
                </c:pt>
                <c:pt idx="116">
                  <c:v>31025.921886748813</c:v>
                </c:pt>
                <c:pt idx="117">
                  <c:v>37962.667390055467</c:v>
                </c:pt>
                <c:pt idx="118">
                  <c:v>51594.330872166749</c:v>
                </c:pt>
                <c:pt idx="119">
                  <c:v>50535.820143326077</c:v>
                </c:pt>
                <c:pt idx="120">
                  <c:v>47131.356717550771</c:v>
                </c:pt>
                <c:pt idx="121">
                  <c:v>45743.981561150642</c:v>
                </c:pt>
                <c:pt idx="122">
                  <c:v>44747.564372785659</c:v>
                </c:pt>
                <c:pt idx="123">
                  <c:v>51827.892485412995</c:v>
                </c:pt>
                <c:pt idx="124">
                  <c:v>57072.095313764541</c:v>
                </c:pt>
                <c:pt idx="125">
                  <c:v>74855.679595380134</c:v>
                </c:pt>
                <c:pt idx="126">
                  <c:v>74613.143953491104</c:v>
                </c:pt>
                <c:pt idx="127">
                  <c:v>42267.166408213168</c:v>
                </c:pt>
                <c:pt idx="128">
                  <c:v>41287.749512229697</c:v>
                </c:pt>
                <c:pt idx="129">
                  <c:v>65635.639095088773</c:v>
                </c:pt>
                <c:pt idx="130">
                  <c:v>64696.384121257688</c:v>
                </c:pt>
                <c:pt idx="131">
                  <c:v>68330.620270709798</c:v>
                </c:pt>
                <c:pt idx="132">
                  <c:v>75675.039480646228</c:v>
                </c:pt>
                <c:pt idx="133">
                  <c:v>85822.061234408684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7B-164F-BD5D-780B794613D3}"/>
            </c:ext>
          </c:extLst>
        </c:ser>
        <c:ser>
          <c:idx val="13"/>
          <c:order val="13"/>
          <c:tx>
            <c:strRef>
              <c:f>真實再投資累積報酬!$A$25:$B$25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真實再投資累積報酬!$C$10:$EF$11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真實再投資累積報酬!$C$25:$EF$25</c:f>
              <c:numCache>
                <c:formatCode>General</c:formatCode>
                <c:ptCount val="134"/>
                <c:pt idx="0">
                  <c:v>-1.7449999999999966E-2</c:v>
                </c:pt>
                <c:pt idx="1">
                  <c:v>2.8897675500001441E-3</c:v>
                </c:pt>
                <c:pt idx="2">
                  <c:v>2.6941069955384256E-2</c:v>
                </c:pt>
                <c:pt idx="3">
                  <c:v>2.0204336536477019E-2</c:v>
                </c:pt>
                <c:pt idx="4">
                  <c:v>5.2692743633480976E-2</c:v>
                </c:pt>
                <c:pt idx="5">
                  <c:v>8.885168668454746E-2</c:v>
                </c:pt>
                <c:pt idx="6">
                  <c:v>7.9868660269399872E-2</c:v>
                </c:pt>
                <c:pt idx="7">
                  <c:v>9.3738493341900098E-2</c:v>
                </c:pt>
                <c:pt idx="8">
                  <c:v>3.7935955411596334E-2</c:v>
                </c:pt>
                <c:pt idx="9">
                  <c:v>3.884311143662611E-2</c:v>
                </c:pt>
                <c:pt idx="10">
                  <c:v>6.3141651813128918E-2</c:v>
                </c:pt>
                <c:pt idx="11">
                  <c:v>7.6950798728529612E-2</c:v>
                </c:pt>
                <c:pt idx="12">
                  <c:v>8.3256345655084996E-2</c:v>
                </c:pt>
                <c:pt idx="13">
                  <c:v>0.11295165185852785</c:v>
                </c:pt>
                <c:pt idx="14">
                  <c:v>0.10882260123013276</c:v>
                </c:pt>
                <c:pt idx="15">
                  <c:v>0.13551972299995052</c:v>
                </c:pt>
                <c:pt idx="16">
                  <c:v>0.12167773757658118</c:v>
                </c:pt>
                <c:pt idx="17">
                  <c:v>7.7091047507912069E-2</c:v>
                </c:pt>
                <c:pt idx="18">
                  <c:v>-1.7089335277667983E-3</c:v>
                </c:pt>
                <c:pt idx="19">
                  <c:v>-5.9869371060439103E-2</c:v>
                </c:pt>
                <c:pt idx="20">
                  <c:v>-5.9142650084268888E-2</c:v>
                </c:pt>
                <c:pt idx="21">
                  <c:v>-1.7187939136826591E-2</c:v>
                </c:pt>
                <c:pt idx="22">
                  <c:v>-4.4411833222736452E-2</c:v>
                </c:pt>
                <c:pt idx="23">
                  <c:v>-4.2409876013338121E-2</c:v>
                </c:pt>
                <c:pt idx="24">
                  <c:v>-6.4817484914626022E-2</c:v>
                </c:pt>
                <c:pt idx="25">
                  <c:v>-3.477100588744797E-2</c:v>
                </c:pt>
                <c:pt idx="26">
                  <c:v>2.7792976705125483E-3</c:v>
                </c:pt>
                <c:pt idx="27">
                  <c:v>-4.0209850820622339E-2</c:v>
                </c:pt>
                <c:pt idx="28">
                  <c:v>-2.2312643908874441E-2</c:v>
                </c:pt>
                <c:pt idx="29">
                  <c:v>-7.4224654756065434E-3</c:v>
                </c:pt>
                <c:pt idx="30">
                  <c:v>2.8327199585358454E-2</c:v>
                </c:pt>
                <c:pt idx="31">
                  <c:v>3.7947200537479464E-2</c:v>
                </c:pt>
                <c:pt idx="32">
                  <c:v>4.9103057048856202E-2</c:v>
                </c:pt>
                <c:pt idx="33">
                  <c:v>6.3116975684914811E-2</c:v>
                </c:pt>
                <c:pt idx="34">
                  <c:v>5.7450562204514277E-2</c:v>
                </c:pt>
                <c:pt idx="35">
                  <c:v>5.8913016332043044E-2</c:v>
                </c:pt>
                <c:pt idx="36">
                  <c:v>8.0934171419684287E-2</c:v>
                </c:pt>
                <c:pt idx="37">
                  <c:v>0.11500305463448979</c:v>
                </c:pt>
                <c:pt idx="38">
                  <c:v>0.12196290370151841</c:v>
                </c:pt>
                <c:pt idx="39">
                  <c:v>0.12885736574476425</c:v>
                </c:pt>
                <c:pt idx="40">
                  <c:v>0.14798698266467492</c:v>
                </c:pt>
                <c:pt idx="41">
                  <c:v>0.18780261518443386</c:v>
                </c:pt>
                <c:pt idx="42">
                  <c:v>0.19148361548889037</c:v>
                </c:pt>
                <c:pt idx="43">
                  <c:v>0.20945237989407817</c:v>
                </c:pt>
                <c:pt idx="44">
                  <c:v>0.18617042158111707</c:v>
                </c:pt>
                <c:pt idx="45">
                  <c:v>0.23208945094136535</c:v>
                </c:pt>
                <c:pt idx="46">
                  <c:v>0.20515597554378706</c:v>
                </c:pt>
                <c:pt idx="47">
                  <c:v>0.21452485809766442</c:v>
                </c:pt>
                <c:pt idx="48">
                  <c:v>0.26601706850643114</c:v>
                </c:pt>
                <c:pt idx="49">
                  <c:v>0.23270815943402678</c:v>
                </c:pt>
                <c:pt idx="50">
                  <c:v>0.24450764193612917</c:v>
                </c:pt>
                <c:pt idx="51">
                  <c:v>0.21432833161917797</c:v>
                </c:pt>
                <c:pt idx="52">
                  <c:v>0.23881283376961537</c:v>
                </c:pt>
                <c:pt idx="53">
                  <c:v>0.23447698885142176</c:v>
                </c:pt>
                <c:pt idx="54">
                  <c:v>0.25935416913075549</c:v>
                </c:pt>
                <c:pt idx="55">
                  <c:v>0.26008585390302041</c:v>
                </c:pt>
                <c:pt idx="56">
                  <c:v>0.25350820574564659</c:v>
                </c:pt>
                <c:pt idx="57">
                  <c:v>0.10826420994589858</c:v>
                </c:pt>
                <c:pt idx="58">
                  <c:v>0.11793381517767676</c:v>
                </c:pt>
                <c:pt idx="59">
                  <c:v>9.9622059285066511E-2</c:v>
                </c:pt>
                <c:pt idx="60">
                  <c:v>0.12253818300056718</c:v>
                </c:pt>
                <c:pt idx="61">
                  <c:v>0.17302546031920052</c:v>
                </c:pt>
                <c:pt idx="62">
                  <c:v>0.2011241121956866</c:v>
                </c:pt>
                <c:pt idx="63">
                  <c:v>0.23744490422437181</c:v>
                </c:pt>
                <c:pt idx="64">
                  <c:v>0.18333143856263989</c:v>
                </c:pt>
                <c:pt idx="65">
                  <c:v>0.20923338042133754</c:v>
                </c:pt>
                <c:pt idx="66">
                  <c:v>0.21966543679423234</c:v>
                </c:pt>
                <c:pt idx="67">
                  <c:v>0.19626005706215088</c:v>
                </c:pt>
                <c:pt idx="68">
                  <c:v>0.21986824928827242</c:v>
                </c:pt>
                <c:pt idx="69">
                  <c:v>0.27804864556982722</c:v>
                </c:pt>
                <c:pt idx="70">
                  <c:v>0.29268869280482956</c:v>
                </c:pt>
                <c:pt idx="71">
                  <c:v>0.34857033230608958</c:v>
                </c:pt>
                <c:pt idx="72">
                  <c:v>0.29091895060000428</c:v>
                </c:pt>
                <c:pt idx="73">
                  <c:v>0.26792768408981815</c:v>
                </c:pt>
                <c:pt idx="74">
                  <c:v>7.628041463964208E-2</c:v>
                </c:pt>
                <c:pt idx="75">
                  <c:v>0.20998027286783683</c:v>
                </c:pt>
                <c:pt idx="76">
                  <c:v>0.20446276282355957</c:v>
                </c:pt>
                <c:pt idx="77">
                  <c:v>0.27698467023592888</c:v>
                </c:pt>
                <c:pt idx="78">
                  <c:v>0.38679513599885706</c:v>
                </c:pt>
                <c:pt idx="79">
                  <c:v>0.37873785625870382</c:v>
                </c:pt>
                <c:pt idx="80">
                  <c:v>0.37041027960690109</c:v>
                </c:pt>
                <c:pt idx="81">
                  <c:v>0.37377052561249702</c:v>
                </c:pt>
                <c:pt idx="82">
                  <c:v>0.49690982044629894</c:v>
                </c:pt>
                <c:pt idx="83">
                  <c:v>0.60317993932924319</c:v>
                </c:pt>
                <c:pt idx="84">
                  <c:v>0.64673994146075819</c:v>
                </c:pt>
                <c:pt idx="85">
                  <c:v>0.73314109270932115</c:v>
                </c:pt>
                <c:pt idx="86">
                  <c:v>0.7842358252634849</c:v>
                </c:pt>
                <c:pt idx="87">
                  <c:v>0.90346738428671713</c:v>
                </c:pt>
                <c:pt idx="88">
                  <c:v>0.84870462764078836</c:v>
                </c:pt>
                <c:pt idx="89">
                  <c:v>0.92166005836137677</c:v>
                </c:pt>
                <c:pt idx="90">
                  <c:v>0.86587426686714597</c:v>
                </c:pt>
                <c:pt idx="91">
                  <c:v>0.89196665261501606</c:v>
                </c:pt>
                <c:pt idx="92">
                  <c:v>0.83089396906860347</c:v>
                </c:pt>
                <c:pt idx="93">
                  <c:v>0.83657706394859233</c:v>
                </c:pt>
                <c:pt idx="94">
                  <c:v>0.88357874416916471</c:v>
                </c:pt>
                <c:pt idx="95">
                  <c:v>0.96719457178032231</c:v>
                </c:pt>
                <c:pt idx="96">
                  <c:v>0.90750988847250724</c:v>
                </c:pt>
                <c:pt idx="97">
                  <c:v>0.90510642601303171</c:v>
                </c:pt>
                <c:pt idx="98">
                  <c:v>0.90955675462419805</c:v>
                </c:pt>
                <c:pt idx="99">
                  <c:v>0.78684863757204715</c:v>
                </c:pt>
                <c:pt idx="100">
                  <c:v>0.80991685348310227</c:v>
                </c:pt>
                <c:pt idx="101">
                  <c:v>0.58280848670804253</c:v>
                </c:pt>
                <c:pt idx="102">
                  <c:v>0.60131310072614608</c:v>
                </c:pt>
                <c:pt idx="103">
                  <c:v>0.61146222315854826</c:v>
                </c:pt>
                <c:pt idx="104">
                  <c:v>0.42242158975981892</c:v>
                </c:pt>
                <c:pt idx="105">
                  <c:v>0.37120018831256796</c:v>
                </c:pt>
                <c:pt idx="106">
                  <c:v>0.56167497767125507</c:v>
                </c:pt>
                <c:pt idx="107">
                  <c:v>0.48181091931314723</c:v>
                </c:pt>
                <c:pt idx="108">
                  <c:v>0.59551175296296455</c:v>
                </c:pt>
                <c:pt idx="109">
                  <c:v>0.62025654473966707</c:v>
                </c:pt>
                <c:pt idx="110">
                  <c:v>0.65788538273470087</c:v>
                </c:pt>
                <c:pt idx="111">
                  <c:v>0.62743002825386451</c:v>
                </c:pt>
                <c:pt idx="112">
                  <c:v>0.72865454858122636</c:v>
                </c:pt>
                <c:pt idx="113">
                  <c:v>0.76339704769861183</c:v>
                </c:pt>
                <c:pt idx="114">
                  <c:v>0.78720114444549516</c:v>
                </c:pt>
                <c:pt idx="115">
                  <c:v>0.73313830982601891</c:v>
                </c:pt>
                <c:pt idx="116">
                  <c:v>0.70364029579278009</c:v>
                </c:pt>
                <c:pt idx="117">
                  <c:v>0.66651797374745536</c:v>
                </c:pt>
                <c:pt idx="118">
                  <c:v>0.80941522392440479</c:v>
                </c:pt>
                <c:pt idx="119">
                  <c:v>0.86027245762324833</c:v>
                </c:pt>
                <c:pt idx="120">
                  <c:v>0.85599383097071491</c:v>
                </c:pt>
                <c:pt idx="121">
                  <c:v>0.96451564626140351</c:v>
                </c:pt>
                <c:pt idx="122">
                  <c:v>1.0974328103718038</c:v>
                </c:pt>
                <c:pt idx="123">
                  <c:v>1.1079640205126804</c:v>
                </c:pt>
                <c:pt idx="124">
                  <c:v>1.1868356023041828</c:v>
                </c:pt>
                <c:pt idx="125">
                  <c:v>1.3707725316495902</c:v>
                </c:pt>
                <c:pt idx="126">
                  <c:v>1.2834569793089359</c:v>
                </c:pt>
                <c:pt idx="127">
                  <c:v>1.2905174282889593</c:v>
                </c:pt>
                <c:pt idx="128">
                  <c:v>1.2860280141295131</c:v>
                </c:pt>
                <c:pt idx="129">
                  <c:v>1.3465140293553657</c:v>
                </c:pt>
                <c:pt idx="130">
                  <c:v>1.2884378071288203</c:v>
                </c:pt>
                <c:pt idx="131">
                  <c:v>1.3665078629190197</c:v>
                </c:pt>
                <c:pt idx="132">
                  <c:v>1.41635125152782</c:v>
                </c:pt>
                <c:pt idx="133">
                  <c:v>1.3673539482849417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7B-164F-BD5D-780B7946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115200"/>
        <c:axId val="1159414592"/>
      </c:lineChart>
      <c:catAx>
        <c:axId val="5811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9414592"/>
        <c:crosses val="autoZero"/>
        <c:auto val="1"/>
        <c:lblAlgn val="ctr"/>
        <c:lblOffset val="100"/>
        <c:noMultiLvlLbl val="0"/>
      </c:catAx>
      <c:valAx>
        <c:axId val="11594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11152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717176</xdr:colOff>
      <xdr:row>26</xdr:row>
      <xdr:rowOff>122276</xdr:rowOff>
    </xdr:from>
    <xdr:to>
      <xdr:col>133</xdr:col>
      <xdr:colOff>311802</xdr:colOff>
      <xdr:row>50</xdr:row>
      <xdr:rowOff>14940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408289</xdr:colOff>
      <xdr:row>29</xdr:row>
      <xdr:rowOff>81134</xdr:rowOff>
    </xdr:from>
    <xdr:to>
      <xdr:col>144</xdr:col>
      <xdr:colOff>0</xdr:colOff>
      <xdr:row>54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31"/>
  <sheetViews>
    <sheetView zoomScale="150" zoomScaleNormal="107" workbookViewId="0">
      <selection activeCell="A26" sqref="A26:EF26"/>
    </sheetView>
  </sheetViews>
  <sheetFormatPr baseColWidth="10" defaultColWidth="7.5" defaultRowHeight="14"/>
  <cols>
    <col min="1" max="1" width="7.5" style="1" customWidth="1"/>
    <col min="2" max="2" width="9" style="1" customWidth="1"/>
    <col min="3" max="16384" width="7.5" style="1"/>
  </cols>
  <sheetData>
    <row r="1" spans="1:138">
      <c r="A1" s="1" t="s">
        <v>0</v>
      </c>
    </row>
    <row r="2" spans="1:138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8">
      <c r="B3" s="7" t="s">
        <v>136</v>
      </c>
      <c r="C3" s="26">
        <v>0.10910583</v>
      </c>
      <c r="D3" s="26">
        <v>1.457658E-2</v>
      </c>
      <c r="E3" s="26">
        <v>-3.6154400000000003E-2</v>
      </c>
      <c r="F3" s="26">
        <v>-4.7425999999999996E-3</v>
      </c>
      <c r="G3" s="26">
        <v>-5.7478E-3</v>
      </c>
      <c r="H3" s="26">
        <v>4.9378020000000002E-2</v>
      </c>
      <c r="I3" s="26">
        <v>0.18325177000000001</v>
      </c>
      <c r="J3" s="26">
        <v>0.11648631</v>
      </c>
      <c r="K3" s="26">
        <v>-3.0594900000000001E-2</v>
      </c>
      <c r="L3" s="26">
        <v>1.982805E-2</v>
      </c>
      <c r="M3" s="26">
        <v>-2.0999E-2</v>
      </c>
      <c r="N3" s="26">
        <v>0.14977942</v>
      </c>
      <c r="O3" s="26">
        <v>1.546341E-2</v>
      </c>
      <c r="P3" s="26">
        <v>-9.1792299999999993E-2</v>
      </c>
      <c r="Q3" s="26">
        <v>-7.7409000000000006E-2</v>
      </c>
      <c r="R3" s="26">
        <v>5.4776600000000002E-2</v>
      </c>
      <c r="S3" s="26">
        <v>-0.12533440000000001</v>
      </c>
      <c r="T3" s="26">
        <v>-0.1190534</v>
      </c>
      <c r="U3" s="26">
        <v>-3.7770100000000001E-2</v>
      </c>
      <c r="V3" s="26">
        <v>8.1183820000000004E-2</v>
      </c>
      <c r="W3" s="26">
        <v>8.4008970000000002E-2</v>
      </c>
      <c r="X3" s="26">
        <v>0.14701136000000001</v>
      </c>
      <c r="Y3" s="26">
        <v>-0.12536050000000001</v>
      </c>
      <c r="Z3" s="26">
        <v>0.19195355</v>
      </c>
      <c r="AA3" s="26">
        <v>-8.4370799999999996E-2</v>
      </c>
      <c r="AB3" s="26">
        <v>7.2897610000000002E-2</v>
      </c>
      <c r="AC3" s="26">
        <v>0.10260456</v>
      </c>
      <c r="AD3" s="26">
        <v>1.577017E-2</v>
      </c>
      <c r="AE3" s="26">
        <v>-0.15200720000000001</v>
      </c>
      <c r="AF3" s="26">
        <v>5.9250249999999997E-2</v>
      </c>
      <c r="AG3" s="26">
        <v>0.13005884000000001</v>
      </c>
      <c r="AH3" s="26">
        <v>0.11525639999999999</v>
      </c>
      <c r="AI3" s="26">
        <v>3.2606620000000003E-2</v>
      </c>
      <c r="AJ3" s="26">
        <v>2.7999110000000001E-2</v>
      </c>
      <c r="AK3" s="26">
        <v>0.14657042000000001</v>
      </c>
      <c r="AL3" s="26">
        <v>4.0841919999999997E-2</v>
      </c>
      <c r="AM3" s="26">
        <v>0.13137636999999999</v>
      </c>
      <c r="AN3" s="26">
        <v>0.22143296000000001</v>
      </c>
      <c r="AO3" s="26">
        <v>-2.0941000000000001E-2</v>
      </c>
      <c r="AP3" s="26">
        <v>-0.13716</v>
      </c>
      <c r="AQ3" s="26">
        <v>-2.4882899999999999E-2</v>
      </c>
      <c r="AR3" s="26">
        <v>1.551397E-2</v>
      </c>
      <c r="AS3" s="26">
        <v>3.4373040000000001E-2</v>
      </c>
      <c r="AT3" s="26">
        <v>6.3095689999999996E-2</v>
      </c>
      <c r="AU3" s="26">
        <v>4.3237699999999997E-2</v>
      </c>
      <c r="AV3" s="26">
        <v>-7.4230400000000002E-2</v>
      </c>
      <c r="AW3" s="26">
        <v>2.7994829999999998E-2</v>
      </c>
      <c r="AX3" s="26">
        <v>0.11986442</v>
      </c>
      <c r="AY3" s="26">
        <v>7.6559569999999993E-2</v>
      </c>
      <c r="AZ3" s="26">
        <v>-2.17304E-2</v>
      </c>
      <c r="BA3" s="26">
        <v>-1.2465E-3</v>
      </c>
      <c r="BB3" s="26">
        <v>0.10099582</v>
      </c>
      <c r="BC3" s="26">
        <v>2.9826930000000001E-2</v>
      </c>
      <c r="BD3" s="26">
        <v>8.6757699999999993E-3</v>
      </c>
      <c r="BE3" s="26">
        <v>6.8557209999999993E-2</v>
      </c>
      <c r="BF3" s="26">
        <v>0.15691260000000001</v>
      </c>
      <c r="BG3" s="26">
        <v>0.15920372999999999</v>
      </c>
      <c r="BH3" s="26">
        <v>6.1121670000000003E-2</v>
      </c>
      <c r="BI3" s="26">
        <v>9.6912849999999995E-2</v>
      </c>
      <c r="BJ3" s="26">
        <v>-5.4746200000000002E-2</v>
      </c>
      <c r="BK3" s="26">
        <v>-8.7493000000000001E-2</v>
      </c>
      <c r="BL3" s="26">
        <v>9.4426750000000004E-2</v>
      </c>
      <c r="BM3" s="26">
        <v>-2.2191099999999998E-2</v>
      </c>
      <c r="BN3" s="26">
        <v>1.5628610000000001E-2</v>
      </c>
      <c r="BO3" s="26">
        <v>8.1418240000000003E-2</v>
      </c>
      <c r="BP3" s="26">
        <v>-1.8508899999999998E-2</v>
      </c>
      <c r="BQ3" s="26">
        <v>6.8729570000000004E-2</v>
      </c>
      <c r="BR3" s="26">
        <v>3.1023600000000002E-3</v>
      </c>
      <c r="BS3" s="26">
        <v>7.4964420000000004E-2</v>
      </c>
      <c r="BT3" s="26">
        <v>4.520159E-2</v>
      </c>
      <c r="BU3" s="26">
        <v>2.5677330000000002E-2</v>
      </c>
      <c r="BV3" s="26">
        <v>9.1804029999999995E-2</v>
      </c>
      <c r="BW3" s="26">
        <v>-2.6353999999999999E-2</v>
      </c>
      <c r="BX3" s="26">
        <v>1.9394829999999998E-2</v>
      </c>
      <c r="BY3" s="26">
        <v>-7.6838900000000002E-2</v>
      </c>
      <c r="BZ3" s="26">
        <v>0.11330931</v>
      </c>
      <c r="CA3" s="26">
        <v>-0.1073549</v>
      </c>
      <c r="CB3" s="26">
        <v>4.0844789999999999E-2</v>
      </c>
      <c r="CC3" s="26">
        <v>-1.9801699999999998E-2</v>
      </c>
      <c r="CD3" s="26">
        <v>0.18837709</v>
      </c>
      <c r="CE3" s="26">
        <v>5.5574909999999998E-2</v>
      </c>
      <c r="CF3" s="26">
        <v>7.4872069999999999E-2</v>
      </c>
      <c r="CG3" s="26">
        <v>0.10000019</v>
      </c>
      <c r="CH3" s="26">
        <v>0.13602172000000001</v>
      </c>
      <c r="CI3" s="26">
        <v>-9.3741000000000005E-2</v>
      </c>
      <c r="CJ3" s="26">
        <v>3.9306000000000002E-3</v>
      </c>
      <c r="CK3" s="26">
        <v>5.6507780000000001E-2</v>
      </c>
      <c r="CL3" s="26">
        <v>0.26354578000000001</v>
      </c>
      <c r="CM3" s="26">
        <v>-9.5554000000000004E-3</v>
      </c>
      <c r="CN3" s="26">
        <v>-3.1511900000000002E-2</v>
      </c>
      <c r="CO3" s="26">
        <v>-2.2619E-2</v>
      </c>
      <c r="CP3" s="26">
        <v>0.13265561000000001</v>
      </c>
      <c r="CQ3" s="26">
        <v>0.13307278</v>
      </c>
      <c r="CR3" s="26">
        <v>-1.49564E-2</v>
      </c>
      <c r="CS3" s="26">
        <v>-3.3419900000000002E-2</v>
      </c>
      <c r="CT3" s="26">
        <v>1.2281210000000001E-2</v>
      </c>
      <c r="CU3" s="26">
        <v>0.11681498</v>
      </c>
      <c r="CV3" s="26">
        <v>-3.1589000000000001E-3</v>
      </c>
      <c r="CW3" s="26">
        <v>3.8217760000000003E-2</v>
      </c>
      <c r="CX3" s="26">
        <v>0.13917409</v>
      </c>
      <c r="CY3" s="26">
        <v>-2.3712299999999999E-2</v>
      </c>
      <c r="CZ3" s="26">
        <v>0.21835291000000001</v>
      </c>
      <c r="DA3" s="26">
        <v>-5.7967400000000002E-2</v>
      </c>
      <c r="DB3" s="26">
        <v>-1.4104200000000001E-2</v>
      </c>
      <c r="DC3" s="26">
        <v>0.11395608</v>
      </c>
      <c r="DD3" s="26">
        <v>7.4472259999999998E-2</v>
      </c>
      <c r="DE3" s="26">
        <v>-8.9970000000000002E-4</v>
      </c>
      <c r="DF3" s="26">
        <v>9.7707000000000002E-4</v>
      </c>
      <c r="DG3" s="26">
        <v>-7.2980100000000006E-2</v>
      </c>
      <c r="DH3" s="26">
        <v>-2.38453E-2</v>
      </c>
      <c r="DI3" s="26">
        <v>-0.1015307</v>
      </c>
      <c r="DJ3" s="26">
        <v>2.7692540000000002E-2</v>
      </c>
      <c r="DK3" s="26">
        <v>-4.9335200000000003E-2</v>
      </c>
      <c r="DL3" s="26">
        <v>-5.6994000000000003E-3</v>
      </c>
      <c r="DM3" s="26">
        <v>-3.6981800000000002E-2</v>
      </c>
      <c r="DN3" s="26">
        <v>0.10981299</v>
      </c>
      <c r="DO3" s="26">
        <v>4.2036829999999997E-2</v>
      </c>
      <c r="DP3" s="26">
        <v>8.4566669999999997E-2</v>
      </c>
      <c r="DQ3" s="26">
        <v>-0.1102798</v>
      </c>
      <c r="DR3" s="26">
        <v>9.4328709999999996E-2</v>
      </c>
      <c r="DS3" s="26">
        <v>-7.1906899999999996E-2</v>
      </c>
      <c r="DT3" s="26">
        <v>-9.62364E-2</v>
      </c>
      <c r="DU3" s="26">
        <v>2.3455500000000001E-3</v>
      </c>
      <c r="DV3" s="26">
        <v>0.13401742</v>
      </c>
      <c r="DW3" s="26">
        <v>9.4732520000000001E-2</v>
      </c>
      <c r="DX3" s="26">
        <v>-0.1037732</v>
      </c>
      <c r="DY3" s="26">
        <v>7.576215E-2</v>
      </c>
      <c r="DZ3" s="26">
        <v>-3.1829700000000002E-2</v>
      </c>
      <c r="EA3" s="26">
        <v>0.16130802</v>
      </c>
      <c r="EB3" s="26">
        <v>1.0203530000000001E-2</v>
      </c>
      <c r="EC3" s="26">
        <v>7.3988429999999994E-2</v>
      </c>
      <c r="ED3" s="26">
        <v>-0.15737689999999999</v>
      </c>
      <c r="EE3" s="26">
        <v>7.9137550000000001E-2</v>
      </c>
      <c r="EF3" s="26">
        <v>7.2528549999999997E-2</v>
      </c>
    </row>
    <row r="4" spans="1:138">
      <c r="B4" s="7" t="s">
        <v>137</v>
      </c>
      <c r="C4" s="26">
        <v>-0.24758869999999999</v>
      </c>
      <c r="D4" s="26">
        <v>-0.27469329999999997</v>
      </c>
      <c r="E4" s="26">
        <v>-8.4648399999999999E-2</v>
      </c>
      <c r="F4" s="26">
        <v>2.2644629999999999E-2</v>
      </c>
      <c r="G4" s="26">
        <v>-4.9680000000000002E-2</v>
      </c>
      <c r="H4" s="26">
        <v>-0.1007596</v>
      </c>
      <c r="I4" s="26">
        <v>-1.2522699999999999E-2</v>
      </c>
      <c r="J4" s="26">
        <v>7.8736539999999994E-2</v>
      </c>
      <c r="K4" s="26">
        <v>-3.4185100000000003E-2</v>
      </c>
      <c r="L4" s="26">
        <v>8.8406789999999999E-2</v>
      </c>
      <c r="M4" s="26">
        <v>-3.0634999999999998E-3</v>
      </c>
      <c r="N4" s="26">
        <v>-0.21221799999999999</v>
      </c>
      <c r="O4" s="26">
        <v>-3.6805400000000002E-2</v>
      </c>
      <c r="P4" s="26">
        <v>7.1033120000000005E-2</v>
      </c>
      <c r="Q4" s="26">
        <v>-7.1261099999999994E-2</v>
      </c>
      <c r="R4" s="26">
        <v>2.1560449999999998E-2</v>
      </c>
      <c r="S4" s="26">
        <v>0.10111125999999999</v>
      </c>
      <c r="T4" s="26">
        <v>4.3224730000000003E-2</v>
      </c>
      <c r="U4" s="26">
        <v>1.488195E-2</v>
      </c>
      <c r="V4" s="26">
        <v>6.3260199999999999E-3</v>
      </c>
      <c r="W4" s="26">
        <v>-0.14355299999999999</v>
      </c>
      <c r="X4" s="26">
        <v>-6.4282199999999998E-2</v>
      </c>
      <c r="Y4" s="26">
        <v>-1.9034200000000001E-2</v>
      </c>
      <c r="Z4" s="26">
        <v>-2.0644599999999999E-2</v>
      </c>
      <c r="AA4" s="26">
        <v>3.3059529999999997E-2</v>
      </c>
      <c r="AB4" s="26">
        <v>-1.94182E-2</v>
      </c>
      <c r="AC4" s="26">
        <v>-6.3126799999999997E-2</v>
      </c>
      <c r="AD4" s="26">
        <v>-6.5629699999999999E-2</v>
      </c>
      <c r="AE4" s="26">
        <v>0.13799568000000001</v>
      </c>
      <c r="AF4" s="26">
        <v>-0.1005679</v>
      </c>
      <c r="AG4" s="26">
        <v>-3.7969099999999999E-2</v>
      </c>
      <c r="AH4" s="26">
        <v>-4.5839499999999998E-2</v>
      </c>
      <c r="AI4" s="26">
        <v>-5.1034099999999999E-2</v>
      </c>
      <c r="AJ4" s="26">
        <v>-3.2204E-3</v>
      </c>
      <c r="AK4" s="26">
        <v>4.8952000000000002E-4</v>
      </c>
      <c r="AL4" s="26">
        <v>-0.10644670000000001</v>
      </c>
      <c r="AM4" s="26">
        <v>-1.3724E-2</v>
      </c>
      <c r="AN4" s="26">
        <v>-0.1219647</v>
      </c>
      <c r="AO4" s="26">
        <v>-4.85897E-2</v>
      </c>
      <c r="AP4" s="26">
        <v>-1.9032000000000001E-3</v>
      </c>
      <c r="AQ4" s="26">
        <v>2.9067490000000001E-2</v>
      </c>
      <c r="AR4" s="26">
        <v>5.2635769999999998E-2</v>
      </c>
      <c r="AS4" s="26">
        <v>-1.28933E-2</v>
      </c>
      <c r="AT4" s="26">
        <v>-2.1310999999999999E-3</v>
      </c>
      <c r="AU4" s="26">
        <v>-0.15538440000000001</v>
      </c>
      <c r="AV4" s="26">
        <v>1.268178E-2</v>
      </c>
      <c r="AW4" s="26">
        <v>-1.1942299999999999E-2</v>
      </c>
      <c r="AX4" s="26">
        <v>-4.2538000000000003E-3</v>
      </c>
      <c r="AY4" s="26">
        <v>2.930087E-2</v>
      </c>
      <c r="AZ4" s="26">
        <v>-0.13412750000000001</v>
      </c>
      <c r="BA4" s="26">
        <v>-0.1371115</v>
      </c>
      <c r="BB4" s="26">
        <v>1.7546599999999999E-3</v>
      </c>
      <c r="BC4" s="26">
        <v>2.511712E-2</v>
      </c>
      <c r="BD4" s="26">
        <v>-0.1196019</v>
      </c>
      <c r="BE4" s="26">
        <v>0.13576165000000001</v>
      </c>
      <c r="BF4" s="26">
        <v>4.7091170000000002E-2</v>
      </c>
      <c r="BG4" s="26">
        <v>-2.60501E-2</v>
      </c>
      <c r="BH4" s="26">
        <v>4.3752760000000002E-2</v>
      </c>
      <c r="BI4" s="26">
        <v>-8.13918E-2</v>
      </c>
      <c r="BJ4" s="26">
        <v>-0.1006008</v>
      </c>
      <c r="BK4" s="26">
        <v>9.0490070000000006E-2</v>
      </c>
      <c r="BL4" s="26">
        <v>-3.0898499999999999E-2</v>
      </c>
      <c r="BM4" s="26">
        <v>5.8814169999999999E-2</v>
      </c>
      <c r="BN4" s="26">
        <v>8.1345630000000002E-2</v>
      </c>
      <c r="BO4" s="26">
        <v>-7.7164E-3</v>
      </c>
      <c r="BP4" s="26">
        <v>0.10673487</v>
      </c>
      <c r="BQ4" s="26">
        <v>-2.7156300000000001E-2</v>
      </c>
      <c r="BR4" s="26">
        <v>-5.4431E-2</v>
      </c>
      <c r="BS4" s="26">
        <v>-6.8229300000000007E-2</v>
      </c>
      <c r="BT4" s="26">
        <v>9.861222E-2</v>
      </c>
      <c r="BU4" s="26">
        <v>0.12839854000000001</v>
      </c>
      <c r="BV4" s="26">
        <v>-7.84025E-2</v>
      </c>
      <c r="BW4" s="26">
        <v>-0.1191337</v>
      </c>
      <c r="BX4" s="26">
        <v>-4.6890099999999997E-2</v>
      </c>
      <c r="BY4" s="26">
        <v>0.10169835000000001</v>
      </c>
      <c r="BZ4" s="26">
        <v>-2.5680100000000001E-2</v>
      </c>
      <c r="CA4" s="26">
        <v>-8.3301799999999995E-2</v>
      </c>
      <c r="CB4" s="26">
        <v>-0.15782760000000001</v>
      </c>
      <c r="CC4" s="26">
        <v>-7.1052599999999994E-2</v>
      </c>
      <c r="CD4" s="26">
        <v>-7.3875499999999997E-2</v>
      </c>
      <c r="CE4" s="26">
        <v>-0.23678650000000001</v>
      </c>
      <c r="CF4" s="26">
        <v>3.2627709999999997E-2</v>
      </c>
      <c r="CG4" s="26">
        <v>1.342309E-2</v>
      </c>
      <c r="CH4" s="26">
        <v>-2.7967000000000001E-3</v>
      </c>
      <c r="CI4" s="26">
        <v>4.7925700000000002E-2</v>
      </c>
      <c r="CJ4" s="26">
        <v>-3.2520000000000001E-3</v>
      </c>
      <c r="CK4" s="26">
        <v>-7.5708200000000003E-2</v>
      </c>
      <c r="CL4" s="26">
        <v>-4.4397300000000001E-2</v>
      </c>
      <c r="CM4" s="26">
        <v>0.17898859</v>
      </c>
      <c r="CN4" s="26">
        <v>5.7994270000000001E-2</v>
      </c>
      <c r="CO4" s="26">
        <v>-0.13939019999999999</v>
      </c>
      <c r="CP4" s="26">
        <v>6.4714670000000002E-2</v>
      </c>
      <c r="CQ4" s="26">
        <v>-0.18118790000000001</v>
      </c>
      <c r="CR4" s="26">
        <v>-8.8633500000000004E-2</v>
      </c>
      <c r="CS4" s="26">
        <v>-2.5321799999999998E-2</v>
      </c>
      <c r="CT4" s="26">
        <v>-0.1130791</v>
      </c>
      <c r="CU4" s="26">
        <v>8.0959599999999993E-3</v>
      </c>
      <c r="CV4" s="26">
        <v>-4.5200200000000003E-2</v>
      </c>
      <c r="CW4" s="26">
        <v>-5.8941199999999999E-2</v>
      </c>
      <c r="CX4" s="26">
        <v>-0.1077283</v>
      </c>
      <c r="CY4" s="26">
        <v>-9.6503500000000006E-2</v>
      </c>
      <c r="CZ4" s="26">
        <v>-0.21035429999999999</v>
      </c>
      <c r="DA4" s="26">
        <v>-0.10996110000000001</v>
      </c>
      <c r="DB4" s="26">
        <v>-0.1908205</v>
      </c>
      <c r="DC4" s="26">
        <v>-2.0727300000000001E-2</v>
      </c>
      <c r="DD4" s="26">
        <v>8.7029090000000003E-2</v>
      </c>
      <c r="DE4" s="26">
        <v>8.2024589999999994E-2</v>
      </c>
      <c r="DF4" s="26">
        <v>-0.16687669999999999</v>
      </c>
      <c r="DG4" s="26">
        <v>0.22243809</v>
      </c>
      <c r="DH4" s="26">
        <v>-0.1442978</v>
      </c>
      <c r="DI4" s="26">
        <v>-0.1196199</v>
      </c>
      <c r="DJ4" s="26">
        <v>-0.1015928</v>
      </c>
      <c r="DK4" s="26">
        <v>9.2855060000000003E-2</v>
      </c>
      <c r="DL4" s="26">
        <v>-4.2630500000000002E-2</v>
      </c>
      <c r="DM4" s="26">
        <v>8.2732070000000005E-2</v>
      </c>
      <c r="DN4" s="26">
        <v>-3.1049500000000001E-2</v>
      </c>
      <c r="DO4" s="26">
        <v>-9.8141999999999993E-2</v>
      </c>
      <c r="DP4" s="26">
        <v>-0.13058890000000001</v>
      </c>
      <c r="DQ4" s="26">
        <v>4.865572E-2</v>
      </c>
      <c r="DR4" s="26">
        <v>-3.9251899999999999E-2</v>
      </c>
      <c r="DS4" s="26">
        <v>-0.16103020000000001</v>
      </c>
      <c r="DT4" s="26">
        <v>-7.8883999999999996E-2</v>
      </c>
      <c r="DU4" s="26">
        <v>0.16407715</v>
      </c>
      <c r="DV4" s="26">
        <v>7.5052599999999997E-3</v>
      </c>
      <c r="DW4" s="26">
        <v>-0.1016452</v>
      </c>
      <c r="DX4" s="26">
        <v>-5.6040300000000001E-2</v>
      </c>
      <c r="DY4" s="26">
        <v>-0.10665669999999999</v>
      </c>
      <c r="DZ4" s="26">
        <v>-6.9186600000000001E-2</v>
      </c>
      <c r="EA4" s="26">
        <v>-0.12618869999999999</v>
      </c>
      <c r="EB4" s="26">
        <v>-6.4737100000000006E-2</v>
      </c>
      <c r="EC4" s="26">
        <v>5.1426090000000001E-2</v>
      </c>
      <c r="ED4" s="26">
        <v>3.4496730000000003E-2</v>
      </c>
      <c r="EE4" s="26">
        <v>0.1576776</v>
      </c>
      <c r="EF4" s="26">
        <v>-0.12717999999999999</v>
      </c>
    </row>
    <row r="5" spans="1:138">
      <c r="B5" s="7" t="s">
        <v>138</v>
      </c>
      <c r="C5" s="26">
        <v>-5.4239999999999997E-2</v>
      </c>
      <c r="D5" s="26">
        <v>4.5377000000000001E-2</v>
      </c>
      <c r="E5" s="26">
        <v>-1.7749999999999998E-2</v>
      </c>
      <c r="F5" s="26">
        <v>-8.7690000000000004E-2</v>
      </c>
      <c r="G5" s="26">
        <v>0.102759</v>
      </c>
      <c r="H5" s="26">
        <v>2.5110000000000002E-3</v>
      </c>
      <c r="I5" s="26">
        <v>-1.83E-2</v>
      </c>
      <c r="J5" s="26">
        <v>2.2110999999999999E-2</v>
      </c>
      <c r="K5" s="26">
        <v>7.7257999999999993E-2</v>
      </c>
      <c r="L5" s="26">
        <v>9.3439999999999999E-3</v>
      </c>
      <c r="M5" s="26">
        <v>5.3601999999999997E-2</v>
      </c>
      <c r="N5" s="26">
        <v>-6.7879999999999996E-2</v>
      </c>
      <c r="O5" s="26">
        <v>6.4930000000000002E-2</v>
      </c>
      <c r="P5" s="26">
        <v>4.8809999999999999E-3</v>
      </c>
      <c r="Q5" s="26">
        <v>1.9198E-2</v>
      </c>
      <c r="R5" s="26">
        <v>-5.47E-3</v>
      </c>
      <c r="S5" s="26">
        <v>3.6551E-2</v>
      </c>
      <c r="T5" s="26">
        <v>0.12918499999999999</v>
      </c>
      <c r="U5" s="26">
        <v>1.3691999999999999E-2</v>
      </c>
      <c r="V5" s="26">
        <v>1.5295E-2</v>
      </c>
      <c r="W5" s="26">
        <v>-0.10469000000000001</v>
      </c>
      <c r="X5" s="26">
        <v>-0.29385</v>
      </c>
      <c r="Y5" s="26">
        <v>5.9212000000000001E-2</v>
      </c>
      <c r="Z5" s="26">
        <v>-0.18495</v>
      </c>
      <c r="AA5" s="26">
        <v>9.8247000000000001E-2</v>
      </c>
      <c r="AB5" s="26">
        <v>-6.6E-4</v>
      </c>
      <c r="AC5" s="26">
        <v>-0.10369</v>
      </c>
      <c r="AD5" s="26">
        <v>3.545E-3</v>
      </c>
      <c r="AE5" s="26">
        <v>0.17560100000000001</v>
      </c>
      <c r="AF5" s="26">
        <v>-0.15503</v>
      </c>
      <c r="AG5" s="26">
        <v>-2.6329999999999999E-2</v>
      </c>
      <c r="AH5" s="26">
        <v>-5.0000000000000001E-3</v>
      </c>
      <c r="AI5" s="26">
        <v>2.8067999999999999E-2</v>
      </c>
      <c r="AJ5" s="26">
        <v>-2.2380000000000001E-2</v>
      </c>
      <c r="AK5" s="26">
        <v>-4.7019999999999999E-2</v>
      </c>
      <c r="AL5" s="26">
        <v>-0.10156</v>
      </c>
      <c r="AM5" s="26">
        <v>2.3525000000000001E-2</v>
      </c>
      <c r="AN5" s="26">
        <v>5.2525000000000002E-2</v>
      </c>
      <c r="AO5" s="26">
        <v>5.8502999999999999E-2</v>
      </c>
      <c r="AP5" s="26">
        <v>3.3446999999999998E-2</v>
      </c>
      <c r="AQ5" s="26">
        <v>1.43E-2</v>
      </c>
      <c r="AR5" s="26">
        <v>3.5903999999999998E-2</v>
      </c>
      <c r="AS5" s="26">
        <v>3.9781999999999998E-2</v>
      </c>
      <c r="AT5" s="26">
        <v>0.148456</v>
      </c>
      <c r="AU5" s="26">
        <v>-4.079E-2</v>
      </c>
      <c r="AV5" s="26">
        <v>0.138959</v>
      </c>
      <c r="AW5" s="26">
        <v>5.9863E-2</v>
      </c>
      <c r="AX5" s="26">
        <v>-0.14979000000000001</v>
      </c>
      <c r="AY5" s="26">
        <v>6.1595999999999998E-2</v>
      </c>
      <c r="AZ5" s="26">
        <v>-6.1949999999999998E-2</v>
      </c>
      <c r="BA5" s="26">
        <v>-2.3900000000000002E-3</v>
      </c>
      <c r="BB5" s="26">
        <v>-0.14887</v>
      </c>
      <c r="BC5" s="26">
        <v>6.0351000000000002E-2</v>
      </c>
      <c r="BD5" s="26">
        <v>-1.469E-2</v>
      </c>
      <c r="BE5" s="26">
        <v>-0.14652000000000001</v>
      </c>
      <c r="BF5" s="26">
        <v>-0.20876</v>
      </c>
      <c r="BG5" s="26">
        <v>-0.20144000000000001</v>
      </c>
      <c r="BH5" s="26">
        <v>-0.11805</v>
      </c>
      <c r="BI5" s="26">
        <v>-7.7030000000000001E-2</v>
      </c>
      <c r="BJ5" s="26">
        <v>-3.6220000000000002E-2</v>
      </c>
      <c r="BK5" s="26">
        <v>-1.891E-2</v>
      </c>
      <c r="BL5" s="26">
        <v>-0.17126</v>
      </c>
      <c r="BM5" s="26">
        <v>0.13291700000000001</v>
      </c>
      <c r="BN5" s="26">
        <v>-3.5909999999999997E-2</v>
      </c>
      <c r="BO5" s="26">
        <v>2.1344999999999999E-2</v>
      </c>
      <c r="BP5" s="26">
        <v>4.9634999999999999E-2</v>
      </c>
      <c r="BQ5" s="26">
        <v>-1.721E-2</v>
      </c>
      <c r="BR5" s="26">
        <v>0.189827</v>
      </c>
      <c r="BS5" s="26">
        <v>-9.7610000000000002E-2</v>
      </c>
      <c r="BT5" s="26">
        <v>3.7830999999999997E-2</v>
      </c>
      <c r="BU5" s="26">
        <v>5.6008000000000002E-2</v>
      </c>
      <c r="BV5" s="26">
        <v>-0.11674</v>
      </c>
      <c r="BW5" s="26">
        <v>-0.14132</v>
      </c>
      <c r="BX5" s="26">
        <v>-3.3800000000000002E-3</v>
      </c>
      <c r="BY5" s="26">
        <v>0.13033600000000001</v>
      </c>
      <c r="BZ5" s="26">
        <v>3.1697999999999997E-2</v>
      </c>
      <c r="CA5" s="26">
        <v>4.0555000000000001E-2</v>
      </c>
      <c r="CB5" s="26">
        <v>-4.2040000000000001E-2</v>
      </c>
      <c r="CC5" s="26">
        <v>5.0014000000000003E-2</v>
      </c>
      <c r="CD5" s="26">
        <v>-6.8459999999999993E-2</v>
      </c>
      <c r="CE5" s="26">
        <v>-8.0829999999999999E-2</v>
      </c>
      <c r="CF5" s="26">
        <v>-1.9499999999999999E-3</v>
      </c>
      <c r="CG5" s="26">
        <v>-0.11821</v>
      </c>
      <c r="CH5" s="26">
        <v>-3.6720000000000003E-2</v>
      </c>
      <c r="CI5" s="26">
        <v>-8.3330000000000001E-2</v>
      </c>
      <c r="CJ5" s="26">
        <v>0.23067299999999999</v>
      </c>
      <c r="CK5" s="26">
        <v>0.13277900000000001</v>
      </c>
      <c r="CL5" s="26">
        <v>0.141287</v>
      </c>
      <c r="CM5" s="26">
        <v>-0.11269</v>
      </c>
      <c r="CN5" s="26">
        <v>0.22348899999999999</v>
      </c>
      <c r="CO5" s="26">
        <v>-0.10442</v>
      </c>
      <c r="CP5" s="26">
        <v>-1.443E-2</v>
      </c>
      <c r="CQ5" s="26">
        <v>-0.20723</v>
      </c>
      <c r="CR5" s="26">
        <v>-0.13486000000000001</v>
      </c>
      <c r="CS5" s="26">
        <v>7.3008000000000003E-2</v>
      </c>
      <c r="CT5" s="26">
        <v>-3.022E-2</v>
      </c>
      <c r="CU5" s="26">
        <v>-0.28688999999999998</v>
      </c>
      <c r="CV5" s="26">
        <v>0.23073099999999999</v>
      </c>
      <c r="CW5" s="26">
        <v>9.1076000000000004E-2</v>
      </c>
      <c r="CX5" s="26">
        <v>-0.12249</v>
      </c>
      <c r="CY5" s="26">
        <v>7.8381999999999993E-2</v>
      </c>
      <c r="CZ5" s="26">
        <v>-4.5949999999999998E-2</v>
      </c>
      <c r="DA5" s="26">
        <v>8.2669999999999993E-2</v>
      </c>
      <c r="DB5" s="26">
        <v>0.14934900000000001</v>
      </c>
      <c r="DC5" s="26">
        <v>-4.7800000000000002E-2</v>
      </c>
      <c r="DD5" s="26">
        <v>-0.16450999999999999</v>
      </c>
      <c r="DE5" s="26">
        <v>-0.11057</v>
      </c>
      <c r="DF5" s="26">
        <v>5.7417000000000003E-2</v>
      </c>
      <c r="DG5" s="26">
        <v>-0.21489</v>
      </c>
      <c r="DH5" s="26">
        <v>6.2996999999999997E-2</v>
      </c>
      <c r="DI5" s="26">
        <v>6.7721000000000003E-2</v>
      </c>
      <c r="DJ5" s="26">
        <v>0.118802</v>
      </c>
      <c r="DK5" s="26">
        <v>7.2830000000000004E-3</v>
      </c>
      <c r="DL5" s="26">
        <v>7.1320999999999996E-2</v>
      </c>
      <c r="DM5" s="26">
        <v>2.1021999999999999E-2</v>
      </c>
      <c r="DN5" s="26">
        <v>-3.04E-2</v>
      </c>
      <c r="DO5" s="26">
        <v>-9.6949999999999995E-2</v>
      </c>
      <c r="DP5" s="26">
        <v>-0.23068</v>
      </c>
      <c r="DQ5" s="26">
        <v>0.23818400000000001</v>
      </c>
      <c r="DR5" s="26">
        <v>3.5750000000000001E-3</v>
      </c>
      <c r="DS5" s="26">
        <v>0.13395599999999999</v>
      </c>
      <c r="DT5" s="26">
        <v>0.115106</v>
      </c>
      <c r="DU5" s="26">
        <v>0.10408000000000001</v>
      </c>
      <c r="DV5" s="26">
        <v>-5.4609999999999999E-2</v>
      </c>
      <c r="DW5" s="26">
        <v>-3.329E-2</v>
      </c>
      <c r="DX5" s="26">
        <v>5.5094999999999998E-2</v>
      </c>
      <c r="DY5" s="26">
        <v>6.8793999999999994E-2</v>
      </c>
      <c r="DZ5" s="26">
        <v>1.4481000000000001E-2</v>
      </c>
      <c r="EA5" s="26">
        <v>-0.29314000000000001</v>
      </c>
      <c r="EB5" s="26">
        <v>-0.14097999999999999</v>
      </c>
      <c r="EC5" s="26">
        <v>-1.221E-2</v>
      </c>
      <c r="ED5" s="26">
        <v>5.8167999999999997E-2</v>
      </c>
      <c r="EE5" s="26">
        <v>-0.1444</v>
      </c>
      <c r="EF5" s="26">
        <v>-9.7009999999999999E-2</v>
      </c>
    </row>
    <row r="6" spans="1:138" ht="15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8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8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8" ht="15">
      <c r="A10" s="25" t="s">
        <v>140</v>
      </c>
      <c r="B10" s="24"/>
      <c r="C10" s="7" t="s">
        <v>141</v>
      </c>
      <c r="D10" s="10">
        <v>964</v>
      </c>
    </row>
    <row r="11" spans="1:138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8">
      <c r="A12" s="7">
        <v>10</v>
      </c>
      <c r="B12" s="7">
        <v>96</v>
      </c>
      <c r="C12" s="9">
        <v>8.4653541666666707E-2</v>
      </c>
      <c r="D12" s="8">
        <v>0.11468851041666669</v>
      </c>
      <c r="E12" s="8">
        <v>4.8026281249999997E-2</v>
      </c>
      <c r="F12" s="8">
        <v>5.5959384784458728E-2</v>
      </c>
      <c r="G12" s="8">
        <v>3.1947448518630461E-2</v>
      </c>
      <c r="H12" s="8">
        <v>3.8530718750000012E-2</v>
      </c>
      <c r="I12" s="8">
        <v>3.6303936849052011E-2</v>
      </c>
      <c r="J12" s="8">
        <v>4.3784578744871523E-2</v>
      </c>
      <c r="K12" s="8">
        <v>2.918799813369918E-2</v>
      </c>
      <c r="L12" s="8">
        <v>4.1890635416666662E-2</v>
      </c>
      <c r="M12" s="8">
        <v>2.688917383320695E-2</v>
      </c>
      <c r="N12" s="8">
        <v>6.9326749999999965E-2</v>
      </c>
      <c r="O12" s="8">
        <v>2.7914759067240381E-2</v>
      </c>
      <c r="P12" s="8">
        <v>2.1420421204462348E-2</v>
      </c>
      <c r="Q12" s="8">
        <v>3.3792784120907728E-2</v>
      </c>
      <c r="R12" s="8">
        <v>1.3397506239935729E-2</v>
      </c>
      <c r="S12" s="8">
        <v>7.1053897094607049E-2</v>
      </c>
      <c r="T12" s="8">
        <v>4.7867716345524697E-2</v>
      </c>
      <c r="U12" s="8">
        <v>2.0367220553130991E-2</v>
      </c>
      <c r="V12" s="8">
        <v>4.5029990802848717E-2</v>
      </c>
      <c r="W12" s="8">
        <v>6.4039645833333325E-2</v>
      </c>
      <c r="X12" s="8">
        <v>0.10964075134733541</v>
      </c>
      <c r="Y12" s="8">
        <v>1.6788377251816099E-2</v>
      </c>
      <c r="Z12" s="8">
        <v>6.362368331557397E-2</v>
      </c>
      <c r="AA12" s="8">
        <v>2.691847942081162E-2</v>
      </c>
      <c r="AB12" s="8">
        <v>3.4689110551478157E-2</v>
      </c>
      <c r="AC12" s="8">
        <v>4.6772945626311249E-2</v>
      </c>
      <c r="AD12" s="8">
        <v>9.3919791666666787E-3</v>
      </c>
      <c r="AE12" s="8">
        <v>4.6437716666984021E-2</v>
      </c>
      <c r="AF12" s="8">
        <v>5.2012102776767682E-2</v>
      </c>
      <c r="AG12" s="8">
        <v>2.998214493272441E-2</v>
      </c>
      <c r="AH12" s="8">
        <v>1.3405804649633229E-2</v>
      </c>
      <c r="AI12" s="8">
        <v>2.3246958333333331E-2</v>
      </c>
      <c r="AJ12" s="8">
        <v>1.298374754605458E-2</v>
      </c>
      <c r="AK12" s="8">
        <v>4.8123704152134412E-2</v>
      </c>
      <c r="AL12" s="8">
        <v>3.4105260416666672E-2</v>
      </c>
      <c r="AM12" s="8">
        <v>3.0086115612597931E-2</v>
      </c>
      <c r="AN12" s="8">
        <v>6.9233234313428524E-2</v>
      </c>
      <c r="AO12" s="8">
        <v>1.499547084312732E-2</v>
      </c>
      <c r="AP12" s="8">
        <v>3.3718344781849152E-2</v>
      </c>
      <c r="AQ12" s="8">
        <v>6.6816458333333302E-3</v>
      </c>
      <c r="AR12" s="8">
        <v>7.5043645833333256E-3</v>
      </c>
      <c r="AS12" s="8">
        <v>1.9976272910371209E-2</v>
      </c>
      <c r="AT12" s="8">
        <v>7.2195382352435097E-2</v>
      </c>
      <c r="AU12" s="8">
        <v>6.3410187500000006E-2</v>
      </c>
      <c r="AV12" s="8">
        <v>5.3715630656719707E-2</v>
      </c>
      <c r="AW12" s="8">
        <v>1.7169704763403071E-2</v>
      </c>
      <c r="AX12" s="8">
        <v>4.4696011972897853E-2</v>
      </c>
      <c r="AY12" s="8">
        <v>2.4955293067673249E-2</v>
      </c>
      <c r="AZ12" s="8">
        <v>6.6564250000000019E-2</v>
      </c>
      <c r="BA12" s="8">
        <v>7.1276302083333326E-2</v>
      </c>
      <c r="BB12" s="8">
        <v>2.9036654569641791E-2</v>
      </c>
      <c r="BC12" s="8">
        <v>2.669096629233754E-2</v>
      </c>
      <c r="BD12" s="8">
        <v>4.9233947916666673E-2</v>
      </c>
      <c r="BE12" s="8">
        <v>3.5368545142518727E-2</v>
      </c>
      <c r="BF12" s="8">
        <v>6.7616949247695318E-2</v>
      </c>
      <c r="BG12" s="8">
        <v>4.6757753881283733E-2</v>
      </c>
      <c r="BH12" s="8">
        <v>3.5079589029917008E-2</v>
      </c>
      <c r="BI12" s="8">
        <v>5.002125303099076E-2</v>
      </c>
      <c r="BJ12" s="8">
        <v>4.3422968749999992E-2</v>
      </c>
      <c r="BK12" s="8">
        <v>2.0075822916666659E-2</v>
      </c>
      <c r="BL12" s="8">
        <v>3.2129098300494131E-2</v>
      </c>
      <c r="BM12" s="8">
        <v>5.030568452332447E-2</v>
      </c>
      <c r="BN12" s="8">
        <v>1.9502249999999999E-2</v>
      </c>
      <c r="BO12" s="8">
        <v>2.4246310256236889E-2</v>
      </c>
      <c r="BP12" s="8">
        <v>2.6422499999999991E-2</v>
      </c>
      <c r="BQ12" s="8">
        <v>1.3896749618746689E-2</v>
      </c>
      <c r="BR12" s="8">
        <v>6.8693615147113224E-2</v>
      </c>
      <c r="BS12" s="8">
        <v>3.2642854888392712E-2</v>
      </c>
      <c r="BT12" s="8">
        <v>2.1288177083333332E-2</v>
      </c>
      <c r="BU12" s="8">
        <v>4.808319791666666E-2</v>
      </c>
      <c r="BV12" s="8">
        <v>4.2282389085929989E-2</v>
      </c>
      <c r="BW12" s="8">
        <v>4.4477003891650199E-2</v>
      </c>
      <c r="BX12" s="8">
        <v>1.598431249999999E-2</v>
      </c>
      <c r="BY12" s="8">
        <v>5.8929916357564061E-2</v>
      </c>
      <c r="BZ12" s="8">
        <v>4.5356945691272972E-2</v>
      </c>
      <c r="CA12" s="8">
        <v>3.4400287440342493E-2</v>
      </c>
      <c r="CB12" s="8">
        <v>7.2475718750000029E-2</v>
      </c>
      <c r="CC12" s="8">
        <v>6.5566041666666686E-2</v>
      </c>
      <c r="CD12" s="8">
        <v>0.1109336335844525</v>
      </c>
      <c r="CE12" s="8">
        <v>0.15400715625000011</v>
      </c>
      <c r="CF12" s="8">
        <v>2.776758341377213E-2</v>
      </c>
      <c r="CG12" s="8">
        <v>4.9277959963080598E-2</v>
      </c>
      <c r="CH12" s="8">
        <v>6.3297372377959904E-2</v>
      </c>
      <c r="CI12" s="8">
        <v>3.4655912412205718E-2</v>
      </c>
      <c r="CJ12" s="8">
        <v>5.4120066914195013E-2</v>
      </c>
      <c r="CK12" s="8">
        <v>5.6101440647790157E-2</v>
      </c>
      <c r="CL12" s="8">
        <v>0.1180156076696104</v>
      </c>
      <c r="CM12" s="8">
        <v>7.1708562500000045E-2</v>
      </c>
      <c r="CN12" s="8">
        <v>7.8465204010806394E-2</v>
      </c>
      <c r="CO12" s="8">
        <v>7.1291854166666654E-2</v>
      </c>
      <c r="CP12" s="8">
        <v>4.5299021467493747E-2</v>
      </c>
      <c r="CQ12" s="8">
        <v>6.2684347003574781E-2</v>
      </c>
      <c r="CR12" s="8">
        <v>5.7159986521513537E-2</v>
      </c>
      <c r="CS12" s="8">
        <v>9.7857359485265666E-4</v>
      </c>
      <c r="CT12" s="8">
        <v>3.2113958333333317E-2</v>
      </c>
      <c r="CU12" s="8">
        <v>7.4779529281356727E-2</v>
      </c>
      <c r="CV12" s="8">
        <v>6.5033306495688795E-2</v>
      </c>
      <c r="CW12" s="8">
        <v>1.303666937857764E-2</v>
      </c>
      <c r="CX12" s="8">
        <v>6.098988253699178E-2</v>
      </c>
      <c r="CY12" s="8">
        <v>4.6072656250000003E-2</v>
      </c>
      <c r="CZ12" s="8">
        <v>7.7792327339500603E-2</v>
      </c>
      <c r="DA12" s="8">
        <v>3.6978520833333327E-2</v>
      </c>
      <c r="DB12" s="8">
        <v>8.8981854166666707E-2</v>
      </c>
      <c r="DC12" s="8">
        <v>3.3973202874774677E-2</v>
      </c>
      <c r="DD12" s="8">
        <v>6.9960545734343321E-2</v>
      </c>
      <c r="DE12" s="8">
        <v>2.473764441509502E-2</v>
      </c>
      <c r="DF12" s="8">
        <v>5.5486104166666647E-2</v>
      </c>
      <c r="DG12" s="8">
        <v>4.6409979166666671E-2</v>
      </c>
      <c r="DH12" s="8">
        <v>6.1195427083333309E-2</v>
      </c>
      <c r="DI12" s="8">
        <v>5.9749010416666679E-2</v>
      </c>
      <c r="DJ12" s="8">
        <v>4.1378042935671558E-2</v>
      </c>
      <c r="DK12" s="8">
        <v>3.1928208333333333E-2</v>
      </c>
      <c r="DL12" s="8">
        <v>1.8669833333803058E-2</v>
      </c>
      <c r="DM12" s="8">
        <v>1.923761458333334E-2</v>
      </c>
      <c r="DN12" s="8">
        <v>4.2410365386064831E-2</v>
      </c>
      <c r="DO12" s="8">
        <v>3.0557260416666669E-2</v>
      </c>
      <c r="DP12" s="8">
        <v>5.9408694556660431E-2</v>
      </c>
      <c r="DQ12" s="8">
        <v>7.454064748047276E-2</v>
      </c>
      <c r="DR12" s="8">
        <v>1.8778943279386909E-2</v>
      </c>
      <c r="DS12" s="8">
        <v>6.9651010416666673E-2</v>
      </c>
      <c r="DT12" s="8">
        <v>2.481384156258671E-2</v>
      </c>
      <c r="DU12" s="8">
        <v>5.7230229166666681E-2</v>
      </c>
      <c r="DV12" s="8">
        <v>4.8550824477530688E-2</v>
      </c>
      <c r="DW12" s="8">
        <v>4.4967552083333348E-2</v>
      </c>
      <c r="DX12" s="8">
        <v>5.0152080542361532E-2</v>
      </c>
      <c r="DY12" s="8">
        <v>5.3145312500000007E-2</v>
      </c>
      <c r="DZ12" s="8">
        <v>6.2268437500000041E-3</v>
      </c>
      <c r="EA12" s="8">
        <v>0.113127041749137</v>
      </c>
      <c r="EB12" s="8">
        <v>3.052577681784165E-2</v>
      </c>
      <c r="EC12" s="8">
        <v>2.6651509579665299E-2</v>
      </c>
      <c r="ED12" s="8">
        <v>6.050815280848415E-2</v>
      </c>
      <c r="EE12" s="8">
        <v>2.6506687500000001E-2</v>
      </c>
      <c r="EF12" s="8">
        <v>2.9233395833333311E-2</v>
      </c>
      <c r="EH12" s="4"/>
    </row>
    <row r="13" spans="1:138">
      <c r="A13" s="7">
        <v>20</v>
      </c>
      <c r="B13" s="7">
        <v>48</v>
      </c>
      <c r="C13" s="6">
        <v>0.10411314583333341</v>
      </c>
      <c r="D13" s="5">
        <v>0.12374510416666661</v>
      </c>
      <c r="E13" s="5">
        <v>6.9861291666666658E-2</v>
      </c>
      <c r="F13" s="5">
        <v>5.9986526692922967E-2</v>
      </c>
      <c r="G13" s="5">
        <v>1.2047404300105931E-2</v>
      </c>
      <c r="H13" s="5">
        <v>2.999035416666665E-2</v>
      </c>
      <c r="I13" s="5">
        <v>3.2682862984722338E-2</v>
      </c>
      <c r="J13" s="5">
        <v>3.4549891969644697E-2</v>
      </c>
      <c r="K13" s="5">
        <v>6.0326139227570137E-2</v>
      </c>
      <c r="L13" s="5">
        <v>6.0251041666666613E-3</v>
      </c>
      <c r="M13" s="5">
        <v>3.2797582260047169E-3</v>
      </c>
      <c r="N13" s="5">
        <v>9.9806729166666677E-2</v>
      </c>
      <c r="O13" s="5">
        <v>1.7422698810949939E-2</v>
      </c>
      <c r="P13" s="5">
        <v>2.0856913061405559E-2</v>
      </c>
      <c r="Q13" s="5">
        <v>4.4218264227970053E-2</v>
      </c>
      <c r="R13" s="5">
        <v>6.4899101760743979E-3</v>
      </c>
      <c r="S13" s="5">
        <v>0.1229152980035506</v>
      </c>
      <c r="T13" s="5">
        <v>7.4234081511722602E-2</v>
      </c>
      <c r="U13" s="5">
        <v>5.4161075041694179E-2</v>
      </c>
      <c r="V13" s="5">
        <v>5.2779738900233658E-2</v>
      </c>
      <c r="W13" s="5">
        <v>7.5476395833333348E-2</v>
      </c>
      <c r="X13" s="5">
        <v>0.1211277708527381</v>
      </c>
      <c r="Y13" s="5">
        <v>2.6471883217342521E-2</v>
      </c>
      <c r="Z13" s="5">
        <v>7.842443480518356E-2</v>
      </c>
      <c r="AA13" s="5">
        <v>4.7712648450258188E-2</v>
      </c>
      <c r="AB13" s="5">
        <v>4.6678220121377283E-2</v>
      </c>
      <c r="AC13" s="5">
        <v>6.6771700381929838E-2</v>
      </c>
      <c r="AD13" s="5">
        <v>2.1543083333333331E-2</v>
      </c>
      <c r="AE13" s="5">
        <v>7.7071416726800679E-2</v>
      </c>
      <c r="AF13" s="5">
        <v>7.3281160828311181E-2</v>
      </c>
      <c r="AG13" s="5">
        <v>3.1681783055002889E-2</v>
      </c>
      <c r="AH13" s="5">
        <v>9.6413392395163916E-3</v>
      </c>
      <c r="AI13" s="5">
        <v>1.9910041666666659E-2</v>
      </c>
      <c r="AJ13" s="5">
        <v>-1.628046998827572E-2</v>
      </c>
      <c r="AK13" s="5">
        <v>6.5987912810655996E-2</v>
      </c>
      <c r="AL13" s="5">
        <v>2.2550104166666671E-2</v>
      </c>
      <c r="AM13" s="5">
        <v>4.6282443536828928E-2</v>
      </c>
      <c r="AN13" s="5">
        <v>0.10533023813603409</v>
      </c>
      <c r="AO13" s="5">
        <v>-1.7088466886353789E-3</v>
      </c>
      <c r="AP13" s="5">
        <v>5.9550840361997717E-2</v>
      </c>
      <c r="AQ13" s="5">
        <v>1.1081895833333331E-2</v>
      </c>
      <c r="AR13" s="5">
        <v>-9.2504166666666568E-3</v>
      </c>
      <c r="AS13" s="5">
        <v>2.340496354159733E-2</v>
      </c>
      <c r="AT13" s="5">
        <v>8.6422914727599456E-2</v>
      </c>
      <c r="AU13" s="5">
        <v>7.6783979166666669E-2</v>
      </c>
      <c r="AV13" s="5">
        <v>7.9665975648470139E-2</v>
      </c>
      <c r="AW13" s="5">
        <v>2.682123797038095E-2</v>
      </c>
      <c r="AX13" s="5">
        <v>3.2799832135855793E-2</v>
      </c>
      <c r="AY13" s="5">
        <v>1.756434634862496E-2</v>
      </c>
      <c r="AZ13" s="5">
        <v>5.5450187500000012E-2</v>
      </c>
      <c r="BA13" s="5">
        <v>7.9829270833333327E-2</v>
      </c>
      <c r="BB13" s="5">
        <v>2.2547400974778999E-2</v>
      </c>
      <c r="BC13" s="5">
        <v>1.9110867274842121E-2</v>
      </c>
      <c r="BD13" s="5">
        <v>4.1676729166666669E-2</v>
      </c>
      <c r="BE13" s="5">
        <v>4.3773789385783142E-2</v>
      </c>
      <c r="BF13" s="5">
        <v>0.1216571432659557</v>
      </c>
      <c r="BG13" s="5">
        <v>8.8397545856320814E-2</v>
      </c>
      <c r="BH13" s="5">
        <v>4.1023656192191983E-2</v>
      </c>
      <c r="BI13" s="5">
        <v>5.2409132456701382E-2</v>
      </c>
      <c r="BJ13" s="5">
        <v>5.1452562499999993E-2</v>
      </c>
      <c r="BK13" s="5">
        <v>2.5126020833333328E-2</v>
      </c>
      <c r="BL13" s="5">
        <v>3.4460040448450822E-2</v>
      </c>
      <c r="BM13" s="5">
        <v>5.3371768695190711E-2</v>
      </c>
      <c r="BN13" s="5">
        <v>-4.8578333333333251E-3</v>
      </c>
      <c r="BO13" s="5">
        <v>3.0878716233474109E-2</v>
      </c>
      <c r="BP13" s="5">
        <v>7.9520416666666559E-3</v>
      </c>
      <c r="BQ13" s="5">
        <v>4.1653063789425779E-2</v>
      </c>
      <c r="BR13" s="5">
        <v>7.9831456823332952E-2</v>
      </c>
      <c r="BS13" s="5">
        <v>4.0180514361416918E-2</v>
      </c>
      <c r="BT13" s="5">
        <v>3.3667895833333343E-2</v>
      </c>
      <c r="BU13" s="5">
        <v>7.4658166666666678E-2</v>
      </c>
      <c r="BV13" s="5">
        <v>7.9930834101057502E-2</v>
      </c>
      <c r="BW13" s="5">
        <v>7.5714005636679529E-2</v>
      </c>
      <c r="BX13" s="5">
        <v>1.47710416666667E-3</v>
      </c>
      <c r="BY13" s="5">
        <v>3.9201956575141389E-2</v>
      </c>
      <c r="BZ13" s="5">
        <v>7.6138123059050211E-2</v>
      </c>
      <c r="CA13" s="5">
        <v>3.3531565600396843E-2</v>
      </c>
      <c r="CB13" s="5">
        <v>0.1204269166666667</v>
      </c>
      <c r="CC13" s="5">
        <v>0.1201179166666667</v>
      </c>
      <c r="CD13" s="5">
        <v>0.1050858328923274</v>
      </c>
      <c r="CE13" s="5">
        <v>0.1838277291666667</v>
      </c>
      <c r="CF13" s="5">
        <v>4.4514266725069238E-2</v>
      </c>
      <c r="CG13" s="5">
        <v>5.8014967807239318E-2</v>
      </c>
      <c r="CH13" s="5">
        <v>5.8334611827207158E-2</v>
      </c>
      <c r="CI13" s="5">
        <v>5.1853509134263308E-2</v>
      </c>
      <c r="CJ13" s="5">
        <v>5.481018067884004E-2</v>
      </c>
      <c r="CK13" s="5">
        <v>6.568712626679736E-2</v>
      </c>
      <c r="CL13" s="5">
        <v>8.1453366102180805E-2</v>
      </c>
      <c r="CM13" s="5">
        <v>0.1014523333333333</v>
      </c>
      <c r="CN13" s="5">
        <v>0.1009941666481943</v>
      </c>
      <c r="CO13" s="5">
        <v>8.5566145833333315E-2</v>
      </c>
      <c r="CP13" s="5">
        <v>6.9726540277734339E-2</v>
      </c>
      <c r="CQ13" s="5">
        <v>7.1178864968403879E-2</v>
      </c>
      <c r="CR13" s="5">
        <v>0.11164488638047471</v>
      </c>
      <c r="CS13" s="5">
        <v>9.5676536651352929E-3</v>
      </c>
      <c r="CT13" s="5">
        <v>4.3462166666666698E-2</v>
      </c>
      <c r="CU13" s="5">
        <v>0.1070909617136373</v>
      </c>
      <c r="CV13" s="5">
        <v>7.7656051256972655E-2</v>
      </c>
      <c r="CW13" s="5">
        <v>3.6309119756433333E-2</v>
      </c>
      <c r="CX13" s="5">
        <v>6.0033255240053027E-2</v>
      </c>
      <c r="CY13" s="5">
        <v>6.2296645833333331E-2</v>
      </c>
      <c r="CZ13" s="5">
        <v>5.7224220353485122E-2</v>
      </c>
      <c r="DA13" s="5">
        <v>4.9445770833333333E-2</v>
      </c>
      <c r="DB13" s="5">
        <v>0.10623525</v>
      </c>
      <c r="DC13" s="5">
        <v>2.9775565878292928E-2</v>
      </c>
      <c r="DD13" s="5">
        <v>6.8977058924383453E-2</v>
      </c>
      <c r="DE13" s="5">
        <v>2.2441996429236069E-2</v>
      </c>
      <c r="DF13" s="5">
        <v>8.3122687499999987E-2</v>
      </c>
      <c r="DG13" s="5">
        <v>4.772931250000001E-2</v>
      </c>
      <c r="DH13" s="5">
        <v>8.8720708333333301E-2</v>
      </c>
      <c r="DI13" s="5">
        <v>8.9748124999999984E-2</v>
      </c>
      <c r="DJ13" s="5">
        <v>7.0211236155579941E-3</v>
      </c>
      <c r="DK13" s="5">
        <v>1.9386395833333341E-2</v>
      </c>
      <c r="DL13" s="5">
        <v>2.2050690678088229E-2</v>
      </c>
      <c r="DM13" s="5">
        <v>-5.319583333333322E-4</v>
      </c>
      <c r="DN13" s="5">
        <v>1.1499577922513139E-2</v>
      </c>
      <c r="DO13" s="5">
        <v>3.7863854166666669E-2</v>
      </c>
      <c r="DP13" s="5">
        <v>5.8032308890701628E-2</v>
      </c>
      <c r="DQ13" s="5">
        <v>8.712901139257051E-2</v>
      </c>
      <c r="DR13" s="5">
        <v>1.377120927231194E-2</v>
      </c>
      <c r="DS13" s="5">
        <v>6.8596687500000003E-2</v>
      </c>
      <c r="DT13" s="5">
        <v>2.9845809161003281E-2</v>
      </c>
      <c r="DU13" s="5">
        <v>3.3005958333333342E-2</v>
      </c>
      <c r="DV13" s="5">
        <v>7.9620144024188558E-2</v>
      </c>
      <c r="DW13" s="5">
        <v>4.2028479166666688E-2</v>
      </c>
      <c r="DX13" s="5">
        <v>6.4523379578496173E-2</v>
      </c>
      <c r="DY13" s="5">
        <v>5.698114583333333E-2</v>
      </c>
      <c r="DZ13" s="5">
        <v>1.830197916666667E-2</v>
      </c>
      <c r="EA13" s="5">
        <v>0.1244689581490709</v>
      </c>
      <c r="EB13" s="5">
        <v>5.7205292748389078E-2</v>
      </c>
      <c r="EC13" s="5">
        <v>4.1659753435228923E-2</v>
      </c>
      <c r="ED13" s="5">
        <v>6.5682093659234955E-2</v>
      </c>
      <c r="EE13" s="5">
        <v>4.1234374999999997E-2</v>
      </c>
      <c r="EF13" s="5">
        <v>4.4513041666666663E-2</v>
      </c>
      <c r="EH13" s="4"/>
    </row>
    <row r="14" spans="1:138">
      <c r="A14" s="7">
        <v>50</v>
      </c>
      <c r="B14" s="7">
        <v>19</v>
      </c>
      <c r="C14" s="6">
        <v>0.1199416315789474</v>
      </c>
      <c r="D14" s="5">
        <v>0.22230878947368421</v>
      </c>
      <c r="E14" s="5">
        <v>9.8768157894736849E-2</v>
      </c>
      <c r="F14" s="5">
        <v>6.0341904906032563E-2</v>
      </c>
      <c r="G14" s="5">
        <v>5.3656630442780677E-2</v>
      </c>
      <c r="H14" s="5">
        <v>5.9588947368421033E-2</v>
      </c>
      <c r="I14" s="5">
        <v>4.3787359823142302E-2</v>
      </c>
      <c r="J14" s="5">
        <v>2.330997196491089E-2</v>
      </c>
      <c r="K14" s="5">
        <v>5.0827466260847963E-2</v>
      </c>
      <c r="L14" s="5">
        <v>8.480210526315788E-3</v>
      </c>
      <c r="M14" s="5">
        <v>-1.902171446498398E-2</v>
      </c>
      <c r="N14" s="5">
        <v>0.20483268421052631</v>
      </c>
      <c r="O14" s="5">
        <v>1.4944079385485289E-3</v>
      </c>
      <c r="P14" s="5">
        <v>5.8345921898241233E-2</v>
      </c>
      <c r="Q14" s="5">
        <v>0.12410387117144869</v>
      </c>
      <c r="R14" s="5">
        <v>-1.5941187297101821E-2</v>
      </c>
      <c r="S14" s="5">
        <v>0.1658932271847087</v>
      </c>
      <c r="T14" s="5">
        <v>3.5019554834400057E-2</v>
      </c>
      <c r="U14" s="5">
        <v>0.1042666646356476</v>
      </c>
      <c r="V14" s="5">
        <v>2.0089127185378371E-2</v>
      </c>
      <c r="W14" s="5">
        <v>0.1161653684210526</v>
      </c>
      <c r="X14" s="5">
        <v>0.1866856956103469</v>
      </c>
      <c r="Y14" s="5">
        <v>5.2198745955319217E-3</v>
      </c>
      <c r="Z14" s="5">
        <v>3.8511926280307661E-2</v>
      </c>
      <c r="AA14" s="5">
        <v>9.9905879497324754E-2</v>
      </c>
      <c r="AB14" s="5">
        <v>7.0769377347230211E-2</v>
      </c>
      <c r="AC14" s="5">
        <v>-3.086562338789272E-3</v>
      </c>
      <c r="AD14" s="5">
        <v>3.9327947368421053E-2</v>
      </c>
      <c r="AE14" s="5">
        <v>0.11683691983956609</v>
      </c>
      <c r="AF14" s="5">
        <v>9.6080095456633624E-2</v>
      </c>
      <c r="AG14" s="5">
        <v>2.0520894646562499E-2</v>
      </c>
      <c r="AH14" s="5">
        <v>5.250277930506024E-3</v>
      </c>
      <c r="AI14" s="5">
        <v>1.0965315789473681E-2</v>
      </c>
      <c r="AJ14" s="5">
        <v>1.505903608315101E-2</v>
      </c>
      <c r="AK14" s="5">
        <v>7.6911430858302002E-2</v>
      </c>
      <c r="AL14" s="5">
        <v>1.8559105263157901E-2</v>
      </c>
      <c r="AM14" s="5">
        <v>6.1242166378625243E-2</v>
      </c>
      <c r="AN14" s="5">
        <v>9.8594666769543718E-2</v>
      </c>
      <c r="AO14" s="5">
        <v>-3.804435254206133E-2</v>
      </c>
      <c r="AP14" s="5">
        <v>6.9976525152084204E-2</v>
      </c>
      <c r="AQ14" s="5">
        <v>8.1264210526315814E-3</v>
      </c>
      <c r="AR14" s="5">
        <v>-1.8170473684210521E-2</v>
      </c>
      <c r="AS14" s="5">
        <v>-6.6693383896894304E-3</v>
      </c>
      <c r="AT14" s="5">
        <v>7.9403479710638047E-2</v>
      </c>
      <c r="AU14" s="5">
        <v>0.13785310526315789</v>
      </c>
      <c r="AV14" s="5">
        <v>6.6258749216258558E-2</v>
      </c>
      <c r="AW14" s="5">
        <v>5.3928681229427317E-2</v>
      </c>
      <c r="AX14" s="5">
        <v>1.9370213375490559E-2</v>
      </c>
      <c r="AY14" s="5">
        <v>1.5068118771761551E-2</v>
      </c>
      <c r="AZ14" s="5">
        <v>2.5628999999999999E-2</v>
      </c>
      <c r="BA14" s="5">
        <v>9.6337421052631572E-2</v>
      </c>
      <c r="BB14" s="5">
        <v>0.1103112489011205</v>
      </c>
      <c r="BC14" s="5">
        <v>-2.8505683499306111E-2</v>
      </c>
      <c r="BD14" s="5">
        <v>1.6418894736842111E-2</v>
      </c>
      <c r="BE14" s="5">
        <v>7.0081770149328954E-2</v>
      </c>
      <c r="BF14" s="5">
        <v>0.15382926157400831</v>
      </c>
      <c r="BG14" s="5">
        <v>0.12530530643958979</v>
      </c>
      <c r="BH14" s="5">
        <v>7.3413464178725074E-2</v>
      </c>
      <c r="BI14" s="5">
        <v>5.0185212890853773E-2</v>
      </c>
      <c r="BJ14" s="5">
        <v>2.401789473684211E-2</v>
      </c>
      <c r="BK14" s="5">
        <v>-3.3237210526315772E-2</v>
      </c>
      <c r="BL14" s="5">
        <v>5.9996895527440267E-2</v>
      </c>
      <c r="BM14" s="5">
        <v>4.6278325003000387E-2</v>
      </c>
      <c r="BN14" s="5">
        <v>-4.657684210526316E-2</v>
      </c>
      <c r="BO14" s="5">
        <v>3.3609045677264478E-2</v>
      </c>
      <c r="BP14" s="5">
        <v>-5.033168421052632E-2</v>
      </c>
      <c r="BQ14" s="5">
        <v>1.584352386995078E-2</v>
      </c>
      <c r="BR14" s="5">
        <v>0.10005242307538641</v>
      </c>
      <c r="BS14" s="5">
        <v>3.033272398677064E-2</v>
      </c>
      <c r="BT14" s="5">
        <v>-1.528831578947369E-2</v>
      </c>
      <c r="BU14" s="5">
        <v>0.11116010526315789</v>
      </c>
      <c r="BV14" s="5">
        <v>0.10798163319999469</v>
      </c>
      <c r="BW14" s="5">
        <v>0.13089750855718521</v>
      </c>
      <c r="BX14" s="5">
        <v>-3.0736842105263262E-4</v>
      </c>
      <c r="BY14" s="5">
        <v>-4.2604489653349287E-2</v>
      </c>
      <c r="BZ14" s="5">
        <v>6.0034056828782267E-2</v>
      </c>
      <c r="CA14" s="5">
        <v>2.446526611493707E-2</v>
      </c>
      <c r="CB14" s="5">
        <v>0.16446578947368409</v>
      </c>
      <c r="CC14" s="5">
        <v>0.1205952105263158</v>
      </c>
      <c r="CD14" s="5">
        <v>9.8016709932197757E-2</v>
      </c>
      <c r="CE14" s="5">
        <v>0.1705548421052632</v>
      </c>
      <c r="CF14" s="5">
        <v>9.2330683282061565E-2</v>
      </c>
      <c r="CG14" s="5">
        <v>5.7320663667820577E-2</v>
      </c>
      <c r="CH14" s="5">
        <v>6.46613922782171E-2</v>
      </c>
      <c r="CI14" s="5">
        <v>0.1058847773633588</v>
      </c>
      <c r="CJ14" s="5">
        <v>1.7796116349141359E-2</v>
      </c>
      <c r="CK14" s="5">
        <v>5.3792086513992962E-2</v>
      </c>
      <c r="CL14" s="5">
        <v>6.2269954878836478E-2</v>
      </c>
      <c r="CM14" s="5">
        <v>0.1100678421052631</v>
      </c>
      <c r="CN14" s="5">
        <v>0.17459567468505729</v>
      </c>
      <c r="CO14" s="5">
        <v>0.17324926315789471</v>
      </c>
      <c r="CP14" s="5">
        <v>9.9809331481752833E-2</v>
      </c>
      <c r="CQ14" s="5">
        <v>3.2227899887387702E-2</v>
      </c>
      <c r="CR14" s="5">
        <v>0.207719712590648</v>
      </c>
      <c r="CS14" s="5">
        <v>-4.4126335332496502E-3</v>
      </c>
      <c r="CT14" s="5">
        <v>6.1872210526315793E-2</v>
      </c>
      <c r="CU14" s="5">
        <v>0.1015449999567145</v>
      </c>
      <c r="CV14" s="5">
        <v>0.1513968411576333</v>
      </c>
      <c r="CW14" s="5">
        <v>4.476388444326003E-2</v>
      </c>
      <c r="CX14" s="5">
        <v>3.6299408888239168E-2</v>
      </c>
      <c r="CY14" s="5">
        <v>5.0138052631578972E-2</v>
      </c>
      <c r="CZ14" s="5">
        <v>6.4063563350383365E-2</v>
      </c>
      <c r="DA14" s="5">
        <v>6.5392578947368413E-2</v>
      </c>
      <c r="DB14" s="5">
        <v>0.104608052631579</v>
      </c>
      <c r="DC14" s="5">
        <v>2.3632609204847509E-2</v>
      </c>
      <c r="DD14" s="5">
        <v>7.920535184818453E-2</v>
      </c>
      <c r="DE14" s="5">
        <v>6.2526924006459011E-2</v>
      </c>
      <c r="DF14" s="5">
        <v>0.20156447368421049</v>
      </c>
      <c r="DG14" s="5">
        <v>4.5583631578947383E-2</v>
      </c>
      <c r="DH14" s="5">
        <v>5.8742578947368403E-2</v>
      </c>
      <c r="DI14" s="5">
        <v>8.6646789473684205E-2</v>
      </c>
      <c r="DJ14" s="5">
        <v>8.7940293873207658E-3</v>
      </c>
      <c r="DK14" s="5">
        <v>8.1621684210526332E-2</v>
      </c>
      <c r="DL14" s="5">
        <v>4.0754871831899041E-2</v>
      </c>
      <c r="DM14" s="5">
        <v>1.120684210526305E-3</v>
      </c>
      <c r="DN14" s="5">
        <v>4.2662495893264311E-2</v>
      </c>
      <c r="DO14" s="5">
        <v>0.102592</v>
      </c>
      <c r="DP14" s="5">
        <v>6.2914808070300282E-2</v>
      </c>
      <c r="DQ14" s="5">
        <v>7.1172564581132955E-2</v>
      </c>
      <c r="DR14" s="5">
        <v>5.2622519458999567E-2</v>
      </c>
      <c r="DS14" s="5">
        <v>5.6051684210526309E-2</v>
      </c>
      <c r="DT14" s="5">
        <v>7.7542903390828534E-3</v>
      </c>
      <c r="DU14" s="5">
        <v>6.8796263157894735E-2</v>
      </c>
      <c r="DV14" s="5">
        <v>0.1082623545301073</v>
      </c>
      <c r="DW14" s="5">
        <v>1.809894736842108E-3</v>
      </c>
      <c r="DX14" s="5">
        <v>0.1019315055524211</v>
      </c>
      <c r="DY14" s="5">
        <v>7.4257842105263164E-2</v>
      </c>
      <c r="DZ14" s="5">
        <v>3.5030894736842108E-2</v>
      </c>
      <c r="EA14" s="5">
        <v>6.2912684572741601E-2</v>
      </c>
      <c r="EB14" s="5">
        <v>7.8179830700263173E-2</v>
      </c>
      <c r="EC14" s="5">
        <v>6.0793821481329897E-3</v>
      </c>
      <c r="ED14" s="5">
        <v>0.102629709186187</v>
      </c>
      <c r="EE14" s="5">
        <v>-3.399263157894739E-3</v>
      </c>
      <c r="EF14" s="5">
        <v>2.5524210526315781E-2</v>
      </c>
      <c r="EH14" s="4"/>
    </row>
    <row r="15" spans="1:138">
      <c r="A15" s="7">
        <v>100</v>
      </c>
      <c r="B15" s="7">
        <v>10</v>
      </c>
      <c r="C15" s="6">
        <v>0.22764509999999999</v>
      </c>
      <c r="D15" s="5">
        <v>0.37270970000000009</v>
      </c>
      <c r="E15" s="5">
        <v>6.2044600000000012E-2</v>
      </c>
      <c r="F15" s="5">
        <v>-3.4921436556697362E-2</v>
      </c>
      <c r="G15" s="5">
        <v>3.4403920967036511E-2</v>
      </c>
      <c r="H15" s="5">
        <v>0.1188444</v>
      </c>
      <c r="I15" s="5">
        <v>5.843144427986554E-2</v>
      </c>
      <c r="J15" s="5">
        <v>4.9961465247389647E-2</v>
      </c>
      <c r="K15" s="5">
        <v>9.4514797591930877E-2</v>
      </c>
      <c r="L15" s="5">
        <v>-1.296690000000001E-2</v>
      </c>
      <c r="M15" s="5">
        <v>-2.1330164362876949E-3</v>
      </c>
      <c r="N15" s="5">
        <v>0.33030959999999998</v>
      </c>
      <c r="O15" s="5">
        <v>-1.227079575915271E-2</v>
      </c>
      <c r="P15" s="5">
        <v>6.4116183021661763E-2</v>
      </c>
      <c r="Q15" s="5">
        <v>0.15553684210781249</v>
      </c>
      <c r="R15" s="5">
        <v>-5.2129690105117463E-2</v>
      </c>
      <c r="S15" s="5">
        <v>0.27000789508215378</v>
      </c>
      <c r="T15" s="5">
        <v>4.589107711718423E-2</v>
      </c>
      <c r="U15" s="5">
        <v>0.1369680616672688</v>
      </c>
      <c r="V15" s="5">
        <v>-1.713185334811276E-2</v>
      </c>
      <c r="W15" s="5">
        <v>0.1069346</v>
      </c>
      <c r="X15" s="5">
        <v>0.2111863273303817</v>
      </c>
      <c r="Y15" s="5">
        <v>-2.0629974365819839E-2</v>
      </c>
      <c r="Z15" s="5">
        <v>4.6719972053358677E-2</v>
      </c>
      <c r="AA15" s="5">
        <v>0.16085038421306441</v>
      </c>
      <c r="AB15" s="5">
        <v>8.370017251583052E-2</v>
      </c>
      <c r="AC15" s="5">
        <v>4.3176688480551298E-3</v>
      </c>
      <c r="AD15" s="5">
        <v>3.9690400000000001E-2</v>
      </c>
      <c r="AE15" s="5">
        <v>0.21179264304727199</v>
      </c>
      <c r="AF15" s="5">
        <v>0.13772628717765439</v>
      </c>
      <c r="AG15" s="5">
        <v>1.012347826165556E-2</v>
      </c>
      <c r="AH15" s="5">
        <v>-3.3604373357676472E-2</v>
      </c>
      <c r="AI15" s="5">
        <v>7.4277400000000007E-2</v>
      </c>
      <c r="AJ15" s="5">
        <v>9.4648599674757375E-3</v>
      </c>
      <c r="AK15" s="5">
        <v>6.1759619658444932E-2</v>
      </c>
      <c r="AL15" s="5">
        <v>-6.8827999999999997E-3</v>
      </c>
      <c r="AM15" s="5">
        <v>5.5122622134627111E-2</v>
      </c>
      <c r="AN15" s="5">
        <v>0.10168870591238351</v>
      </c>
      <c r="AO15" s="5">
        <v>-5.1384520239967417E-2</v>
      </c>
      <c r="AP15" s="5">
        <v>7.8285693892754235E-2</v>
      </c>
      <c r="AQ15" s="5">
        <v>1.9747299999999999E-2</v>
      </c>
      <c r="AR15" s="5">
        <v>-2.4550300000000001E-2</v>
      </c>
      <c r="AS15" s="5">
        <v>-4.8733221354101797E-2</v>
      </c>
      <c r="AT15" s="5">
        <v>7.098981260370496E-2</v>
      </c>
      <c r="AU15" s="5">
        <v>0.16710900000000001</v>
      </c>
      <c r="AV15" s="5">
        <v>3.7297928699110451E-2</v>
      </c>
      <c r="AW15" s="5">
        <v>9.1727472793350737E-2</v>
      </c>
      <c r="AX15" s="5">
        <v>8.1360565954768135E-2</v>
      </c>
      <c r="AY15" s="5">
        <v>2.8017064110032911E-2</v>
      </c>
      <c r="AZ15" s="5">
        <v>3.6848099999999988E-2</v>
      </c>
      <c r="BA15" s="5">
        <v>0.1576883</v>
      </c>
      <c r="BB15" s="5">
        <v>0.1977131495043408</v>
      </c>
      <c r="BC15" s="5">
        <v>-3.0936691622350049E-2</v>
      </c>
      <c r="BD15" s="5">
        <v>7.3647000000000018E-3</v>
      </c>
      <c r="BE15" s="5">
        <v>4.1397970696908107E-2</v>
      </c>
      <c r="BF15" s="5">
        <v>0.2108720874899874</v>
      </c>
      <c r="BG15" s="5">
        <v>0.16605121546459681</v>
      </c>
      <c r="BH15" s="5">
        <v>9.8649046406420665E-2</v>
      </c>
      <c r="BI15" s="5">
        <v>6.8586659114969639E-2</v>
      </c>
      <c r="BJ15" s="5">
        <v>7.5155000000000013E-2</v>
      </c>
      <c r="BK15" s="5">
        <v>-7.2869199999999995E-2</v>
      </c>
      <c r="BL15" s="5">
        <v>5.9755420974320878E-2</v>
      </c>
      <c r="BM15" s="5">
        <v>4.8219004487744091E-2</v>
      </c>
      <c r="BN15" s="5">
        <v>-6.60549E-2</v>
      </c>
      <c r="BO15" s="5">
        <v>2.773447595493098E-2</v>
      </c>
      <c r="BP15" s="5">
        <v>-5.161580000000001E-2</v>
      </c>
      <c r="BQ15" s="5">
        <v>1.280293129032776E-2</v>
      </c>
      <c r="BR15" s="5">
        <v>0.1237621364364551</v>
      </c>
      <c r="BS15" s="5">
        <v>1.1865910908611719E-2</v>
      </c>
      <c r="BT15" s="5">
        <v>3.6632600000000008E-2</v>
      </c>
      <c r="BU15" s="5">
        <v>8.5546499999999998E-2</v>
      </c>
      <c r="BV15" s="5">
        <v>0.1046400442936901</v>
      </c>
      <c r="BW15" s="5">
        <v>0.29887898957592779</v>
      </c>
      <c r="BX15" s="5">
        <v>2.3949999999999999E-2</v>
      </c>
      <c r="BY15" s="5">
        <v>-0.12602357357708691</v>
      </c>
      <c r="BZ15" s="5">
        <v>0.1029064689773473</v>
      </c>
      <c r="CA15" s="5">
        <v>1.859202079644226E-2</v>
      </c>
      <c r="CB15" s="5">
        <v>0.1310916</v>
      </c>
      <c r="CC15" s="5">
        <v>0.17364959999999999</v>
      </c>
      <c r="CD15" s="5">
        <v>0.1201520839630844</v>
      </c>
      <c r="CE15" s="5">
        <v>7.3367399999999999E-2</v>
      </c>
      <c r="CF15" s="5">
        <v>9.435665039342013E-2</v>
      </c>
      <c r="CG15" s="5">
        <v>8.5886021530163809E-2</v>
      </c>
      <c r="CH15" s="5">
        <v>6.2885958283701332E-2</v>
      </c>
      <c r="CI15" s="5">
        <v>3.8798414894980787E-2</v>
      </c>
      <c r="CJ15" s="5">
        <v>4.0671716947061162E-2</v>
      </c>
      <c r="CK15" s="5">
        <v>9.5640748172705348E-2</v>
      </c>
      <c r="CL15" s="5">
        <v>3.1421974993248308E-2</v>
      </c>
      <c r="CM15" s="5">
        <v>0.1081179</v>
      </c>
      <c r="CN15" s="5">
        <v>0.14314981697124041</v>
      </c>
      <c r="CO15" s="5">
        <v>0.17335990000000001</v>
      </c>
      <c r="CP15" s="5">
        <v>0.12753583543294969</v>
      </c>
      <c r="CQ15" s="5">
        <v>-2.49633604564388E-2</v>
      </c>
      <c r="CR15" s="5">
        <v>0.18148893223573509</v>
      </c>
      <c r="CS15" s="5">
        <v>6.4830510990456294E-3</v>
      </c>
      <c r="CT15" s="5">
        <v>3.22169E-2</v>
      </c>
      <c r="CU15" s="5">
        <v>0.12404993141386809</v>
      </c>
      <c r="CV15" s="5">
        <v>0.18261154771691629</v>
      </c>
      <c r="CW15" s="5">
        <v>2.6072090903126711E-2</v>
      </c>
      <c r="CX15" s="5">
        <v>2.4039607053330959E-2</v>
      </c>
      <c r="CY15" s="5">
        <v>5.5732899999999988E-2</v>
      </c>
      <c r="CZ15" s="5">
        <v>7.9886947944342257E-2</v>
      </c>
      <c r="DA15" s="5">
        <v>8.8861800000000005E-2</v>
      </c>
      <c r="DB15" s="5">
        <v>9.7047700000000001E-2</v>
      </c>
      <c r="DC15" s="5">
        <v>3.5075149974582137E-2</v>
      </c>
      <c r="DD15" s="5">
        <v>1.450672613144627E-2</v>
      </c>
      <c r="DE15" s="5">
        <v>5.7163634731252508E-2</v>
      </c>
      <c r="DF15" s="5">
        <v>0.30272159999999998</v>
      </c>
      <c r="DG15" s="5">
        <v>4.7917800000000003E-2</v>
      </c>
      <c r="DH15" s="5">
        <v>0.1296235</v>
      </c>
      <c r="DI15" s="5">
        <v>4.2810999999999988E-2</v>
      </c>
      <c r="DJ15" s="5">
        <v>6.0023776691057282E-2</v>
      </c>
      <c r="DK15" s="5">
        <v>0.100329</v>
      </c>
      <c r="DL15" s="5">
        <v>-3.0399320282783332E-4</v>
      </c>
      <c r="DM15" s="5">
        <v>-1.773500000000004E-3</v>
      </c>
      <c r="DN15" s="5">
        <v>4.3996497423619649E-2</v>
      </c>
      <c r="DO15" s="5">
        <v>0.15954560000000001</v>
      </c>
      <c r="DP15" s="5">
        <v>0.1343049473653663</v>
      </c>
      <c r="DQ15" s="5">
        <v>3.7038688952197418E-2</v>
      </c>
      <c r="DR15" s="5">
        <v>7.0010566617938433E-2</v>
      </c>
      <c r="DS15" s="5">
        <v>3.7529899999999991E-2</v>
      </c>
      <c r="DT15" s="5">
        <v>5.271878998906962E-2</v>
      </c>
      <c r="DU15" s="5">
        <v>0.1171285</v>
      </c>
      <c r="DV15" s="5">
        <v>0.13976835694087139</v>
      </c>
      <c r="DW15" s="5">
        <v>-6.08268E-2</v>
      </c>
      <c r="DX15" s="5">
        <v>0.1186162506499864</v>
      </c>
      <c r="DY15" s="5">
        <v>0.1436096</v>
      </c>
      <c r="DZ15" s="5">
        <v>4.0455199999999997E-2</v>
      </c>
      <c r="EA15" s="5">
        <v>4.3451220280325303E-2</v>
      </c>
      <c r="EB15" s="5">
        <v>8.8087449527254891E-2</v>
      </c>
      <c r="EC15" s="5">
        <v>6.6081856047946447E-2</v>
      </c>
      <c r="ED15" s="5">
        <v>0.1133570559353114</v>
      </c>
      <c r="EE15" s="5">
        <v>3.1901999999999998E-3</v>
      </c>
      <c r="EF15" s="5">
        <v>2.96441E-2</v>
      </c>
      <c r="EH15" s="4"/>
    </row>
    <row r="16" spans="1:138">
      <c r="A16" s="7">
        <v>107</v>
      </c>
      <c r="B16" s="7">
        <v>9</v>
      </c>
      <c r="C16" s="6">
        <v>0.20787511111111109</v>
      </c>
      <c r="D16" s="5">
        <v>0.40819544444444439</v>
      </c>
      <c r="E16" s="5">
        <v>6.5004888888888904E-2</v>
      </c>
      <c r="F16" s="5">
        <v>-7.871547190433098E-2</v>
      </c>
      <c r="G16" s="5">
        <v>8.1465506589492725E-3</v>
      </c>
      <c r="H16" s="5">
        <v>7.2848777777777762E-2</v>
      </c>
      <c r="I16" s="5">
        <v>5.7530618665621432E-2</v>
      </c>
      <c r="J16" s="5">
        <v>4.6709926042666168E-2</v>
      </c>
      <c r="K16" s="5">
        <v>8.642089158239058E-2</v>
      </c>
      <c r="L16" s="5">
        <v>-3.1026555555555561E-2</v>
      </c>
      <c r="M16" s="5">
        <v>-1.3987435861917089E-2</v>
      </c>
      <c r="N16" s="5">
        <v>0.36698788888888889</v>
      </c>
      <c r="O16" s="5">
        <v>-2.8587076878979191E-2</v>
      </c>
      <c r="P16" s="5">
        <v>6.1045231791422308E-2</v>
      </c>
      <c r="Q16" s="5">
        <v>0.15790307042433799</v>
      </c>
      <c r="R16" s="5">
        <v>-4.899097828292652E-2</v>
      </c>
      <c r="S16" s="5">
        <v>0.28706302039879478</v>
      </c>
      <c r="T16" s="5">
        <v>3.8406673293611998E-2</v>
      </c>
      <c r="U16" s="5">
        <v>0.1300624714297445</v>
      </c>
      <c r="V16" s="5">
        <v>-6.0221453329656824E-3</v>
      </c>
      <c r="W16" s="5">
        <v>7.8373444444444454E-2</v>
      </c>
      <c r="X16" s="5">
        <v>0.24053196162716611</v>
      </c>
      <c r="Y16" s="5">
        <v>-2.0180588419635579E-2</v>
      </c>
      <c r="Z16" s="5">
        <v>4.3057930884211712E-2</v>
      </c>
      <c r="AA16" s="5">
        <v>0.16615889129731709</v>
      </c>
      <c r="AB16" s="5">
        <v>7.4985041637980393E-2</v>
      </c>
      <c r="AC16" s="5">
        <v>-1.27654480354167E-2</v>
      </c>
      <c r="AD16" s="5">
        <v>3.4810999999999988E-2</v>
      </c>
      <c r="AE16" s="5">
        <v>0.20962824117691051</v>
      </c>
      <c r="AF16" s="5">
        <v>0.14791561026442651</v>
      </c>
      <c r="AG16" s="5">
        <v>1.32907530365354E-2</v>
      </c>
      <c r="AH16" s="5">
        <v>-3.1765400449440553E-2</v>
      </c>
      <c r="AI16" s="5">
        <v>9.052311111111111E-2</v>
      </c>
      <c r="AJ16" s="5">
        <v>-7.0259660718760518E-3</v>
      </c>
      <c r="AK16" s="5">
        <v>6.4421400832372078E-2</v>
      </c>
      <c r="AL16" s="5">
        <v>-1.4473666666666669E-2</v>
      </c>
      <c r="AM16" s="5">
        <v>6.6076730601797973E-2</v>
      </c>
      <c r="AN16" s="5">
        <v>0.1064562000896756</v>
      </c>
      <c r="AO16" s="5">
        <v>-4.1090153361741252E-2</v>
      </c>
      <c r="AP16" s="5">
        <v>7.779836814558852E-2</v>
      </c>
      <c r="AQ16" s="5">
        <v>2.403255555555555E-2</v>
      </c>
      <c r="AR16" s="5">
        <v>-3.2492222222222207E-2</v>
      </c>
      <c r="AS16" s="5">
        <v>-5.2642718238233757E-2</v>
      </c>
      <c r="AT16" s="5">
        <v>0.1225640433502848</v>
      </c>
      <c r="AU16" s="5">
        <v>0.17023655555555561</v>
      </c>
      <c r="AV16" s="5">
        <v>5.2080835436737513E-2</v>
      </c>
      <c r="AW16" s="5">
        <v>0.10898493864152869</v>
      </c>
      <c r="AX16" s="5">
        <v>0.1006213291014028</v>
      </c>
      <c r="AY16" s="5">
        <v>3.3812589844345937E-2</v>
      </c>
      <c r="AZ16" s="5">
        <v>4.6827888888888877E-2</v>
      </c>
      <c r="BA16" s="5">
        <v>0.15999111111111111</v>
      </c>
      <c r="BB16" s="5">
        <v>0.22547356307573951</v>
      </c>
      <c r="BC16" s="5">
        <v>-3.8999391922231702E-2</v>
      </c>
      <c r="BD16" s="5">
        <v>6.2841111111111118E-3</v>
      </c>
      <c r="BE16" s="5">
        <v>6.1197643926459287E-2</v>
      </c>
      <c r="BF16" s="5">
        <v>0.24778685910046011</v>
      </c>
      <c r="BG16" s="5">
        <v>0.16122956958435061</v>
      </c>
      <c r="BH16" s="5">
        <v>9.6162034507733696E-2</v>
      </c>
      <c r="BI16" s="5">
        <v>4.1443807763261883E-2</v>
      </c>
      <c r="BJ16" s="5">
        <v>8.1428888888888912E-2</v>
      </c>
      <c r="BK16" s="5">
        <v>-0.1047732222222222</v>
      </c>
      <c r="BL16" s="5">
        <v>6.1173599484470167E-2</v>
      </c>
      <c r="BM16" s="5">
        <v>3.9497985491106162E-2</v>
      </c>
      <c r="BN16" s="5">
        <v>-6.7199333333333333E-2</v>
      </c>
      <c r="BO16" s="5">
        <v>2.1890359953657689E-2</v>
      </c>
      <c r="BP16" s="5">
        <v>-5.7748888888888898E-2</v>
      </c>
      <c r="BQ16" s="5">
        <v>1.6478016254928601E-2</v>
      </c>
      <c r="BR16" s="5">
        <v>0.13058296822502161</v>
      </c>
      <c r="BS16" s="5">
        <v>3.2006987192883168E-2</v>
      </c>
      <c r="BT16" s="5">
        <v>3.8065333333333347E-2</v>
      </c>
      <c r="BU16" s="5">
        <v>0.1015372222222222</v>
      </c>
      <c r="BV16" s="5">
        <v>3.658563792374666E-2</v>
      </c>
      <c r="BW16" s="5">
        <v>0.31797083453836722</v>
      </c>
      <c r="BX16" s="5">
        <v>2.4078888888888889E-2</v>
      </c>
      <c r="BY16" s="5">
        <v>-0.13255840925737919</v>
      </c>
      <c r="BZ16" s="5">
        <v>0.11152584850164921</v>
      </c>
      <c r="CA16" s="5">
        <v>2.971438975556321E-2</v>
      </c>
      <c r="CB16" s="5">
        <v>0.13930899999999999</v>
      </c>
      <c r="CC16" s="5">
        <v>4.4386333333333347E-2</v>
      </c>
      <c r="CD16" s="5">
        <v>0.15507127162636181</v>
      </c>
      <c r="CE16" s="5">
        <v>9.3613777777777768E-2</v>
      </c>
      <c r="CF16" s="5">
        <v>0.10520126400975099</v>
      </c>
      <c r="CG16" s="5">
        <v>6.1727878146666561E-2</v>
      </c>
      <c r="CH16" s="5">
        <v>4.1697414703027062E-2</v>
      </c>
      <c r="CI16" s="5">
        <v>3.8709881828517527E-2</v>
      </c>
      <c r="CJ16" s="5">
        <v>2.970338549376331E-2</v>
      </c>
      <c r="CK16" s="5">
        <v>8.8422689781607638E-2</v>
      </c>
      <c r="CL16" s="5">
        <v>1.5878682334709331E-2</v>
      </c>
      <c r="CM16" s="5">
        <v>0.1130543333333333</v>
      </c>
      <c r="CN16" s="5">
        <v>0.16035991631652741</v>
      </c>
      <c r="CO16" s="5">
        <v>0.20954700000000001</v>
      </c>
      <c r="CP16" s="5">
        <v>0.13663168948209131</v>
      </c>
      <c r="CQ16" s="5">
        <v>-2.0333779820360921E-2</v>
      </c>
      <c r="CR16" s="5">
        <v>0.1892865334673984</v>
      </c>
      <c r="CS16" s="5">
        <v>4.0852187594743329E-2</v>
      </c>
      <c r="CT16" s="5">
        <v>4.8903888888888879E-2</v>
      </c>
      <c r="CU16" s="5">
        <v>0.1354717008642061</v>
      </c>
      <c r="CV16" s="5">
        <v>0.17225152263848631</v>
      </c>
      <c r="CW16" s="5">
        <v>4.7341659174279828E-2</v>
      </c>
      <c r="CX16" s="5">
        <v>1.224028475424996E-2</v>
      </c>
      <c r="CY16" s="5">
        <v>5.8554555555555547E-2</v>
      </c>
      <c r="CZ16" s="5">
        <v>0.1026332591781325</v>
      </c>
      <c r="DA16" s="5">
        <v>0.11818055555555559</v>
      </c>
      <c r="DB16" s="5">
        <v>9.8016666666666655E-2</v>
      </c>
      <c r="DC16" s="5">
        <v>4.2942362320500277E-2</v>
      </c>
      <c r="DD16" s="5">
        <v>3.1743710487280023E-2</v>
      </c>
      <c r="DE16" s="5">
        <v>3.4552400358790022E-2</v>
      </c>
      <c r="DF16" s="5">
        <v>0.32558088888888892</v>
      </c>
      <c r="DG16" s="5">
        <v>4.5677000000000002E-2</v>
      </c>
      <c r="DH16" s="5">
        <v>0.13714944444444449</v>
      </c>
      <c r="DI16" s="5">
        <v>4.7828777777777769E-2</v>
      </c>
      <c r="DJ16" s="5">
        <v>7.0955052436885546E-2</v>
      </c>
      <c r="DK16" s="5">
        <v>9.6254333333333331E-2</v>
      </c>
      <c r="DL16" s="5">
        <v>-2.187287424977424E-2</v>
      </c>
      <c r="DM16" s="5">
        <v>-3.8135333333333327E-2</v>
      </c>
      <c r="DN16" s="5">
        <v>4.2437853359407113E-2</v>
      </c>
      <c r="DO16" s="5">
        <v>0.1695906666666667</v>
      </c>
      <c r="DP16" s="5">
        <v>0.16033399447581251</v>
      </c>
      <c r="DQ16" s="5">
        <v>4.7070156004531787E-2</v>
      </c>
      <c r="DR16" s="5">
        <v>5.5191251649515209E-2</v>
      </c>
      <c r="DS16" s="5">
        <v>2.143988888888888E-2</v>
      </c>
      <c r="DT16" s="5">
        <v>5.9112975078185963E-2</v>
      </c>
      <c r="DU16" s="5">
        <v>0.12277299999999999</v>
      </c>
      <c r="DV16" s="5">
        <v>0.13695373201779351</v>
      </c>
      <c r="DW16" s="5">
        <v>-7.1303111111111109E-2</v>
      </c>
      <c r="DX16" s="5">
        <v>0.1252847063239774</v>
      </c>
      <c r="DY16" s="5">
        <v>0.15757177777777781</v>
      </c>
      <c r="DZ16" s="5">
        <v>5.8810444444444457E-2</v>
      </c>
      <c r="EA16" s="5">
        <v>4.205152402439738E-4</v>
      </c>
      <c r="EB16" s="5">
        <v>0.1006791006772017</v>
      </c>
      <c r="EC16" s="5">
        <v>6.3532066634569728E-2</v>
      </c>
      <c r="ED16" s="5">
        <v>0.1154167474989211</v>
      </c>
      <c r="EE16" s="5">
        <v>4.3961111111111119E-3</v>
      </c>
      <c r="EF16" s="5">
        <v>3.4548444444444437E-2</v>
      </c>
      <c r="EH16" s="4"/>
    </row>
    <row r="17" spans="1:138">
      <c r="A17" s="7">
        <v>120</v>
      </c>
      <c r="B17" s="7">
        <v>8</v>
      </c>
      <c r="C17" s="6">
        <v>0.20609237499999999</v>
      </c>
      <c r="D17" s="5">
        <v>0.43958837499999998</v>
      </c>
      <c r="E17" s="5">
        <v>7.958800000000002E-2</v>
      </c>
      <c r="F17" s="5">
        <v>-8.0752164152319103E-2</v>
      </c>
      <c r="G17" s="5">
        <v>0.10538707466373071</v>
      </c>
      <c r="H17" s="5">
        <v>0.10499475</v>
      </c>
      <c r="I17" s="5">
        <v>0.1137250278021875</v>
      </c>
      <c r="J17" s="5">
        <v>4.1858395118229183E-2</v>
      </c>
      <c r="K17" s="5">
        <v>0.1015600797223099</v>
      </c>
      <c r="L17" s="5">
        <v>-3.3774875000000003E-2</v>
      </c>
      <c r="M17" s="5">
        <v>1.4659142090288421E-2</v>
      </c>
      <c r="N17" s="5">
        <v>0.40510825</v>
      </c>
      <c r="O17" s="5">
        <v>-1.1306676064132231E-2</v>
      </c>
      <c r="P17" s="5">
        <v>6.6339369138831011E-2</v>
      </c>
      <c r="Q17" s="5">
        <v>0.16180129461512691</v>
      </c>
      <c r="R17" s="5">
        <v>-5.2057608904527208E-2</v>
      </c>
      <c r="S17" s="5">
        <v>0.31065343265529821</v>
      </c>
      <c r="T17" s="5">
        <v>2.3342585510940761E-2</v>
      </c>
      <c r="U17" s="5">
        <v>0.14127114253855691</v>
      </c>
      <c r="V17" s="5">
        <v>4.0111898296984957E-3</v>
      </c>
      <c r="W17" s="5">
        <v>7.9142125000000008E-2</v>
      </c>
      <c r="X17" s="5">
        <v>0.2379894313203148</v>
      </c>
      <c r="Y17" s="5">
        <v>-2.2928011062654879E-2</v>
      </c>
      <c r="Z17" s="5">
        <v>5.3868489290865788E-2</v>
      </c>
      <c r="AA17" s="5">
        <v>0.19128343691540939</v>
      </c>
      <c r="AB17" s="5">
        <v>8.4852062878172319E-2</v>
      </c>
      <c r="AC17" s="5">
        <v>-2.008625473802152E-2</v>
      </c>
      <c r="AD17" s="5">
        <v>6.8619874999999997E-2</v>
      </c>
      <c r="AE17" s="5">
        <v>0.22212270442845089</v>
      </c>
      <c r="AF17" s="5">
        <v>0.1202863246558465</v>
      </c>
      <c r="AG17" s="5">
        <v>2.2740980787790199E-2</v>
      </c>
      <c r="AH17" s="5">
        <v>-3.5472619172888853E-2</v>
      </c>
      <c r="AI17" s="5">
        <v>0.114865125</v>
      </c>
      <c r="AJ17" s="5">
        <v>-4.2602630518956887E-2</v>
      </c>
      <c r="AK17" s="5">
        <v>7.3716274739036441E-2</v>
      </c>
      <c r="AL17" s="5">
        <v>-9.9848750000000007E-3</v>
      </c>
      <c r="AM17" s="5">
        <v>7.5369367587656971E-2</v>
      </c>
      <c r="AN17" s="5">
        <v>0.1132871203459177</v>
      </c>
      <c r="AO17" s="5">
        <v>-7.6694527622622979E-2</v>
      </c>
      <c r="AP17" s="5">
        <v>7.7242814419585484E-2</v>
      </c>
      <c r="AQ17" s="5">
        <v>9.2303749999999955E-3</v>
      </c>
      <c r="AR17" s="5">
        <v>-3.4996625000000003E-2</v>
      </c>
      <c r="AS17" s="5">
        <v>-5.8802956944234333E-2</v>
      </c>
      <c r="AT17" s="5">
        <v>0.1270717931072517</v>
      </c>
      <c r="AU17" s="5">
        <v>0.177562625</v>
      </c>
      <c r="AV17" s="5">
        <v>5.8529449334631382E-2</v>
      </c>
      <c r="AW17" s="5">
        <v>7.6189610229816601E-2</v>
      </c>
      <c r="AX17" s="5">
        <v>9.7619105117607935E-2</v>
      </c>
      <c r="AY17" s="5">
        <v>2.742369669060089E-2</v>
      </c>
      <c r="AZ17" s="5">
        <v>4.7981374999999993E-2</v>
      </c>
      <c r="BA17" s="5">
        <v>0.16280649999999999</v>
      </c>
      <c r="BB17" s="5">
        <v>0.2304420449478701</v>
      </c>
      <c r="BC17" s="5">
        <v>-2.729282438048998E-2</v>
      </c>
      <c r="BD17" s="5">
        <v>1.9414125000000001E-2</v>
      </c>
      <c r="BE17" s="5">
        <v>4.4110253344838493E-2</v>
      </c>
      <c r="BF17" s="5">
        <v>0.14777683028015831</v>
      </c>
      <c r="BG17" s="5">
        <v>0.18575157813088089</v>
      </c>
      <c r="BH17" s="5">
        <v>0.1331911133253291</v>
      </c>
      <c r="BI17" s="5">
        <v>8.7111945439947241E-2</v>
      </c>
      <c r="BJ17" s="5">
        <v>8.9192500000000008E-2</v>
      </c>
      <c r="BK17" s="5">
        <v>-0.114816125</v>
      </c>
      <c r="BL17" s="5">
        <v>3.4152447324294427E-2</v>
      </c>
      <c r="BM17" s="5">
        <v>2.905901115235426E-2</v>
      </c>
      <c r="BN17" s="5">
        <v>-7.3658000000000001E-2</v>
      </c>
      <c r="BO17" s="5">
        <v>3.5179615416723611E-2</v>
      </c>
      <c r="BP17" s="5">
        <v>-6.0636875000000007E-2</v>
      </c>
      <c r="BQ17" s="5">
        <v>1.1376510446451601E-2</v>
      </c>
      <c r="BR17" s="5">
        <v>0.1150223530257518</v>
      </c>
      <c r="BS17" s="5">
        <v>2.0906018213695501E-2</v>
      </c>
      <c r="BT17" s="5">
        <v>3.3647249999999997E-2</v>
      </c>
      <c r="BU17" s="5">
        <v>0.104524375</v>
      </c>
      <c r="BV17" s="5">
        <v>3.8240956502194168E-2</v>
      </c>
      <c r="BW17" s="5">
        <v>0.2083368255173885</v>
      </c>
      <c r="BX17" s="5">
        <v>7.0964999999999986E-3</v>
      </c>
      <c r="BY17" s="5">
        <v>-0.14247737512646691</v>
      </c>
      <c r="BZ17" s="5">
        <v>0.12057815588108529</v>
      </c>
      <c r="CA17" s="5">
        <v>2.7934832358489561E-2</v>
      </c>
      <c r="CB17" s="5">
        <v>0.14963337500000001</v>
      </c>
      <c r="CC17" s="5">
        <v>4.1758499999999997E-2</v>
      </c>
      <c r="CD17" s="5">
        <v>0.17295974121914859</v>
      </c>
      <c r="CE17" s="5">
        <v>9.5707624999999991E-2</v>
      </c>
      <c r="CF17" s="5">
        <v>9.8746197426198501E-2</v>
      </c>
      <c r="CG17" s="5">
        <v>7.4714988628731105E-2</v>
      </c>
      <c r="CH17" s="5">
        <v>5.8636446607050002E-2</v>
      </c>
      <c r="CI17" s="5">
        <v>1.4531184989588509E-2</v>
      </c>
      <c r="CJ17" s="5">
        <v>2.0950827481348411E-2</v>
      </c>
      <c r="CK17" s="5">
        <v>8.3955848259630761E-2</v>
      </c>
      <c r="CL17" s="5">
        <v>-9.426344769031314E-3</v>
      </c>
      <c r="CM17" s="5">
        <v>9.5492624999999998E-2</v>
      </c>
      <c r="CN17" s="5">
        <v>0.1765312785813869</v>
      </c>
      <c r="CO17" s="5">
        <v>0.198080375</v>
      </c>
      <c r="CP17" s="5">
        <v>0.1481592691973436</v>
      </c>
      <c r="CQ17" s="5">
        <v>5.1907103341726511E-2</v>
      </c>
      <c r="CR17" s="5">
        <v>0.19640263176228931</v>
      </c>
      <c r="CS17" s="5">
        <v>3.1345818395718227E-2</v>
      </c>
      <c r="CT17" s="5">
        <v>5.8654249999999991E-2</v>
      </c>
      <c r="CU17" s="5">
        <v>0.15535189279975939</v>
      </c>
      <c r="CV17" s="5">
        <v>0.15147138486135439</v>
      </c>
      <c r="CW17" s="5">
        <v>6.3393218804487977E-2</v>
      </c>
      <c r="CX17" s="5">
        <v>1.0772394523947831E-2</v>
      </c>
      <c r="CY17" s="5">
        <v>5.9498124999999999E-2</v>
      </c>
      <c r="CZ17" s="5">
        <v>0.1242488378476205</v>
      </c>
      <c r="DA17" s="5">
        <v>9.4495625E-2</v>
      </c>
      <c r="DB17" s="5">
        <v>0.104271</v>
      </c>
      <c r="DC17" s="5">
        <v>4.3363468977499313E-2</v>
      </c>
      <c r="DD17" s="5">
        <v>2.9155420882880739E-2</v>
      </c>
      <c r="DE17" s="5">
        <v>2.4124863346722019E-2</v>
      </c>
      <c r="DF17" s="5">
        <v>0.35222737500000001</v>
      </c>
      <c r="DG17" s="5">
        <v>4.7211125000000007E-2</v>
      </c>
      <c r="DH17" s="5">
        <v>0.16343337499999999</v>
      </c>
      <c r="DI17" s="5">
        <v>7.0181249999999987E-2</v>
      </c>
      <c r="DJ17" s="5">
        <v>0.12892505978600949</v>
      </c>
      <c r="DK17" s="5">
        <v>0.10277987500000001</v>
      </c>
      <c r="DL17" s="5">
        <v>-3.929731691128693E-3</v>
      </c>
      <c r="DM17" s="5">
        <v>-4.2563499999999997E-2</v>
      </c>
      <c r="DN17" s="5">
        <v>3.5489032714339008E-2</v>
      </c>
      <c r="DO17" s="5">
        <v>0.17976200000000001</v>
      </c>
      <c r="DP17" s="5">
        <v>0.14203415825063481</v>
      </c>
      <c r="DQ17" s="5">
        <v>7.2654005106024863E-2</v>
      </c>
      <c r="DR17" s="5">
        <v>5.5884814876328279E-2</v>
      </c>
      <c r="DS17" s="5">
        <v>3.7353625000000001E-2</v>
      </c>
      <c r="DT17" s="5">
        <v>5.9811935234976271E-2</v>
      </c>
      <c r="DU17" s="5">
        <v>0.129494</v>
      </c>
      <c r="DV17" s="5">
        <v>0.11776539811095429</v>
      </c>
      <c r="DW17" s="5">
        <v>-7.6599750000000008E-2</v>
      </c>
      <c r="DX17" s="5">
        <v>0.12953898259647401</v>
      </c>
      <c r="DY17" s="5">
        <v>0.10728225</v>
      </c>
      <c r="DZ17" s="5">
        <v>4.9212000000000013E-2</v>
      </c>
      <c r="EA17" s="5">
        <v>-4.6325242167246112E-3</v>
      </c>
      <c r="EB17" s="5">
        <v>0.1072853267537575</v>
      </c>
      <c r="EC17" s="5">
        <v>1.6425217216060651E-2</v>
      </c>
      <c r="ED17" s="5">
        <v>0.12832444392891271</v>
      </c>
      <c r="EE17" s="5">
        <v>-1.9437499999999921E-4</v>
      </c>
      <c r="EF17" s="5">
        <v>4.0984749999999993E-2</v>
      </c>
      <c r="EH17" s="4"/>
    </row>
    <row r="18" spans="1:138">
      <c r="A18" s="7">
        <v>137</v>
      </c>
      <c r="B18" s="7">
        <v>7</v>
      </c>
      <c r="C18" s="6">
        <v>0.1897511428571429</v>
      </c>
      <c r="D18" s="5">
        <v>0.40188400000000007</v>
      </c>
      <c r="E18" s="5">
        <v>5.3437857142857162E-2</v>
      </c>
      <c r="F18" s="5">
        <v>-0.11938296010218979</v>
      </c>
      <c r="G18" s="5">
        <v>0.10831637328507999</v>
      </c>
      <c r="H18" s="5">
        <v>0.12853999999999999</v>
      </c>
      <c r="I18" s="5">
        <v>0.13550018022324109</v>
      </c>
      <c r="J18" s="5">
        <v>4.3411515751641608E-2</v>
      </c>
      <c r="K18" s="5">
        <v>0.13564788877763229</v>
      </c>
      <c r="L18" s="5">
        <v>-4.667157142857143E-2</v>
      </c>
      <c r="M18" s="5">
        <v>2.9051464376457319E-2</v>
      </c>
      <c r="N18" s="5">
        <v>0.46182042857142858</v>
      </c>
      <c r="O18" s="5">
        <v>3.1737941097498189E-2</v>
      </c>
      <c r="P18" s="5">
        <v>8.2552611569947768E-2</v>
      </c>
      <c r="Q18" s="5">
        <v>0.18897541868948989</v>
      </c>
      <c r="R18" s="5">
        <v>-6.149223787197499E-2</v>
      </c>
      <c r="S18" s="5">
        <v>0.3837326289318943</v>
      </c>
      <c r="T18" s="5">
        <v>5.2309697550730873E-2</v>
      </c>
      <c r="U18" s="5">
        <v>0.132495024429819</v>
      </c>
      <c r="V18" s="5">
        <v>1.2895135069850801E-2</v>
      </c>
      <c r="W18" s="5">
        <v>7.7297000000000005E-2</v>
      </c>
      <c r="X18" s="5">
        <v>0.21512105739995169</v>
      </c>
      <c r="Y18" s="5">
        <v>-1.923233435743554E-2</v>
      </c>
      <c r="Z18" s="5">
        <v>8.9234363440522865E-2</v>
      </c>
      <c r="AA18" s="5">
        <v>0.17257065753452869</v>
      </c>
      <c r="AB18" s="5">
        <v>8.4698299730484178E-2</v>
      </c>
      <c r="AC18" s="5">
        <v>1.3654204768322529E-3</v>
      </c>
      <c r="AD18" s="5">
        <v>9.6285857142857145E-2</v>
      </c>
      <c r="AE18" s="5">
        <v>0.25839134891520849</v>
      </c>
      <c r="AF18" s="5">
        <v>0.1505436398240734</v>
      </c>
      <c r="AG18" s="5">
        <v>3.2493116097876071E-2</v>
      </c>
      <c r="AH18" s="5">
        <v>-4.0197460968514703E-2</v>
      </c>
      <c r="AI18" s="5">
        <v>0.11808642857142861</v>
      </c>
      <c r="AJ18" s="5">
        <v>-4.7393756166449127E-2</v>
      </c>
      <c r="AK18" s="5">
        <v>3.0152480597625989E-2</v>
      </c>
      <c r="AL18" s="5">
        <v>-8.5714285714285797E-4</v>
      </c>
      <c r="AM18" s="5">
        <v>6.6643405424771207E-2</v>
      </c>
      <c r="AN18" s="5">
        <v>7.9294639955201793E-2</v>
      </c>
      <c r="AO18" s="5">
        <v>2.4584280444806969E-2</v>
      </c>
      <c r="AP18" s="5">
        <v>7.8278591933806971E-2</v>
      </c>
      <c r="AQ18" s="5">
        <v>-1.6788142857142859E-2</v>
      </c>
      <c r="AR18" s="5">
        <v>-6.169442857142856E-2</v>
      </c>
      <c r="AS18" s="5">
        <v>-8.3253127889185943E-2</v>
      </c>
      <c r="AT18" s="5">
        <v>0.16638580942405889</v>
      </c>
      <c r="AU18" s="5">
        <v>0.19666014285714281</v>
      </c>
      <c r="AV18" s="5">
        <v>6.0235664706469842E-2</v>
      </c>
      <c r="AW18" s="5">
        <v>9.7766861821235188E-2</v>
      </c>
      <c r="AX18" s="5">
        <v>0.12606433742612741</v>
      </c>
      <c r="AY18" s="5">
        <v>3.4783278641148073E-2</v>
      </c>
      <c r="AZ18" s="5">
        <v>6.6341999999999998E-2</v>
      </c>
      <c r="BA18" s="5">
        <v>0.18047985714285711</v>
      </c>
      <c r="BB18" s="5">
        <v>0.31745742566411261</v>
      </c>
      <c r="BC18" s="5">
        <v>2.7942050701969749E-2</v>
      </c>
      <c r="BD18" s="5">
        <v>2.0277714285714281E-2</v>
      </c>
      <c r="BE18" s="5">
        <v>9.117285285592254E-2</v>
      </c>
      <c r="BF18" s="5">
        <v>0.1649864946960074</v>
      </c>
      <c r="BG18" s="5">
        <v>0.1467139748282886</v>
      </c>
      <c r="BH18" s="5">
        <v>0.1378982651501425</v>
      </c>
      <c r="BI18" s="5">
        <v>0.1090000069186657</v>
      </c>
      <c r="BJ18" s="5">
        <v>9.9532714285714308E-2</v>
      </c>
      <c r="BK18" s="5">
        <v>-7.3456142857142859E-2</v>
      </c>
      <c r="BL18" s="5">
        <v>5.5787880861779937E-2</v>
      </c>
      <c r="BM18" s="5">
        <v>2.8081356373095352E-2</v>
      </c>
      <c r="BN18" s="5">
        <v>-7.8210142857142853E-2</v>
      </c>
      <c r="BO18" s="5">
        <v>2.0227496106374639E-2</v>
      </c>
      <c r="BP18" s="5">
        <v>-6.2461999999999997E-2</v>
      </c>
      <c r="BQ18" s="5">
        <v>1.916784109848992E-3</v>
      </c>
      <c r="BR18" s="5">
        <v>0.1209618178824758</v>
      </c>
      <c r="BS18" s="5">
        <v>3.2873256576031823E-2</v>
      </c>
      <c r="BT18" s="5">
        <v>1.329885714285715E-2</v>
      </c>
      <c r="BU18" s="5">
        <v>0.1114621428571428</v>
      </c>
      <c r="BV18" s="5">
        <v>3.96244261241478E-2</v>
      </c>
      <c r="BW18" s="5">
        <v>0.21837549913098869</v>
      </c>
      <c r="BX18" s="5">
        <v>-1.5810714285714289E-2</v>
      </c>
      <c r="BY18" s="5">
        <v>-8.7465268272101659E-2</v>
      </c>
      <c r="BZ18" s="5">
        <v>0.15331998780259809</v>
      </c>
      <c r="CA18" s="5">
        <v>1.6076543892860819E-2</v>
      </c>
      <c r="CB18" s="5">
        <v>0.1068462857142857</v>
      </c>
      <c r="CC18" s="5">
        <v>0.1046597142857143</v>
      </c>
      <c r="CD18" s="5">
        <v>0.19371681864683071</v>
      </c>
      <c r="CE18" s="5">
        <v>7.7259857142857144E-2</v>
      </c>
      <c r="CF18" s="5">
        <v>7.1817591700374064E-2</v>
      </c>
      <c r="CG18" s="5">
        <v>9.1609255563919342E-2</v>
      </c>
      <c r="CH18" s="5">
        <v>0.16265704668723319</v>
      </c>
      <c r="CI18" s="5">
        <v>3.8869139877689488E-2</v>
      </c>
      <c r="CJ18" s="5">
        <v>-3.772366500397611E-3</v>
      </c>
      <c r="CK18" s="5">
        <v>9.6058031665523097E-2</v>
      </c>
      <c r="CL18" s="5">
        <v>-3.0989545058193121E-2</v>
      </c>
      <c r="CM18" s="5">
        <v>0.1027687142857143</v>
      </c>
      <c r="CN18" s="5">
        <v>0.1209431335415747</v>
      </c>
      <c r="CO18" s="5">
        <v>0.22828200000000001</v>
      </c>
      <c r="CP18" s="5">
        <v>0.16283910894801071</v>
      </c>
      <c r="CQ18" s="5">
        <v>3.8242675594942703E-2</v>
      </c>
      <c r="CR18" s="5">
        <v>0.19372240765220919</v>
      </c>
      <c r="CS18" s="5">
        <v>5.7690648651415453E-2</v>
      </c>
      <c r="CT18" s="5">
        <v>7.687085714285713E-2</v>
      </c>
      <c r="CU18" s="5">
        <v>0.14456482117613489</v>
      </c>
      <c r="CV18" s="5">
        <v>0.1270222681330069</v>
      </c>
      <c r="CW18" s="5">
        <v>6.6558574498316259E-2</v>
      </c>
      <c r="CX18" s="5">
        <v>6.1560185833778078E-2</v>
      </c>
      <c r="CY18" s="5">
        <v>7.1432142857142861E-2</v>
      </c>
      <c r="CZ18" s="5">
        <v>0.13284286330177139</v>
      </c>
      <c r="DA18" s="5">
        <v>7.8357857142857146E-2</v>
      </c>
      <c r="DB18" s="5">
        <v>0.118114</v>
      </c>
      <c r="DC18" s="5">
        <v>3.6408781495506221E-2</v>
      </c>
      <c r="DD18" s="5">
        <v>4.1014187319333921E-2</v>
      </c>
      <c r="DE18" s="5">
        <v>3.8420587486450893E-2</v>
      </c>
      <c r="DF18" s="5">
        <v>0.36669357142857151</v>
      </c>
      <c r="DG18" s="5">
        <v>5.4770714285714277E-2</v>
      </c>
      <c r="DH18" s="5">
        <v>0.1924025714285714</v>
      </c>
      <c r="DI18" s="5">
        <v>9.7962857142857129E-2</v>
      </c>
      <c r="DJ18" s="5">
        <v>0.14619607609941229</v>
      </c>
      <c r="DK18" s="5">
        <v>0.1065258571428571</v>
      </c>
      <c r="DL18" s="5">
        <v>-3.830274067592157E-3</v>
      </c>
      <c r="DM18" s="5">
        <v>-5.8456714285714292E-2</v>
      </c>
      <c r="DN18" s="5">
        <v>-1.6722064078021251E-2</v>
      </c>
      <c r="DO18" s="5">
        <v>0.22031957142857139</v>
      </c>
      <c r="DP18" s="5">
        <v>0.13348647227708049</v>
      </c>
      <c r="DQ18" s="5">
        <v>6.5749458183898837E-2</v>
      </c>
      <c r="DR18" s="5">
        <v>7.6840654771961045E-2</v>
      </c>
      <c r="DS18" s="5">
        <v>1.1277142857142861E-2</v>
      </c>
      <c r="DT18" s="5">
        <v>2.2601034841107401E-2</v>
      </c>
      <c r="DU18" s="5">
        <v>0.15871542857142859</v>
      </c>
      <c r="DV18" s="5">
        <v>0.1056406088000619</v>
      </c>
      <c r="DW18" s="5">
        <v>-6.8637857142857153E-2</v>
      </c>
      <c r="DX18" s="5">
        <v>0.1536029774624818</v>
      </c>
      <c r="DY18" s="5">
        <v>0.13683228571428571</v>
      </c>
      <c r="DZ18" s="5">
        <v>5.4629714285714302E-2</v>
      </c>
      <c r="EA18" s="5">
        <v>-4.7382972382447363E-3</v>
      </c>
      <c r="EB18" s="5">
        <v>0.1099643544501954</v>
      </c>
      <c r="EC18" s="5">
        <v>2.764115425371385E-3</v>
      </c>
      <c r="ED18" s="5">
        <v>0.11047802186576559</v>
      </c>
      <c r="EE18" s="5">
        <v>1.110285714285716E-3</v>
      </c>
      <c r="EF18" s="5">
        <v>6.3951857142857144E-2</v>
      </c>
      <c r="EH18" s="4"/>
    </row>
    <row r="19" spans="1:138">
      <c r="A19" s="7">
        <v>160</v>
      </c>
      <c r="B19" s="7">
        <v>6</v>
      </c>
      <c r="C19" s="6">
        <v>0.19659983333333331</v>
      </c>
      <c r="D19" s="5">
        <v>0.4075213333333334</v>
      </c>
      <c r="E19" s="5">
        <v>6.5812499999999996E-2</v>
      </c>
      <c r="F19" s="5">
        <v>-0.1776886618055605</v>
      </c>
      <c r="G19" s="5">
        <v>9.6065971857177412E-2</v>
      </c>
      <c r="H19" s="5">
        <v>0.17761016666666671</v>
      </c>
      <c r="I19" s="5">
        <v>0.1346543328914665</v>
      </c>
      <c r="J19" s="5">
        <v>3.5429584520191022E-2</v>
      </c>
      <c r="K19" s="5">
        <v>0.23878941472391671</v>
      </c>
      <c r="L19" s="5">
        <v>-3.0361166666666672E-2</v>
      </c>
      <c r="M19" s="5">
        <v>-4.3690236156307287E-2</v>
      </c>
      <c r="N19" s="5">
        <v>0.53237449999999997</v>
      </c>
      <c r="O19" s="5">
        <v>3.1561874488915911E-2</v>
      </c>
      <c r="P19" s="5">
        <v>9.2534186186697107E-2</v>
      </c>
      <c r="Q19" s="5">
        <v>0.19716308826451989</v>
      </c>
      <c r="R19" s="5">
        <v>-9.0299090630856282E-2</v>
      </c>
      <c r="S19" s="5">
        <v>0.18416011669760801</v>
      </c>
      <c r="T19" s="5">
        <v>5.1464717245309592E-2</v>
      </c>
      <c r="U19" s="5">
        <v>0.13569833863192321</v>
      </c>
      <c r="V19" s="5">
        <v>3.6618687785451319E-2</v>
      </c>
      <c r="W19" s="5">
        <v>7.2415833333333346E-2</v>
      </c>
      <c r="X19" s="5">
        <v>0.14939987335272731</v>
      </c>
      <c r="Y19" s="5">
        <v>-2.5628637528156511E-2</v>
      </c>
      <c r="Z19" s="5">
        <v>9.1619110576023566E-2</v>
      </c>
      <c r="AA19" s="5">
        <v>0.131832899481091</v>
      </c>
      <c r="AB19" s="5">
        <v>0.10225360588394269</v>
      </c>
      <c r="AC19" s="5">
        <v>1.4141542708609799E-2</v>
      </c>
      <c r="AD19" s="5">
        <v>9.5992833333333333E-2</v>
      </c>
      <c r="AE19" s="5">
        <v>0.30849285792536868</v>
      </c>
      <c r="AF19" s="5">
        <v>0.1688305807080431</v>
      </c>
      <c r="AG19" s="5">
        <v>2.2136219072547821E-2</v>
      </c>
      <c r="AH19" s="5">
        <v>-5.6557715221703553E-2</v>
      </c>
      <c r="AI19" s="5">
        <v>9.154933333333333E-2</v>
      </c>
      <c r="AJ19" s="5">
        <v>-5.1545290327262273E-2</v>
      </c>
      <c r="AK19" s="5">
        <v>7.5520425059527104E-3</v>
      </c>
      <c r="AL19" s="5">
        <v>-1.1383333333333349E-3</v>
      </c>
      <c r="AM19" s="5">
        <v>4.3106011811404943E-2</v>
      </c>
      <c r="AN19" s="5">
        <v>8.3568294365682083E-2</v>
      </c>
      <c r="AO19" s="5">
        <v>5.5890126129114689E-2</v>
      </c>
      <c r="AP19" s="5">
        <v>8.757412027285208E-2</v>
      </c>
      <c r="AQ19" s="5">
        <v>-5.4927833333333342E-2</v>
      </c>
      <c r="AR19" s="5">
        <v>-7.4616833333333327E-2</v>
      </c>
      <c r="AS19" s="5">
        <v>-0.1091988760530663</v>
      </c>
      <c r="AT19" s="5">
        <v>0.18459366381005801</v>
      </c>
      <c r="AU19" s="5">
        <v>0.23884516666666669</v>
      </c>
      <c r="AV19" s="5">
        <v>-3.0326096026080519E-3</v>
      </c>
      <c r="AW19" s="5">
        <v>0.13669339712891271</v>
      </c>
      <c r="AX19" s="5">
        <v>0.2241237953008561</v>
      </c>
      <c r="AY19" s="5">
        <v>2.9528970393379841E-2</v>
      </c>
      <c r="AZ19" s="5">
        <v>8.403233333333332E-2</v>
      </c>
      <c r="BA19" s="5">
        <v>0.186997</v>
      </c>
      <c r="BB19" s="5">
        <v>0.36416093179321912</v>
      </c>
      <c r="BC19" s="5">
        <v>0.18457178940642721</v>
      </c>
      <c r="BD19" s="5">
        <v>-7.0833333333334206E-5</v>
      </c>
      <c r="BE19" s="5">
        <v>8.948072176037114E-2</v>
      </c>
      <c r="BF19" s="5">
        <v>0.14180943496374171</v>
      </c>
      <c r="BG19" s="5">
        <v>0.15330875116978829</v>
      </c>
      <c r="BH19" s="5">
        <v>0.14049690595357331</v>
      </c>
      <c r="BI19" s="5">
        <v>0.12779862881921869</v>
      </c>
      <c r="BJ19" s="5">
        <v>5.1820166666666667E-2</v>
      </c>
      <c r="BK19" s="5">
        <v>-9.7038833333333324E-2</v>
      </c>
      <c r="BL19" s="5">
        <v>6.3164533747019302E-2</v>
      </c>
      <c r="BM19" s="5">
        <v>3.1786264869145278E-2</v>
      </c>
      <c r="BN19" s="5">
        <v>-8.1415166666666677E-2</v>
      </c>
      <c r="BO19" s="5">
        <v>2.5728961265115379E-2</v>
      </c>
      <c r="BP19" s="5">
        <v>-1.240866666666667E-2</v>
      </c>
      <c r="BQ19" s="5">
        <v>9.9340444543230683E-3</v>
      </c>
      <c r="BR19" s="5">
        <v>0.1368392355431455</v>
      </c>
      <c r="BS19" s="5">
        <v>-3.4999319396389061E-3</v>
      </c>
      <c r="BT19" s="5">
        <v>-1.3194833333333321E-2</v>
      </c>
      <c r="BU19" s="5">
        <v>0.13067083333333329</v>
      </c>
      <c r="BV19" s="5">
        <v>3.0350791965897218E-2</v>
      </c>
      <c r="BW19" s="5">
        <v>0.30745300680973342</v>
      </c>
      <c r="BX19" s="5">
        <v>-3.6397166666666668E-2</v>
      </c>
      <c r="BY19" s="5">
        <v>-7.9866927068945853E-2</v>
      </c>
      <c r="BZ19" s="5">
        <v>6.8702124822053873E-2</v>
      </c>
      <c r="CA19" s="5">
        <v>2.932875522377449E-2</v>
      </c>
      <c r="CB19" s="5">
        <v>0.12783849999999999</v>
      </c>
      <c r="CC19" s="5">
        <v>2.250566666666666E-2</v>
      </c>
      <c r="CD19" s="5">
        <v>0.21561919809371791</v>
      </c>
      <c r="CE19" s="5">
        <v>8.8474166666666659E-2</v>
      </c>
      <c r="CF19" s="5">
        <v>7.9904397206049291E-2</v>
      </c>
      <c r="CG19" s="5">
        <v>5.7117624866957151E-2</v>
      </c>
      <c r="CH19" s="5">
        <v>0.1528898670499263</v>
      </c>
      <c r="CI19" s="5">
        <v>3.7066946160195187E-2</v>
      </c>
      <c r="CJ19" s="5">
        <v>-1.1811922761994231E-2</v>
      </c>
      <c r="CK19" s="5">
        <v>0.1187972629573345</v>
      </c>
      <c r="CL19" s="5">
        <v>-4.3240279974789908E-2</v>
      </c>
      <c r="CM19" s="5">
        <v>0.1102351666666667</v>
      </c>
      <c r="CN19" s="5">
        <v>0.14319321046953429</v>
      </c>
      <c r="CO19" s="5">
        <v>0.25123566666666669</v>
      </c>
      <c r="CP19" s="5">
        <v>0.15903259898233271</v>
      </c>
      <c r="CQ19" s="5">
        <v>3.2394607516418629E-2</v>
      </c>
      <c r="CR19" s="5">
        <v>0.17630672424619201</v>
      </c>
      <c r="CS19" s="5">
        <v>5.4250449548333517E-2</v>
      </c>
      <c r="CT19" s="5">
        <v>2.642199999999998E-2</v>
      </c>
      <c r="CU19" s="5">
        <v>0.146607543260939</v>
      </c>
      <c r="CV19" s="5">
        <v>9.4553007971378916E-2</v>
      </c>
      <c r="CW19" s="5">
        <v>6.0515878573037342E-2</v>
      </c>
      <c r="CX19" s="5">
        <v>5.7634726368184938E-2</v>
      </c>
      <c r="CY19" s="5">
        <v>7.3150833333333332E-2</v>
      </c>
      <c r="CZ19" s="5">
        <v>0.11285182864146399</v>
      </c>
      <c r="DA19" s="5">
        <v>7.5182499999999999E-2</v>
      </c>
      <c r="DB19" s="5">
        <v>0.14796100000000001</v>
      </c>
      <c r="DC19" s="5">
        <v>-3.5179399902094073E-2</v>
      </c>
      <c r="DD19" s="5">
        <v>6.2011252548289514E-3</v>
      </c>
      <c r="DE19" s="5">
        <v>3.3018414655792E-2</v>
      </c>
      <c r="DF19" s="5">
        <v>0.2055028333333333</v>
      </c>
      <c r="DG19" s="5">
        <v>6.6374499999999989E-2</v>
      </c>
      <c r="DH19" s="5">
        <v>0.22459133333333331</v>
      </c>
      <c r="DI19" s="5">
        <v>0.10846166666666671</v>
      </c>
      <c r="DJ19" s="5">
        <v>0.16525046895907189</v>
      </c>
      <c r="DK19" s="5">
        <v>0.1214406666666667</v>
      </c>
      <c r="DL19" s="5">
        <v>-1.198278590897381E-2</v>
      </c>
      <c r="DM19" s="5">
        <v>-5.7299833333333328E-2</v>
      </c>
      <c r="DN19" s="5">
        <v>2.4751230976385011E-3</v>
      </c>
      <c r="DO19" s="5">
        <v>0.2492611666666667</v>
      </c>
      <c r="DP19" s="5">
        <v>0.17026813067996199</v>
      </c>
      <c r="DQ19" s="5">
        <v>8.0374171838075048E-2</v>
      </c>
      <c r="DR19" s="5">
        <v>7.5962353325048193E-2</v>
      </c>
      <c r="DS19" s="5">
        <v>-5.6783333333333312E-3</v>
      </c>
      <c r="DT19" s="5">
        <v>5.0332465201051654E-3</v>
      </c>
      <c r="DU19" s="5">
        <v>0.15058250000000001</v>
      </c>
      <c r="DV19" s="5">
        <v>0.1115247064406045</v>
      </c>
      <c r="DW19" s="5">
        <v>-0.101297</v>
      </c>
      <c r="DX19" s="5">
        <v>0.1383651342381777</v>
      </c>
      <c r="DY19" s="5">
        <v>0.13924800000000001</v>
      </c>
      <c r="DZ19" s="5">
        <v>7.853750000000001E-2</v>
      </c>
      <c r="EA19" s="5">
        <v>3.2919727195015271E-2</v>
      </c>
      <c r="EB19" s="5">
        <v>0.1087535096382525</v>
      </c>
      <c r="EC19" s="5">
        <v>-1.2190043223702179E-2</v>
      </c>
      <c r="ED19" s="5">
        <v>0.15093531699015689</v>
      </c>
      <c r="EE19" s="5">
        <v>-7.3063333333333296E-3</v>
      </c>
      <c r="EF19" s="5">
        <v>7.4019999999999975E-2</v>
      </c>
      <c r="EH19" s="4"/>
    </row>
    <row r="20" spans="1:138">
      <c r="A20" s="7">
        <v>192</v>
      </c>
      <c r="B20" s="7">
        <v>5</v>
      </c>
      <c r="C20" s="6">
        <v>0.20155100000000001</v>
      </c>
      <c r="D20" s="5">
        <v>0.38202580000000003</v>
      </c>
      <c r="E20" s="5">
        <v>5.7335200000000003E-2</v>
      </c>
      <c r="F20" s="5">
        <v>-0.2055312643331742</v>
      </c>
      <c r="G20" s="5">
        <v>0.1171831412889391</v>
      </c>
      <c r="H20" s="5">
        <v>0.14393220000000001</v>
      </c>
      <c r="I20" s="5">
        <v>0.15814956260110169</v>
      </c>
      <c r="J20" s="5">
        <v>3.4471258726856233E-2</v>
      </c>
      <c r="K20" s="5">
        <v>0.21472450376108179</v>
      </c>
      <c r="L20" s="5">
        <v>-3.0693600000000008E-2</v>
      </c>
      <c r="M20" s="5">
        <v>-7.7718228291273506E-2</v>
      </c>
      <c r="N20" s="5">
        <v>0.5000116</v>
      </c>
      <c r="O20" s="5">
        <v>4.9864886069274132E-2</v>
      </c>
      <c r="P20" s="5">
        <v>9.1169927668525261E-2</v>
      </c>
      <c r="Q20" s="5">
        <v>0.21672573900297851</v>
      </c>
      <c r="R20" s="5">
        <v>-0.1092530556374688</v>
      </c>
      <c r="S20" s="5">
        <v>0.15518261832774261</v>
      </c>
      <c r="T20" s="5">
        <v>8.5465455737815402E-2</v>
      </c>
      <c r="U20" s="5">
        <v>0.14864968011777491</v>
      </c>
      <c r="V20" s="5">
        <v>1.2644103117188939E-2</v>
      </c>
      <c r="W20" s="5">
        <v>9.1084999999999999E-2</v>
      </c>
      <c r="X20" s="5">
        <v>0.21038641292278501</v>
      </c>
      <c r="Y20" s="5">
        <v>-4.2067489538597257E-2</v>
      </c>
      <c r="Z20" s="5">
        <v>0.1056169604836593</v>
      </c>
      <c r="AA20" s="5">
        <v>0.13048336848064571</v>
      </c>
      <c r="AB20" s="5">
        <v>8.4759840726173208E-2</v>
      </c>
      <c r="AC20" s="5">
        <v>4.7248262727967477E-2</v>
      </c>
      <c r="AD20" s="5">
        <v>0.1298426</v>
      </c>
      <c r="AE20" s="5">
        <v>0.16122120715511101</v>
      </c>
      <c r="AF20" s="5">
        <v>0.22349781963637269</v>
      </c>
      <c r="AG20" s="5">
        <v>2.7659218539892259E-2</v>
      </c>
      <c r="AH20" s="5">
        <v>-9.0178200714782636E-2</v>
      </c>
      <c r="AI20" s="5">
        <v>0.1163372</v>
      </c>
      <c r="AJ20" s="5">
        <v>-6.1990034547547639E-2</v>
      </c>
      <c r="AK20" s="5">
        <v>-1.359511549600285E-2</v>
      </c>
      <c r="AL20" s="5">
        <v>-5.6180000000000006E-3</v>
      </c>
      <c r="AM20" s="5">
        <v>3.3095980748802607E-2</v>
      </c>
      <c r="AN20" s="5">
        <v>7.5470193518998266E-2</v>
      </c>
      <c r="AO20" s="5">
        <v>4.9108294639399641E-2</v>
      </c>
      <c r="AP20" s="5">
        <v>0.13173046125538779</v>
      </c>
      <c r="AQ20" s="5">
        <v>7.2898600000000008E-2</v>
      </c>
      <c r="AR20" s="5">
        <v>-1.3289199999999999E-2</v>
      </c>
      <c r="AS20" s="5">
        <v>-4.2291716448975919E-2</v>
      </c>
      <c r="AT20" s="5">
        <v>0.23912374744507051</v>
      </c>
      <c r="AU20" s="5">
        <v>0.28169899999999998</v>
      </c>
      <c r="AV20" s="5">
        <v>-3.2246612786763357E-2</v>
      </c>
      <c r="AW20" s="5">
        <v>0.2249978407783445</v>
      </c>
      <c r="AX20" s="5">
        <v>0.20433921996054669</v>
      </c>
      <c r="AY20" s="5">
        <v>3.8674698442909439E-2</v>
      </c>
      <c r="AZ20" s="5">
        <v>9.9804199999999982E-2</v>
      </c>
      <c r="BA20" s="5">
        <v>0.151338</v>
      </c>
      <c r="BB20" s="5">
        <v>0.3784467853093445</v>
      </c>
      <c r="BC20" s="5">
        <v>0.24014067499041369</v>
      </c>
      <c r="BD20" s="5">
        <v>8.3636000000000005E-3</v>
      </c>
      <c r="BE20" s="5">
        <v>9.8278374734355731E-2</v>
      </c>
      <c r="BF20" s="5">
        <v>0.13797126306897531</v>
      </c>
      <c r="BG20" s="5">
        <v>9.4062055608340231E-2</v>
      </c>
      <c r="BH20" s="5">
        <v>0.1500573005634544</v>
      </c>
      <c r="BI20" s="5">
        <v>0.13174526708517489</v>
      </c>
      <c r="BJ20" s="5">
        <v>5.51578E-2</v>
      </c>
      <c r="BK20" s="5">
        <v>-0.11765100000000001</v>
      </c>
      <c r="BL20" s="5">
        <v>6.9859441937220601E-2</v>
      </c>
      <c r="BM20" s="5">
        <v>4.7468551464188873E-2</v>
      </c>
      <c r="BN20" s="5">
        <v>1.863600000000001E-2</v>
      </c>
      <c r="BO20" s="5">
        <v>-3.8461717515979203E-2</v>
      </c>
      <c r="BP20" s="5">
        <v>7.2838000000000009E-3</v>
      </c>
      <c r="BQ20" s="5">
        <v>1.5451706960843021E-2</v>
      </c>
      <c r="BR20" s="5">
        <v>0.18112708147166159</v>
      </c>
      <c r="BS20" s="5">
        <v>-3.2536197724856143E-2</v>
      </c>
      <c r="BT20" s="5">
        <v>-5.246859999999999E-2</v>
      </c>
      <c r="BU20" s="5">
        <v>0.14944099999999999</v>
      </c>
      <c r="BV20" s="5">
        <v>-8.154344176059905E-2</v>
      </c>
      <c r="BW20" s="5">
        <v>0.35182955004840472</v>
      </c>
      <c r="BX20" s="5">
        <v>-5.2858599999999992E-2</v>
      </c>
      <c r="BY20" s="5">
        <v>-4.6393591496685094E-3</v>
      </c>
      <c r="BZ20" s="5">
        <v>9.02714042602836E-2</v>
      </c>
      <c r="CA20" s="5">
        <v>4.0102728051752932E-2</v>
      </c>
      <c r="CB20" s="5">
        <v>0.12649540000000001</v>
      </c>
      <c r="CC20" s="5">
        <v>1.2914800000000001E-2</v>
      </c>
      <c r="CD20" s="5">
        <v>0.1810274974905971</v>
      </c>
      <c r="CE20" s="5">
        <v>8.577739999999999E-2</v>
      </c>
      <c r="CF20" s="5">
        <v>8.0957937198676569E-2</v>
      </c>
      <c r="CG20" s="5">
        <v>7.597024074310807E-2</v>
      </c>
      <c r="CH20" s="5">
        <v>7.1864025597138351E-2</v>
      </c>
      <c r="CI20" s="5">
        <v>3.0394673769081951E-2</v>
      </c>
      <c r="CJ20" s="5">
        <v>-4.1509984783928693E-2</v>
      </c>
      <c r="CK20" s="5">
        <v>8.0589623940621552E-2</v>
      </c>
      <c r="CL20" s="5">
        <v>-9.2184934189128986E-2</v>
      </c>
      <c r="CM20" s="5">
        <v>9.6774199999999977E-2</v>
      </c>
      <c r="CN20" s="5">
        <v>0.20489183364110261</v>
      </c>
      <c r="CO20" s="5">
        <v>0.29657339999999999</v>
      </c>
      <c r="CP20" s="5">
        <v>0.1920312051090273</v>
      </c>
      <c r="CQ20" s="5">
        <v>2.3118045300283038E-2</v>
      </c>
      <c r="CR20" s="5">
        <v>0.1954861104849421</v>
      </c>
      <c r="CS20" s="5">
        <v>9.7137098734322067E-2</v>
      </c>
      <c r="CT20" s="5">
        <v>2.8415399999999969E-2</v>
      </c>
      <c r="CU20" s="5">
        <v>0.14672800907162681</v>
      </c>
      <c r="CV20" s="5">
        <v>0.11921412821268471</v>
      </c>
      <c r="CW20" s="5">
        <v>6.7903708174845409E-2</v>
      </c>
      <c r="CX20" s="5">
        <v>9.0298550867764463E-2</v>
      </c>
      <c r="CY20" s="5">
        <v>0.1087322</v>
      </c>
      <c r="CZ20" s="5">
        <v>0.15516164514919831</v>
      </c>
      <c r="DA20" s="5">
        <v>7.70816E-2</v>
      </c>
      <c r="DB20" s="5">
        <v>7.6966999999999994E-2</v>
      </c>
      <c r="DC20" s="5">
        <v>-4.9613069235555772E-2</v>
      </c>
      <c r="DD20" s="5">
        <v>3.597184756950339E-3</v>
      </c>
      <c r="DE20" s="5">
        <v>1.0418721606852799E-2</v>
      </c>
      <c r="DF20" s="5">
        <v>0.2455754</v>
      </c>
      <c r="DG20" s="5">
        <v>5.2345800000000012E-2</v>
      </c>
      <c r="DH20" s="5">
        <v>0.27829959999999998</v>
      </c>
      <c r="DI20" s="5">
        <v>0.137596</v>
      </c>
      <c r="DJ20" s="5">
        <v>0.1365580924326974</v>
      </c>
      <c r="DK20" s="5">
        <v>8.5184599999999999E-2</v>
      </c>
      <c r="DL20" s="5">
        <v>-1.9465373333619789E-2</v>
      </c>
      <c r="DM20" s="5">
        <v>-6.9335800000000003E-2</v>
      </c>
      <c r="DN20" s="5">
        <v>5.8019206654199171E-2</v>
      </c>
      <c r="DO20" s="5">
        <v>0.25800099999999998</v>
      </c>
      <c r="DP20" s="5">
        <v>0.20015543475438921</v>
      </c>
      <c r="DQ20" s="5">
        <v>5.7460181624700082E-2</v>
      </c>
      <c r="DR20" s="5">
        <v>7.8512660028290493E-2</v>
      </c>
      <c r="DS20" s="5">
        <v>-7.4919999999999987E-3</v>
      </c>
      <c r="DT20" s="5">
        <v>-2.968533879884255E-2</v>
      </c>
      <c r="DU20" s="5">
        <v>0.1763758</v>
      </c>
      <c r="DV20" s="5">
        <v>0.12934547183885869</v>
      </c>
      <c r="DW20" s="5">
        <v>-0.1035466</v>
      </c>
      <c r="DX20" s="5">
        <v>0.15386632960631469</v>
      </c>
      <c r="DY20" s="5">
        <v>0.12159059999999999</v>
      </c>
      <c r="DZ20" s="5">
        <v>9.0199400000000013E-2</v>
      </c>
      <c r="EA20" s="5">
        <v>-5.9255992733342772E-3</v>
      </c>
      <c r="EB20" s="5">
        <v>8.2407142444419712E-2</v>
      </c>
      <c r="EC20" s="5">
        <v>3.4049581413941779E-2</v>
      </c>
      <c r="ED20" s="5">
        <v>0.17691886106701021</v>
      </c>
      <c r="EE20" s="5">
        <v>-1.7415999999999959E-3</v>
      </c>
      <c r="EF20" s="5">
        <v>8.5799999999999987E-2</v>
      </c>
      <c r="EH20" s="4"/>
    </row>
    <row r="21" spans="1:138">
      <c r="A21" s="7">
        <v>241</v>
      </c>
      <c r="B21" s="7">
        <v>4</v>
      </c>
      <c r="C21" s="6">
        <v>0.2146305</v>
      </c>
      <c r="D21" s="5">
        <v>0.126389</v>
      </c>
      <c r="E21" s="5">
        <v>-1.3691500000000001E-2</v>
      </c>
      <c r="F21" s="5">
        <v>-0.18403858160612999</v>
      </c>
      <c r="G21" s="5">
        <v>0.14384215111256449</v>
      </c>
      <c r="H21" s="5">
        <v>0.162164</v>
      </c>
      <c r="I21" s="5">
        <v>0.14725560812747299</v>
      </c>
      <c r="J21" s="5">
        <v>6.0435325691642318E-2</v>
      </c>
      <c r="K21" s="5">
        <v>0.2068800260033955</v>
      </c>
      <c r="L21" s="5">
        <v>5.030999999999999E-3</v>
      </c>
      <c r="M21" s="5">
        <v>-9.9684593408211258E-2</v>
      </c>
      <c r="N21" s="5">
        <v>0.58489049999999998</v>
      </c>
      <c r="O21" s="5">
        <v>3.4351989460690638E-2</v>
      </c>
      <c r="P21" s="5">
        <v>0.14477260088968491</v>
      </c>
      <c r="Q21" s="5">
        <v>0.25731007409425227</v>
      </c>
      <c r="R21" s="5">
        <v>-9.5575311106630215E-2</v>
      </c>
      <c r="S21" s="5">
        <v>0.12859028544995699</v>
      </c>
      <c r="T21" s="5">
        <v>9.846167275679743E-2</v>
      </c>
      <c r="U21" s="5">
        <v>8.6278417611758002E-2</v>
      </c>
      <c r="V21" s="5">
        <v>5.3557619366031213E-2</v>
      </c>
      <c r="W21" s="5">
        <v>0.12449875000000001</v>
      </c>
      <c r="X21" s="5">
        <v>0.21363094220511639</v>
      </c>
      <c r="Y21" s="5">
        <v>-2.0833082892434851E-2</v>
      </c>
      <c r="Z21" s="5">
        <v>0.1142039872227245</v>
      </c>
      <c r="AA21" s="5">
        <v>0.1106359070024788</v>
      </c>
      <c r="AB21" s="5">
        <v>0.1298395823970698</v>
      </c>
      <c r="AC21" s="5">
        <v>1.882773670680014E-2</v>
      </c>
      <c r="AD21" s="5">
        <v>0.12882450000000001</v>
      </c>
      <c r="AE21" s="5">
        <v>0.12810497879624591</v>
      </c>
      <c r="AF21" s="5">
        <v>0.29514425808336342</v>
      </c>
      <c r="AG21" s="5">
        <v>4.4302777789794079E-2</v>
      </c>
      <c r="AH21" s="5">
        <v>-0.10758136256479831</v>
      </c>
      <c r="AI21" s="5">
        <v>0.10212425</v>
      </c>
      <c r="AJ21" s="5">
        <v>-7.0405341946468691E-2</v>
      </c>
      <c r="AK21" s="5">
        <v>-3.5803167618110053E-2</v>
      </c>
      <c r="AL21" s="5">
        <v>1.9780249999999999E-2</v>
      </c>
      <c r="AM21" s="5">
        <v>6.8535807447630548E-2</v>
      </c>
      <c r="AN21" s="5">
        <v>0.11195605606309431</v>
      </c>
      <c r="AO21" s="5">
        <v>8.5567774913887312E-2</v>
      </c>
      <c r="AP21" s="5">
        <v>7.2535143570019153E-2</v>
      </c>
      <c r="AQ21" s="5">
        <v>0.13322400000000001</v>
      </c>
      <c r="AR21" s="5">
        <v>4.7988250000000003E-2</v>
      </c>
      <c r="AS21" s="5">
        <v>-4.5406682060008141E-2</v>
      </c>
      <c r="AT21" s="5">
        <v>0.26483825754799722</v>
      </c>
      <c r="AU21" s="5">
        <v>0.34648125000000002</v>
      </c>
      <c r="AV21" s="5">
        <v>-6.871391269647964E-2</v>
      </c>
      <c r="AW21" s="5">
        <v>0.26325491637381482</v>
      </c>
      <c r="AX21" s="5">
        <v>0.21771830251703739</v>
      </c>
      <c r="AY21" s="5">
        <v>4.7021290978038012E-2</v>
      </c>
      <c r="AZ21" s="5">
        <v>0.108503</v>
      </c>
      <c r="BA21" s="5">
        <v>0.13959250000000001</v>
      </c>
      <c r="BB21" s="5">
        <v>0.40443142813314931</v>
      </c>
      <c r="BC21" s="5">
        <v>0.1644605319288267</v>
      </c>
      <c r="BD21" s="5">
        <v>3.8222500000000013E-2</v>
      </c>
      <c r="BE21" s="5">
        <v>0.13674535590796441</v>
      </c>
      <c r="BF21" s="5">
        <v>0.19911721643060321</v>
      </c>
      <c r="BG21" s="5">
        <v>9.2285571507253639E-2</v>
      </c>
      <c r="BH21" s="5">
        <v>0.1068421096374302</v>
      </c>
      <c r="BI21" s="5">
        <v>0.1659695961783918</v>
      </c>
      <c r="BJ21" s="5">
        <v>2.2396249999999999E-2</v>
      </c>
      <c r="BK21" s="5">
        <v>-7.272374999999999E-2</v>
      </c>
      <c r="BL21" s="5">
        <v>8.7340790467698257E-2</v>
      </c>
      <c r="BM21" s="5">
        <v>4.0795286028720637E-2</v>
      </c>
      <c r="BN21" s="5">
        <v>2.5788249999999999E-2</v>
      </c>
      <c r="BO21" s="5">
        <v>-6.3857236413680254E-2</v>
      </c>
      <c r="BP21" s="5">
        <v>-4.1799999999999997E-3</v>
      </c>
      <c r="BQ21" s="5">
        <v>5.4542230834504879E-2</v>
      </c>
      <c r="BR21" s="5">
        <v>0.14206145591009539</v>
      </c>
      <c r="BS21" s="5">
        <v>-6.5741820960347419E-2</v>
      </c>
      <c r="BT21" s="5">
        <v>-6.0821999999999987E-2</v>
      </c>
      <c r="BU21" s="5">
        <v>0.170738</v>
      </c>
      <c r="BV21" s="5">
        <v>-4.4339980041273437E-2</v>
      </c>
      <c r="BW21" s="5">
        <v>0.18446067072040909</v>
      </c>
      <c r="BX21" s="5">
        <v>-7.7163250000000003E-2</v>
      </c>
      <c r="BY21" s="5">
        <v>-5.5666292242237493E-2</v>
      </c>
      <c r="BZ21" s="5">
        <v>4.7662928720715619E-2</v>
      </c>
      <c r="CA21" s="5">
        <v>6.0517603302398457E-2</v>
      </c>
      <c r="CB21" s="5">
        <v>0.20787025000000001</v>
      </c>
      <c r="CC21" s="5">
        <v>-8.0194999999999989E-3</v>
      </c>
      <c r="CD21" s="5">
        <v>0.28805606436247322</v>
      </c>
      <c r="CE21" s="5">
        <v>6.1514499999999993E-2</v>
      </c>
      <c r="CF21" s="5">
        <v>0.13126567680107229</v>
      </c>
      <c r="CG21" s="5">
        <v>8.508533547413108E-2</v>
      </c>
      <c r="CH21" s="5">
        <v>8.0100321076211733E-2</v>
      </c>
      <c r="CI21" s="5">
        <v>8.0499616390982326E-2</v>
      </c>
      <c r="CJ21" s="5">
        <v>-5.5140848561157058E-2</v>
      </c>
      <c r="CK21" s="5">
        <v>6.7159630296855705E-2</v>
      </c>
      <c r="CL21" s="5">
        <v>-0.13389042462296469</v>
      </c>
      <c r="CM21" s="5">
        <v>0.11623024999999999</v>
      </c>
      <c r="CN21" s="5">
        <v>8.0851508829433677E-2</v>
      </c>
      <c r="CO21" s="5">
        <v>0.33548299999999998</v>
      </c>
      <c r="CP21" s="5">
        <v>0.22270006087791269</v>
      </c>
      <c r="CQ21" s="5">
        <v>2.2912194169496192E-2</v>
      </c>
      <c r="CR21" s="5">
        <v>0.23905996636126789</v>
      </c>
      <c r="CS21" s="5">
        <v>6.1269036219330789E-2</v>
      </c>
      <c r="CT21" s="5">
        <v>4.7994749999999982E-2</v>
      </c>
      <c r="CU21" s="5">
        <v>0.1589166223174501</v>
      </c>
      <c r="CV21" s="5">
        <v>0.1543318447745724</v>
      </c>
      <c r="CW21" s="5">
        <v>3.8345516871682743E-2</v>
      </c>
      <c r="CX21" s="5">
        <v>0.1021221756574071</v>
      </c>
      <c r="CY21" s="5">
        <v>0.10250525000000001</v>
      </c>
      <c r="CZ21" s="5">
        <v>0.2374513708258302</v>
      </c>
      <c r="DA21" s="5">
        <v>4.1709749999999997E-2</v>
      </c>
      <c r="DB21" s="5">
        <v>7.1459500000000009E-2</v>
      </c>
      <c r="DC21" s="5">
        <v>-4.5047559223290658E-2</v>
      </c>
      <c r="DD21" s="5">
        <v>2.8187943910707451E-3</v>
      </c>
      <c r="DE21" s="5">
        <v>2.897773706032665E-2</v>
      </c>
      <c r="DF21" s="5">
        <v>0.30115175</v>
      </c>
      <c r="DG21" s="5">
        <v>5.9410750000000012E-2</v>
      </c>
      <c r="DH21" s="5">
        <v>8.1436999999999996E-2</v>
      </c>
      <c r="DI21" s="5">
        <v>0.17984</v>
      </c>
      <c r="DJ21" s="5">
        <v>0.1566057184636416</v>
      </c>
      <c r="DK21" s="5">
        <v>9.0893250000000009E-2</v>
      </c>
      <c r="DL21" s="5">
        <v>-1.273699150101321E-2</v>
      </c>
      <c r="DM21" s="5">
        <v>-2.498825E-2</v>
      </c>
      <c r="DN21" s="5">
        <v>7.1197612493993062E-2</v>
      </c>
      <c r="DO21" s="5">
        <v>0.33162625000000001</v>
      </c>
      <c r="DP21" s="5">
        <v>0.22901988968023471</v>
      </c>
      <c r="DQ21" s="5">
        <v>7.0422698808183373E-2</v>
      </c>
      <c r="DR21" s="5">
        <v>5.0170859037080733E-2</v>
      </c>
      <c r="DS21" s="5">
        <v>-1.6737500000000001E-3</v>
      </c>
      <c r="DT21" s="5">
        <v>-5.2151903466792276E-3</v>
      </c>
      <c r="DU21" s="5">
        <v>0.14861474999999999</v>
      </c>
      <c r="DV21" s="5">
        <v>0.140275976869878</v>
      </c>
      <c r="DW21" s="5">
        <v>-0.103536</v>
      </c>
      <c r="DX21" s="5">
        <v>0.18596621403118341</v>
      </c>
      <c r="DY21" s="5">
        <v>0.16672999999999999</v>
      </c>
      <c r="DZ21" s="5">
        <v>9.8930000000000004E-2</v>
      </c>
      <c r="EA21" s="5">
        <v>-3.5066457185236648E-2</v>
      </c>
      <c r="EB21" s="5">
        <v>2.6302193998533951E-2</v>
      </c>
      <c r="EC21" s="5">
        <v>1.403705509804205E-2</v>
      </c>
      <c r="ED21" s="5">
        <v>5.4498856348180663E-2</v>
      </c>
      <c r="EE21" s="5">
        <v>2.1309999999999999E-2</v>
      </c>
      <c r="EF21" s="5">
        <v>2.8794500000000001E-2</v>
      </c>
      <c r="EH21" s="4"/>
    </row>
    <row r="22" spans="1:138">
      <c r="A22" s="7">
        <v>321</v>
      </c>
      <c r="B22" s="7">
        <v>3</v>
      </c>
      <c r="C22" s="6">
        <v>0.20528266666666661</v>
      </c>
      <c r="D22" s="5">
        <v>0.1424293333333333</v>
      </c>
      <c r="E22" s="5">
        <v>-1.735666666666667E-2</v>
      </c>
      <c r="F22" s="5">
        <v>-6.7831060921277567E-2</v>
      </c>
      <c r="G22" s="5">
        <v>0.1038843632903341</v>
      </c>
      <c r="H22" s="5">
        <v>0.124178</v>
      </c>
      <c r="I22" s="5">
        <v>0.12349316933806979</v>
      </c>
      <c r="J22" s="5">
        <v>5.2598589265342909E-2</v>
      </c>
      <c r="K22" s="5">
        <v>0.2453659126827557</v>
      </c>
      <c r="L22" s="5">
        <v>-1.427200000000001E-2</v>
      </c>
      <c r="M22" s="5">
        <v>-7.4100058770572547E-2</v>
      </c>
      <c r="N22" s="5">
        <v>0.75614233333333325</v>
      </c>
      <c r="O22" s="5">
        <v>-6.7158783113674958E-3</v>
      </c>
      <c r="P22" s="5">
        <v>7.2782884128816977E-2</v>
      </c>
      <c r="Q22" s="5">
        <v>0.27677689383305182</v>
      </c>
      <c r="R22" s="5">
        <v>-3.6628434271588052E-2</v>
      </c>
      <c r="S22" s="5">
        <v>0.16964655555794059</v>
      </c>
      <c r="T22" s="5">
        <v>0.1288124219831229</v>
      </c>
      <c r="U22" s="5">
        <v>0.11059002340250421</v>
      </c>
      <c r="V22" s="5">
        <v>3.8286776519855507E-2</v>
      </c>
      <c r="W22" s="5">
        <v>0.15804799999999999</v>
      </c>
      <c r="X22" s="5">
        <v>0.22178675903387041</v>
      </c>
      <c r="Y22" s="5">
        <v>-1.5732208413521059E-2</v>
      </c>
      <c r="Z22" s="5">
        <v>7.5548269145846045E-2</v>
      </c>
      <c r="AA22" s="5">
        <v>8.2524425578113014E-2</v>
      </c>
      <c r="AB22" s="5">
        <v>0.13443621271332551</v>
      </c>
      <c r="AC22" s="5">
        <v>8.5776460715432462E-2</v>
      </c>
      <c r="AD22" s="5">
        <v>1.3571333333333329E-2</v>
      </c>
      <c r="AE22" s="5">
        <v>0.13082384281633419</v>
      </c>
      <c r="AF22" s="5">
        <v>0.42991676804861201</v>
      </c>
      <c r="AG22" s="5">
        <v>5.2841540175733892E-2</v>
      </c>
      <c r="AH22" s="5">
        <v>-0.10586595942047269</v>
      </c>
      <c r="AI22" s="5">
        <v>0.1110046666666667</v>
      </c>
      <c r="AJ22" s="5">
        <v>-3.1699849326408271E-2</v>
      </c>
      <c r="AK22" s="5">
        <v>0.1012885607403957</v>
      </c>
      <c r="AL22" s="5">
        <v>-9.4396666666666691E-3</v>
      </c>
      <c r="AM22" s="5">
        <v>8.4088903467703563E-2</v>
      </c>
      <c r="AN22" s="5">
        <v>0.1111328096635593</v>
      </c>
      <c r="AO22" s="5">
        <v>0.1581528752937269</v>
      </c>
      <c r="AP22" s="5">
        <v>6.2536353887992696E-2</v>
      </c>
      <c r="AQ22" s="5">
        <v>0.1101293333333333</v>
      </c>
      <c r="AR22" s="5">
        <v>6.7924666666666661E-2</v>
      </c>
      <c r="AS22" s="5">
        <v>7.3843702685833568E-2</v>
      </c>
      <c r="AT22" s="5">
        <v>1.7728370994436651E-2</v>
      </c>
      <c r="AU22" s="5">
        <v>0.42935499999999999</v>
      </c>
      <c r="AV22" s="5">
        <v>-8.9753981871632596E-2</v>
      </c>
      <c r="AW22" s="5">
        <v>0.37079927869117352</v>
      </c>
      <c r="AX22" s="5">
        <v>-9.875186005693877E-3</v>
      </c>
      <c r="AY22" s="5">
        <v>7.1733385334230598E-2</v>
      </c>
      <c r="AZ22" s="5">
        <v>0.15518866666666661</v>
      </c>
      <c r="BA22" s="5">
        <v>4.9774666666666662E-2</v>
      </c>
      <c r="BB22" s="5">
        <v>0.51826404945003746</v>
      </c>
      <c r="BC22" s="5">
        <v>0.19562603535051759</v>
      </c>
      <c r="BD22" s="5">
        <v>7.9264000000000001E-2</v>
      </c>
      <c r="BE22" s="5">
        <v>0.12806788396565999</v>
      </c>
      <c r="BF22" s="5">
        <v>0.1991024485484385</v>
      </c>
      <c r="BG22" s="5">
        <v>-4.1231469152780448E-2</v>
      </c>
      <c r="BH22" s="5">
        <v>0.12770700939641619</v>
      </c>
      <c r="BI22" s="5">
        <v>0.111088719409907</v>
      </c>
      <c r="BJ22" s="5">
        <v>4.0893333333333337E-2</v>
      </c>
      <c r="BK22" s="5">
        <v>-4.8315666666666673E-2</v>
      </c>
      <c r="BL22" s="5">
        <v>0.13947139040086359</v>
      </c>
      <c r="BM22" s="5">
        <v>2.4304832455331882E-3</v>
      </c>
      <c r="BN22" s="5">
        <v>8.2934333333333332E-2</v>
      </c>
      <c r="BO22" s="5">
        <v>-5.0484429112750417E-2</v>
      </c>
      <c r="BP22" s="5">
        <v>-5.4000000000000055E-4</v>
      </c>
      <c r="BQ22" s="5">
        <v>2.7830097398312589E-2</v>
      </c>
      <c r="BR22" s="5">
        <v>0.10656678196769021</v>
      </c>
      <c r="BS22" s="5">
        <v>-9.7047589704545023E-2</v>
      </c>
      <c r="BT22" s="5">
        <v>8.8724333333333336E-2</v>
      </c>
      <c r="BU22" s="5">
        <v>0.104351</v>
      </c>
      <c r="BV22" s="5">
        <v>-4.8603534589078061E-2</v>
      </c>
      <c r="BW22" s="5">
        <v>0.1321717915357814</v>
      </c>
      <c r="BX22" s="5">
        <v>-0.11302666666666671</v>
      </c>
      <c r="BY22" s="5">
        <v>-5.5597049970371022E-2</v>
      </c>
      <c r="BZ22" s="5">
        <v>4.725773586289217E-2</v>
      </c>
      <c r="CA22" s="5">
        <v>2.749007848032349E-2</v>
      </c>
      <c r="CB22" s="5">
        <v>0.25474000000000002</v>
      </c>
      <c r="CC22" s="5">
        <v>-0.12510499999999999</v>
      </c>
      <c r="CD22" s="5">
        <v>0.33387803671272293</v>
      </c>
      <c r="CE22" s="5">
        <v>6.6840000000000011E-2</v>
      </c>
      <c r="CF22" s="5">
        <v>0.18879978576027739</v>
      </c>
      <c r="CG22" s="5">
        <v>0.207085332633513</v>
      </c>
      <c r="CH22" s="5">
        <v>0.1159187712794482</v>
      </c>
      <c r="CI22" s="5">
        <v>0.1177797462783592</v>
      </c>
      <c r="CJ22" s="5">
        <v>-0.12632535927858729</v>
      </c>
      <c r="CK22" s="5">
        <v>0.1109235402867822</v>
      </c>
      <c r="CL22" s="5">
        <v>-0.2406517986250408</v>
      </c>
      <c r="CM22" s="5">
        <v>0.21983</v>
      </c>
      <c r="CN22" s="5">
        <v>0.15280391681020719</v>
      </c>
      <c r="CO22" s="5">
        <v>0.272059</v>
      </c>
      <c r="CP22" s="5">
        <v>0.25940855696940252</v>
      </c>
      <c r="CQ22" s="5">
        <v>1.7159615519123799E-2</v>
      </c>
      <c r="CR22" s="5">
        <v>0.24677276999188669</v>
      </c>
      <c r="CS22" s="5">
        <v>8.4781935884364376E-2</v>
      </c>
      <c r="CT22" s="5">
        <v>3.8264666666666662E-2</v>
      </c>
      <c r="CU22" s="5">
        <v>0.16735391118636819</v>
      </c>
      <c r="CV22" s="5">
        <v>0.16622267868955429</v>
      </c>
      <c r="CW22" s="5">
        <v>2.2884042331984721E-2</v>
      </c>
      <c r="CX22" s="5">
        <v>3.749593267848913E-3</v>
      </c>
      <c r="CY22" s="5">
        <v>0.10451100000000001</v>
      </c>
      <c r="CZ22" s="5">
        <v>0.26292048459923911</v>
      </c>
      <c r="DA22" s="5">
        <v>3.2453999999999997E-2</v>
      </c>
      <c r="DB22" s="5">
        <v>5.4040666666666667E-2</v>
      </c>
      <c r="DC22" s="5">
        <v>-2.0724784444157599E-2</v>
      </c>
      <c r="DD22" s="5">
        <v>3.1710169125825367E-2</v>
      </c>
      <c r="DE22" s="5">
        <v>-1.7756503501932811E-2</v>
      </c>
      <c r="DF22" s="5">
        <v>0.38966800000000001</v>
      </c>
      <c r="DG22" s="5">
        <v>7.1890999999999997E-2</v>
      </c>
      <c r="DH22" s="5">
        <v>8.1455333333333324E-2</v>
      </c>
      <c r="DI22" s="5">
        <v>6.0122333333333333E-2</v>
      </c>
      <c r="DJ22" s="5">
        <v>0.15369976283032971</v>
      </c>
      <c r="DK22" s="5">
        <v>9.1427666666666671E-2</v>
      </c>
      <c r="DL22" s="5">
        <v>-3.213330743138731E-3</v>
      </c>
      <c r="DM22" s="5">
        <v>-3.1884333333333327E-2</v>
      </c>
      <c r="DN22" s="5">
        <v>4.6763328204007498E-2</v>
      </c>
      <c r="DO22" s="5">
        <v>7.5715333333333343E-2</v>
      </c>
      <c r="DP22" s="5">
        <v>0.16956243214073041</v>
      </c>
      <c r="DQ22" s="5">
        <v>0.16540416654463991</v>
      </c>
      <c r="DR22" s="5">
        <v>-6.0925526153180337E-3</v>
      </c>
      <c r="DS22" s="5">
        <v>-3.6348999999999999E-2</v>
      </c>
      <c r="DT22" s="5">
        <v>2.712875397817005E-2</v>
      </c>
      <c r="DU22" s="5">
        <v>0.1615456666666667</v>
      </c>
      <c r="DV22" s="5">
        <v>0.12570511767817799</v>
      </c>
      <c r="DW22" s="5">
        <v>-8.1416000000000016E-2</v>
      </c>
      <c r="DX22" s="5">
        <v>0.22244260844829469</v>
      </c>
      <c r="DY22" s="5">
        <v>0.1199563333333333</v>
      </c>
      <c r="DZ22" s="5">
        <v>0.11083366666666671</v>
      </c>
      <c r="EA22" s="5">
        <v>-3.4191242409873077E-2</v>
      </c>
      <c r="EB22" s="5">
        <v>0.12976595030606911</v>
      </c>
      <c r="EC22" s="5">
        <v>2.1495101575638179E-2</v>
      </c>
      <c r="ED22" s="5">
        <v>7.7413567057607463E-2</v>
      </c>
      <c r="EE22" s="5">
        <v>4.7635999999999998E-2</v>
      </c>
      <c r="EF22" s="5">
        <v>3.6592666666666662E-2</v>
      </c>
      <c r="EH22" s="4"/>
    </row>
    <row r="23" spans="1:138">
      <c r="A23" s="7">
        <v>482</v>
      </c>
      <c r="B23" s="7">
        <v>2</v>
      </c>
      <c r="C23" s="6">
        <v>0.28298899999999988</v>
      </c>
      <c r="D23" s="5">
        <v>0.25409399999999999</v>
      </c>
      <c r="E23" s="5">
        <v>0.13300500000000001</v>
      </c>
      <c r="F23" s="5">
        <v>-0.1823960753208787</v>
      </c>
      <c r="G23" s="5">
        <v>-2.6971568524368019E-2</v>
      </c>
      <c r="H23" s="5">
        <v>-1.81885E-2</v>
      </c>
      <c r="I23" s="5">
        <v>0.148152028600294</v>
      </c>
      <c r="J23" s="5">
        <v>-9.8162291146452377E-2</v>
      </c>
      <c r="K23" s="5">
        <v>0.14260757512465491</v>
      </c>
      <c r="L23" s="5">
        <v>-5.0770999999999997E-2</v>
      </c>
      <c r="M23" s="5">
        <v>-0.2584499163586424</v>
      </c>
      <c r="N23" s="5">
        <v>0.97590100000000002</v>
      </c>
      <c r="O23" s="5">
        <v>-1.9407711266769139E-2</v>
      </c>
      <c r="P23" s="5">
        <v>9.040171118212538E-2</v>
      </c>
      <c r="Q23" s="5">
        <v>-5.95680169005205E-2</v>
      </c>
      <c r="R23" s="5">
        <v>-5.6211143313255052E-2</v>
      </c>
      <c r="S23" s="5">
        <v>0.1137245328272621</v>
      </c>
      <c r="T23" s="5">
        <v>0.15460269332742849</v>
      </c>
      <c r="U23" s="5">
        <v>9.3757422440794366E-2</v>
      </c>
      <c r="V23" s="5">
        <v>-2.302945710979112E-2</v>
      </c>
      <c r="W23" s="5">
        <v>0.25954700000000003</v>
      </c>
      <c r="X23" s="5">
        <v>0.1817811857978229</v>
      </c>
      <c r="Y23" s="5">
        <v>-1.4659801530490259E-2</v>
      </c>
      <c r="Z23" s="5">
        <v>3.3032515443875303E-2</v>
      </c>
      <c r="AA23" s="5">
        <v>-5.6748445960110291E-2</v>
      </c>
      <c r="AB23" s="5">
        <v>6.4039779876783498E-2</v>
      </c>
      <c r="AC23" s="5">
        <v>0.1687547996369127</v>
      </c>
      <c r="AD23" s="5">
        <v>7.1626999999999996E-2</v>
      </c>
      <c r="AE23" s="5">
        <v>0.13721198875766</v>
      </c>
      <c r="AF23" s="5">
        <v>0.32465932564021122</v>
      </c>
      <c r="AG23" s="5">
        <v>9.1873657646360199E-2</v>
      </c>
      <c r="AH23" s="5">
        <v>-8.417158452318324E-2</v>
      </c>
      <c r="AI23" s="5">
        <v>0.209152</v>
      </c>
      <c r="AJ23" s="5">
        <v>5.6431378481542303E-3</v>
      </c>
      <c r="AK23" s="5">
        <v>0.11411109934719101</v>
      </c>
      <c r="AL23" s="5">
        <v>-1.4066499999999999E-2</v>
      </c>
      <c r="AM23" s="5">
        <v>7.769489004865255E-3</v>
      </c>
      <c r="AN23" s="5">
        <v>0.24231469935730071</v>
      </c>
      <c r="AO23" s="5">
        <v>9.078247952961746E-2</v>
      </c>
      <c r="AP23" s="5">
        <v>-3.1210993523056942E-3</v>
      </c>
      <c r="AQ23" s="5">
        <v>9.9379000000000009E-2</v>
      </c>
      <c r="AR23" s="5">
        <v>0.14613599999999999</v>
      </c>
      <c r="AS23" s="5">
        <v>8.1663620780570226E-2</v>
      </c>
      <c r="AT23" s="5">
        <v>0.1095059029649002</v>
      </c>
      <c r="AU23" s="5">
        <v>0.60833199999999998</v>
      </c>
      <c r="AV23" s="5">
        <v>-4.9150066629292007E-2</v>
      </c>
      <c r="AW23" s="5">
        <v>0.58225997417421493</v>
      </c>
      <c r="AX23" s="5">
        <v>-1.4812779008540821E-2</v>
      </c>
      <c r="AY23" s="5">
        <v>0.17023398084058211</v>
      </c>
      <c r="AZ23" s="5">
        <v>7.8071000000000002E-2</v>
      </c>
      <c r="BA23" s="5">
        <v>5.3997999999999997E-2</v>
      </c>
      <c r="BB23" s="5">
        <v>0.68602332967973401</v>
      </c>
      <c r="BC23" s="5">
        <v>0.25286918189993951</v>
      </c>
      <c r="BD23" s="5">
        <v>0.12597949999999999</v>
      </c>
      <c r="BE23" s="5">
        <v>0.1242921430258994</v>
      </c>
      <c r="BF23" s="5">
        <v>0.21000911286045121</v>
      </c>
      <c r="BG23" s="5">
        <v>3.8322827419145812E-2</v>
      </c>
      <c r="BH23" s="5">
        <v>6.3365195703238231E-2</v>
      </c>
      <c r="BI23" s="5">
        <v>0.1911120793231991</v>
      </c>
      <c r="BJ23" s="5">
        <v>5.7494999999999997E-2</v>
      </c>
      <c r="BK23" s="5">
        <v>-4.7852000000000013E-2</v>
      </c>
      <c r="BL23" s="5">
        <v>0.11436629014166901</v>
      </c>
      <c r="BM23" s="5">
        <v>-6.9495462024450616E-2</v>
      </c>
      <c r="BN23" s="5">
        <v>3.8449999999999998E-2</v>
      </c>
      <c r="BO23" s="5">
        <v>3.6524941745999073E-2</v>
      </c>
      <c r="BP23" s="5">
        <v>-2.2474000000000001E-2</v>
      </c>
      <c r="BQ23" s="5">
        <v>7.2047901435266168E-2</v>
      </c>
      <c r="BR23" s="5">
        <v>0.1028225901803507</v>
      </c>
      <c r="BS23" s="5">
        <v>-0.2205670944023907</v>
      </c>
      <c r="BT23" s="5">
        <v>0.2181855</v>
      </c>
      <c r="BU23" s="5">
        <v>0.1056865</v>
      </c>
      <c r="BV23" s="5">
        <v>-5.326905055788838E-2</v>
      </c>
      <c r="BW23" s="5">
        <v>1.536251504309036E-2</v>
      </c>
      <c r="BX23" s="5">
        <v>-6.8729999999999999E-2</v>
      </c>
      <c r="BY23" s="5">
        <v>0.1182492339269558</v>
      </c>
      <c r="BZ23" s="5">
        <v>7.6697624318448621E-3</v>
      </c>
      <c r="CA23" s="5">
        <v>7.5653199746629096E-2</v>
      </c>
      <c r="CB23" s="5">
        <v>0.31616749999999999</v>
      </c>
      <c r="CC23" s="5">
        <v>-8.4545000000000009E-2</v>
      </c>
      <c r="CD23" s="5">
        <v>0.19167645501478511</v>
      </c>
      <c r="CE23" s="5">
        <v>5.9602000000000002E-2</v>
      </c>
      <c r="CF23" s="5">
        <v>0.15713490979116501</v>
      </c>
      <c r="CG23" s="5">
        <v>0.21663724162720299</v>
      </c>
      <c r="CH23" s="5">
        <v>0.18019644892142839</v>
      </c>
      <c r="CI23" s="5">
        <v>0.30989941712809688</v>
      </c>
      <c r="CJ23" s="5">
        <v>-0.15651589641790081</v>
      </c>
      <c r="CK23" s="5">
        <v>7.1856390536544607E-2</v>
      </c>
      <c r="CL23" s="5">
        <v>-0.40866101266741839</v>
      </c>
      <c r="CM23" s="5">
        <v>0.234705</v>
      </c>
      <c r="CN23" s="5">
        <v>0.27710426195606819</v>
      </c>
      <c r="CO23" s="5">
        <v>0.26615749999999999</v>
      </c>
      <c r="CP23" s="5">
        <v>0.31136074316275669</v>
      </c>
      <c r="CQ23" s="5">
        <v>-2.4702270079380868E-2</v>
      </c>
      <c r="CR23" s="5">
        <v>0.15099817047394759</v>
      </c>
      <c r="CS23" s="5">
        <v>6.5159884293212025E-2</v>
      </c>
      <c r="CT23" s="5">
        <v>6.5391499999999977E-2</v>
      </c>
      <c r="CU23" s="5">
        <v>0.20210388498715681</v>
      </c>
      <c r="CV23" s="5">
        <v>0.15333096827157461</v>
      </c>
      <c r="CW23" s="5">
        <v>-2.418628778900123E-2</v>
      </c>
      <c r="CX23" s="5">
        <v>-8.8716994096526336E-2</v>
      </c>
      <c r="CY23" s="5">
        <v>0.15375050000000001</v>
      </c>
      <c r="CZ23" s="5">
        <v>0.18199879385735121</v>
      </c>
      <c r="DA23" s="5">
        <v>6.4644999999999994E-2</v>
      </c>
      <c r="DB23" s="5">
        <v>1.8748000000000001E-2</v>
      </c>
      <c r="DC23" s="5">
        <v>0.1191904860704142</v>
      </c>
      <c r="DD23" s="5">
        <v>9.2798674677153081E-2</v>
      </c>
      <c r="DE23" s="5">
        <v>-6.0085947510171572E-2</v>
      </c>
      <c r="DF23" s="5">
        <v>0.40879749999999998</v>
      </c>
      <c r="DG23" s="5">
        <v>6.7622500000000002E-2</v>
      </c>
      <c r="DH23" s="5">
        <v>0.13922799999999999</v>
      </c>
      <c r="DI23" s="5">
        <v>9.6041000000000015E-2</v>
      </c>
      <c r="DJ23" s="5">
        <v>0.1200325818239187</v>
      </c>
      <c r="DK23" s="5">
        <v>9.1243500000000005E-2</v>
      </c>
      <c r="DL23" s="5">
        <v>2.6242652104624471E-2</v>
      </c>
      <c r="DM23" s="5">
        <v>-4.6476999999999997E-2</v>
      </c>
      <c r="DN23" s="5">
        <v>6.4971960439702253E-3</v>
      </c>
      <c r="DO23" s="5">
        <v>0.124068</v>
      </c>
      <c r="DP23" s="5">
        <v>0.17683961848490651</v>
      </c>
      <c r="DQ23" s="5">
        <v>0.24594610755878629</v>
      </c>
      <c r="DR23" s="5">
        <v>-8.9886002731306744E-2</v>
      </c>
      <c r="DS23" s="5">
        <v>-0.116578</v>
      </c>
      <c r="DT23" s="5">
        <v>-2.2296457069757209E-2</v>
      </c>
      <c r="DU23" s="5">
        <v>5.5638E-2</v>
      </c>
      <c r="DV23" s="5">
        <v>0.27627160832943959</v>
      </c>
      <c r="DW23" s="5">
        <v>2.305249999999999E-2</v>
      </c>
      <c r="DX23" s="5">
        <v>0.31349320637896622</v>
      </c>
      <c r="DY23" s="5">
        <v>-5.3925000000000001E-2</v>
      </c>
      <c r="DZ23" s="5">
        <v>-0.21717500000000001</v>
      </c>
      <c r="EA23" s="5">
        <v>-9.3362079468968795E-2</v>
      </c>
      <c r="EB23" s="5">
        <v>0.24428465812392219</v>
      </c>
      <c r="EC23" s="5">
        <v>-3.6584316325813361E-2</v>
      </c>
      <c r="ED23" s="5">
        <v>9.1425904619781034E-2</v>
      </c>
      <c r="EE23" s="5">
        <v>6.9210999999999995E-2</v>
      </c>
      <c r="EF23" s="5">
        <v>9.3413999999999997E-2</v>
      </c>
      <c r="EH23" s="4"/>
    </row>
    <row r="24" spans="1:138">
      <c r="A24" s="7">
        <v>964</v>
      </c>
      <c r="B24" s="7">
        <v>1</v>
      </c>
      <c r="C24" s="6">
        <v>9.9113000000000007E-2</v>
      </c>
      <c r="D24" s="5">
        <v>0.10061</v>
      </c>
      <c r="E24" s="5">
        <v>0.28451199999999999</v>
      </c>
      <c r="F24" s="5">
        <v>-0.20154571887164621</v>
      </c>
      <c r="G24" s="5">
        <v>-2.2622388562617651E-2</v>
      </c>
      <c r="H24" s="5">
        <v>3.5856000000000013E-2</v>
      </c>
      <c r="I24" s="5">
        <v>-2.111933203143501E-3</v>
      </c>
      <c r="J24" s="5">
        <v>-9.9972192910136135E-2</v>
      </c>
      <c r="K24" s="5">
        <v>5.0444335993488708E-2</v>
      </c>
      <c r="L24" s="5">
        <v>-9.3800000000000008E-2</v>
      </c>
      <c r="M24" s="5">
        <v>-0.14681933889950849</v>
      </c>
      <c r="N24" s="5">
        <v>1.7690319999999999</v>
      </c>
      <c r="O24" s="5">
        <v>3.6648790739543732E-2</v>
      </c>
      <c r="P24" s="5">
        <v>0.1042484144089995</v>
      </c>
      <c r="Q24" s="5">
        <v>-6.096496164670627E-2</v>
      </c>
      <c r="R24" s="5">
        <v>-0.24569737077925971</v>
      </c>
      <c r="S24" s="5">
        <v>0.35251446106016437</v>
      </c>
      <c r="T24" s="5">
        <v>-0.27048671467401741</v>
      </c>
      <c r="U24" s="5">
        <v>0.14851867422391801</v>
      </c>
      <c r="V24" s="5">
        <v>-6.7139302837628506E-2</v>
      </c>
      <c r="W24" s="5">
        <v>-0.16456200000000001</v>
      </c>
      <c r="X24" s="5">
        <v>-3.6157896361251968E-2</v>
      </c>
      <c r="Y24" s="5">
        <v>-9.4770149264170878E-3</v>
      </c>
      <c r="Z24" s="5">
        <v>0.10584232727880701</v>
      </c>
      <c r="AA24" s="5">
        <v>0.21854457969115479</v>
      </c>
      <c r="AB24" s="5">
        <v>0.1953396226752438</v>
      </c>
      <c r="AC24" s="5">
        <v>0.4017473338469546</v>
      </c>
      <c r="AD24" s="5">
        <v>0.101174</v>
      </c>
      <c r="AE24" s="5">
        <v>0.19314178971175811</v>
      </c>
      <c r="AF24" s="5">
        <v>0.49538941280416188</v>
      </c>
      <c r="AG24" s="5">
        <v>0.13873571762663761</v>
      </c>
      <c r="AH24" s="5">
        <v>-5.6697360067789589E-2</v>
      </c>
      <c r="AI24" s="5">
        <v>0.31041400000000002</v>
      </c>
      <c r="AJ24" s="5">
        <v>-8.089124399937539E-2</v>
      </c>
      <c r="AK24" s="5">
        <v>8.4883953068192297E-2</v>
      </c>
      <c r="AL24" s="5">
        <v>8.7173E-2</v>
      </c>
      <c r="AM24" s="5">
        <v>-1.89192814205267E-2</v>
      </c>
      <c r="AN24" s="5">
        <v>0.22118946514543131</v>
      </c>
      <c r="AO24" s="5">
        <v>0.1029057025777895</v>
      </c>
      <c r="AP24" s="5">
        <v>2.28517154890964E-2</v>
      </c>
      <c r="AQ24" s="5">
        <v>0.21712400000000001</v>
      </c>
      <c r="AR24" s="5">
        <v>0.17083300000000001</v>
      </c>
      <c r="AS24" s="5">
        <v>3.2867737066227462E-3</v>
      </c>
      <c r="AT24" s="5">
        <v>0.15076897992568081</v>
      </c>
      <c r="AU24" s="5">
        <v>0.47705399999999998</v>
      </c>
      <c r="AV24" s="5">
        <v>0.24768466023032751</v>
      </c>
      <c r="AW24" s="5">
        <v>-0.14871095653144009</v>
      </c>
      <c r="AX24" s="5">
        <v>0.1114913369162155</v>
      </c>
      <c r="AY24" s="5">
        <v>0.16812729388488939</v>
      </c>
      <c r="AZ24" s="5">
        <v>0.11862200000000001</v>
      </c>
      <c r="BA24" s="5">
        <v>5.0491000000000001E-2</v>
      </c>
      <c r="BB24" s="5">
        <v>0.87270314910649027</v>
      </c>
      <c r="BC24" s="5">
        <v>-4.366869614383373E-3</v>
      </c>
      <c r="BD24" s="5">
        <v>1.864E-2</v>
      </c>
      <c r="BE24" s="5">
        <v>-5.7380537985080138E-2</v>
      </c>
      <c r="BF24" s="5">
        <v>-6.4370420949463519E-2</v>
      </c>
      <c r="BG24" s="5">
        <v>-9.0984227707435611E-2</v>
      </c>
      <c r="BH24" s="5">
        <v>0.14767356525171971</v>
      </c>
      <c r="BI24" s="5">
        <v>0.2236291060700471</v>
      </c>
      <c r="BJ24" s="5">
        <v>0.19964000000000001</v>
      </c>
      <c r="BK24" s="5">
        <v>-3.483E-2</v>
      </c>
      <c r="BL24" s="5">
        <v>0.1061069201511666</v>
      </c>
      <c r="BM24" s="5">
        <v>8.4782939838988242E-2</v>
      </c>
      <c r="BN24" s="5">
        <v>0.10891099999999999</v>
      </c>
      <c r="BO24" s="5">
        <v>-0.16110969109564191</v>
      </c>
      <c r="BP24" s="5">
        <v>3.1793000000000002E-2</v>
      </c>
      <c r="BQ24" s="5">
        <v>-6.4169633330115036E-2</v>
      </c>
      <c r="BR24" s="5">
        <v>9.8920889185241626E-2</v>
      </c>
      <c r="BS24" s="5">
        <v>-0.1216210365296066</v>
      </c>
      <c r="BT24" s="5">
        <v>0.27671800000000002</v>
      </c>
      <c r="BU24" s="5">
        <v>8.7489999999999981E-3</v>
      </c>
      <c r="BV24" s="5">
        <v>-4.625870574066291E-2</v>
      </c>
      <c r="BW24" s="5">
        <v>0.15102744542241939</v>
      </c>
      <c r="BX24" s="5">
        <v>-0.10395</v>
      </c>
      <c r="BY24" s="5">
        <v>0.11840823105030179</v>
      </c>
      <c r="BZ24" s="5">
        <v>0.25889289884999689</v>
      </c>
      <c r="CA24" s="5">
        <v>0.1152216807734147</v>
      </c>
      <c r="CB24" s="5">
        <v>0.63969900000000002</v>
      </c>
      <c r="CC24" s="5">
        <v>-0.18246999999999999</v>
      </c>
      <c r="CD24" s="5">
        <v>0.14430631074219491</v>
      </c>
      <c r="CE24" s="5">
        <v>0.16556499999999999</v>
      </c>
      <c r="CF24" s="5">
        <v>0.2217213622453883</v>
      </c>
      <c r="CG24" s="5">
        <v>0.51996896607392207</v>
      </c>
      <c r="CH24" s="5">
        <v>0.35427729684250298</v>
      </c>
      <c r="CI24" s="5">
        <v>-0.3284518207092646</v>
      </c>
      <c r="CJ24" s="5">
        <v>-0.3001868935902553</v>
      </c>
      <c r="CK24" s="5">
        <v>0.32305926532838408</v>
      </c>
      <c r="CL24" s="5">
        <v>0.1417553333725407</v>
      </c>
      <c r="CM24" s="5">
        <v>0.63644000000000001</v>
      </c>
      <c r="CN24" s="5">
        <v>0.60967719726707426</v>
      </c>
      <c r="CO24" s="5">
        <v>0.45247399999999999</v>
      </c>
      <c r="CP24" s="5">
        <v>0.1603442048148421</v>
      </c>
      <c r="CQ24" s="5">
        <v>-0.1601896466275006</v>
      </c>
      <c r="CR24" s="5">
        <v>0.1377874560487031</v>
      </c>
      <c r="CS24" s="5">
        <v>0.1079742359390275</v>
      </c>
      <c r="CT24" s="5">
        <v>-0.119542</v>
      </c>
      <c r="CU24" s="5">
        <v>5.2729044813654813E-2</v>
      </c>
      <c r="CV24" s="5">
        <v>0.182864094907223</v>
      </c>
      <c r="CW24" s="5">
        <v>-0.234993215272846</v>
      </c>
      <c r="CX24" s="5">
        <v>5.5207193708687041E-2</v>
      </c>
      <c r="CY24" s="5">
        <v>0.32114799999999999</v>
      </c>
      <c r="CZ24" s="5">
        <v>0.11220662844456721</v>
      </c>
      <c r="DA24" s="5">
        <v>3.3980000000000003E-2</v>
      </c>
      <c r="DB24" s="5">
        <v>-1.6500000000000001E-2</v>
      </c>
      <c r="DC24" s="5">
        <v>0.19117575817053481</v>
      </c>
      <c r="DD24" s="5">
        <v>-0.19584472218244131</v>
      </c>
      <c r="DE24" s="5">
        <v>0.13158559129553279</v>
      </c>
      <c r="DF24" s="5">
        <v>0.52558799999999994</v>
      </c>
      <c r="DG24" s="5">
        <v>0.119545</v>
      </c>
      <c r="DH24" s="5">
        <v>0.26580500000000001</v>
      </c>
      <c r="DI24" s="5">
        <v>3.7185000000000003E-2</v>
      </c>
      <c r="DJ24" s="5">
        <v>0.2293698745310894</v>
      </c>
      <c r="DK24" s="5">
        <v>0.11967899999999999</v>
      </c>
      <c r="DL24" s="5">
        <v>6.1360513215416877E-2</v>
      </c>
      <c r="DM24" s="5">
        <v>-4.0999999999999723E-4</v>
      </c>
      <c r="DN24" s="5">
        <v>0.23333457077469619</v>
      </c>
      <c r="DO24" s="5">
        <v>0.115615</v>
      </c>
      <c r="DP24" s="5">
        <v>0.22357182348369681</v>
      </c>
      <c r="DQ24" s="5">
        <v>0.35907130209664839</v>
      </c>
      <c r="DR24" s="5">
        <v>-2.0515630212029241E-2</v>
      </c>
      <c r="DS24" s="5">
        <v>-6.7365999999999995E-2</v>
      </c>
      <c r="DT24" s="5">
        <v>-2.9435726388863388E-2</v>
      </c>
      <c r="DU24" s="5">
        <v>-2.178200000000001E-2</v>
      </c>
      <c r="DV24" s="5">
        <v>0.1582246986438143</v>
      </c>
      <c r="DW24" s="5">
        <v>0.101183</v>
      </c>
      <c r="DX24" s="5">
        <v>0.31159312779250392</v>
      </c>
      <c r="DY24" s="5">
        <v>-3.2399999999999998E-3</v>
      </c>
      <c r="DZ24" s="5">
        <v>-0.43351000000000001</v>
      </c>
      <c r="EA24" s="5">
        <v>-2.3171501846674901E-2</v>
      </c>
      <c r="EB24" s="5">
        <v>0.58969791699909047</v>
      </c>
      <c r="EC24" s="5">
        <v>-1.4309918770678909E-2</v>
      </c>
      <c r="ED24" s="5">
        <v>5.6172845298362112E-2</v>
      </c>
      <c r="EE24" s="5">
        <v>0.10748199999999999</v>
      </c>
      <c r="EF24" s="5">
        <v>0.13408500000000001</v>
      </c>
      <c r="EH24" s="4"/>
    </row>
    <row r="25" spans="1:138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8">
      <c r="A26" s="4" t="s">
        <v>145</v>
      </c>
      <c r="B26" s="4" t="s">
        <v>146</v>
      </c>
      <c r="C26" s="3">
        <v>-1.745E-2</v>
      </c>
      <c r="D26" s="3">
        <v>2.0701000000000001E-2</v>
      </c>
      <c r="E26" s="3">
        <v>2.3982E-2</v>
      </c>
      <c r="F26" s="3">
        <v>-6.5599999999999999E-3</v>
      </c>
      <c r="G26" s="3">
        <v>3.1844999999999998E-2</v>
      </c>
      <c r="H26" s="3">
        <v>3.4348999999999998E-2</v>
      </c>
      <c r="I26" s="3">
        <v>-8.2500000000000004E-3</v>
      </c>
      <c r="J26" s="3">
        <v>1.2844E-2</v>
      </c>
      <c r="K26" s="3">
        <v>-5.1020000000000003E-2</v>
      </c>
      <c r="L26" s="3">
        <v>8.7399999999999999E-4</v>
      </c>
      <c r="M26" s="3">
        <v>2.3390000000000001E-2</v>
      </c>
      <c r="N26" s="3">
        <v>1.2989000000000001E-2</v>
      </c>
      <c r="O26" s="3">
        <v>5.855E-3</v>
      </c>
      <c r="P26" s="3">
        <v>2.7413E-2</v>
      </c>
      <c r="Q26" s="3">
        <v>-3.7100000000000002E-3</v>
      </c>
      <c r="R26" s="3">
        <v>2.4077000000000001E-2</v>
      </c>
      <c r="S26" s="3">
        <v>-1.2189999999999999E-2</v>
      </c>
      <c r="T26" s="3">
        <v>-3.9750000000000001E-2</v>
      </c>
      <c r="U26" s="3">
        <v>-7.3160000000000003E-2</v>
      </c>
      <c r="V26" s="3">
        <v>-5.8259999999999999E-2</v>
      </c>
      <c r="W26" s="3">
        <v>7.7300000000000003E-4</v>
      </c>
      <c r="X26" s="3">
        <v>4.4592E-2</v>
      </c>
      <c r="Y26" s="3">
        <v>-2.7699999999999999E-2</v>
      </c>
      <c r="Z26" s="3">
        <v>2.0950000000000001E-3</v>
      </c>
      <c r="AA26" s="3">
        <v>-2.3400000000000001E-2</v>
      </c>
      <c r="AB26" s="3">
        <v>3.2128999999999998E-2</v>
      </c>
      <c r="AC26" s="3">
        <v>3.8903E-2</v>
      </c>
      <c r="AD26" s="3">
        <v>-4.2869999999999998E-2</v>
      </c>
      <c r="AE26" s="3">
        <v>1.8647E-2</v>
      </c>
      <c r="AF26" s="3">
        <v>1.523E-2</v>
      </c>
      <c r="AG26" s="3">
        <v>3.6017E-2</v>
      </c>
      <c r="AH26" s="3">
        <v>9.3550000000000005E-3</v>
      </c>
      <c r="AI26" s="3">
        <v>1.0748000000000001E-2</v>
      </c>
      <c r="AJ26" s="3">
        <v>1.3358E-2</v>
      </c>
      <c r="AK26" s="3">
        <v>-5.3299999999999997E-3</v>
      </c>
      <c r="AL26" s="3">
        <v>1.3829999999999999E-3</v>
      </c>
      <c r="AM26" s="3">
        <v>2.0795999999999999E-2</v>
      </c>
      <c r="AN26" s="3">
        <v>3.1517999999999997E-2</v>
      </c>
      <c r="AO26" s="3">
        <v>6.2420000000000002E-3</v>
      </c>
      <c r="AP26" s="3">
        <v>6.1450000000000003E-3</v>
      </c>
      <c r="AQ26" s="3">
        <v>1.6945999999999999E-2</v>
      </c>
      <c r="AR26" s="3">
        <v>3.4682999999999999E-2</v>
      </c>
      <c r="AS26" s="3">
        <v>3.0990000000000002E-3</v>
      </c>
      <c r="AT26" s="3">
        <v>1.5081000000000001E-2</v>
      </c>
      <c r="AU26" s="3">
        <v>-1.925E-2</v>
      </c>
      <c r="AV26" s="3">
        <v>3.8712000000000003E-2</v>
      </c>
      <c r="AW26" s="3">
        <v>-2.1860000000000001E-2</v>
      </c>
      <c r="AX26" s="3">
        <v>7.7739999999999997E-3</v>
      </c>
      <c r="AY26" s="3">
        <v>4.2396999999999997E-2</v>
      </c>
      <c r="AZ26" s="3">
        <v>-2.631E-2</v>
      </c>
      <c r="BA26" s="3">
        <v>9.5720000000000006E-3</v>
      </c>
      <c r="BB26" s="3">
        <v>-2.4250000000000001E-2</v>
      </c>
      <c r="BC26" s="3">
        <v>2.0163E-2</v>
      </c>
      <c r="BD26" s="3">
        <v>-3.5000000000000001E-3</v>
      </c>
      <c r="BE26" s="3">
        <v>2.0152E-2</v>
      </c>
      <c r="BF26" s="3">
        <v>5.8100000000000003E-4</v>
      </c>
      <c r="BG26" s="3">
        <v>-5.2199999999999998E-3</v>
      </c>
      <c r="BH26" s="3">
        <v>-0.11587</v>
      </c>
      <c r="BI26" s="3">
        <v>8.7250000000000001E-3</v>
      </c>
      <c r="BJ26" s="3">
        <v>-1.6379999999999999E-2</v>
      </c>
      <c r="BK26" s="3">
        <v>2.0840000000000001E-2</v>
      </c>
      <c r="BL26" s="3">
        <v>4.4976000000000002E-2</v>
      </c>
      <c r="BM26" s="3">
        <v>2.3954E-2</v>
      </c>
      <c r="BN26" s="3">
        <v>3.0238999999999999E-2</v>
      </c>
      <c r="BO26" s="3">
        <v>-4.3729999999999998E-2</v>
      </c>
      <c r="BP26" s="3">
        <v>2.1888999999999999E-2</v>
      </c>
      <c r="BQ26" s="3">
        <v>8.6269999999999993E-3</v>
      </c>
      <c r="BR26" s="3">
        <v>-1.9189999999999999E-2</v>
      </c>
      <c r="BS26" s="3">
        <v>1.9734999999999999E-2</v>
      </c>
      <c r="BT26" s="3">
        <v>4.7694E-2</v>
      </c>
      <c r="BU26" s="3">
        <v>1.1455E-2</v>
      </c>
      <c r="BV26" s="3">
        <v>4.3228999999999997E-2</v>
      </c>
      <c r="BW26" s="3">
        <v>-4.2750000000000003E-2</v>
      </c>
      <c r="BX26" s="3">
        <v>-1.7809999999999999E-2</v>
      </c>
      <c r="BY26" s="3">
        <v>-0.15115000000000001</v>
      </c>
      <c r="BZ26" s="3">
        <v>0.124224</v>
      </c>
      <c r="CA26" s="3">
        <v>-4.5599999999999998E-3</v>
      </c>
      <c r="CB26" s="3">
        <v>6.0211000000000001E-2</v>
      </c>
      <c r="CC26" s="3">
        <v>8.5991999999999999E-2</v>
      </c>
      <c r="CD26" s="3">
        <v>-5.8100000000000001E-3</v>
      </c>
      <c r="CE26" s="3">
        <v>-6.0400000000000002E-3</v>
      </c>
      <c r="CF26" s="3">
        <v>2.4520000000000002E-3</v>
      </c>
      <c r="CG26" s="3">
        <v>8.9635999999999993E-2</v>
      </c>
      <c r="CH26" s="3">
        <v>7.0993000000000001E-2</v>
      </c>
      <c r="CI26" s="3">
        <v>2.7171000000000001E-2</v>
      </c>
      <c r="CJ26" s="3">
        <v>5.2468000000000001E-2</v>
      </c>
      <c r="CK26" s="3">
        <v>2.9481E-2</v>
      </c>
      <c r="CL26" s="3">
        <v>6.6824999999999996E-2</v>
      </c>
      <c r="CM26" s="3">
        <v>-2.877E-2</v>
      </c>
      <c r="CN26" s="3">
        <v>3.9462999999999998E-2</v>
      </c>
      <c r="CO26" s="3">
        <v>-2.903E-2</v>
      </c>
      <c r="CP26" s="3">
        <v>1.3984E-2</v>
      </c>
      <c r="CQ26" s="3">
        <v>-3.2280000000000003E-2</v>
      </c>
      <c r="CR26" s="3">
        <v>3.104E-3</v>
      </c>
      <c r="CS26" s="3">
        <v>2.5592E-2</v>
      </c>
      <c r="CT26" s="3">
        <v>4.4392000000000001E-2</v>
      </c>
      <c r="CU26" s="3">
        <v>-3.0339999999999999E-2</v>
      </c>
      <c r="CV26" s="3">
        <v>-1.2600000000000001E-3</v>
      </c>
      <c r="CW26" s="3">
        <v>2.336E-3</v>
      </c>
      <c r="CX26" s="3">
        <v>-6.4259999999999998E-2</v>
      </c>
      <c r="CY26" s="3">
        <v>1.291E-2</v>
      </c>
      <c r="CZ26" s="3">
        <v>-0.12548000000000001</v>
      </c>
      <c r="DA26" s="3">
        <v>1.1691E-2</v>
      </c>
      <c r="DB26" s="3">
        <v>6.3379999999999999E-3</v>
      </c>
      <c r="DC26" s="3">
        <v>-0.11731</v>
      </c>
      <c r="DD26" s="3">
        <v>-3.601E-2</v>
      </c>
      <c r="DE26" s="3">
        <v>0.13891100000000001</v>
      </c>
      <c r="DF26" s="3">
        <v>-5.1139999999999998E-2</v>
      </c>
      <c r="DG26" s="3">
        <v>7.6730999999999994E-2</v>
      </c>
      <c r="DH26" s="3">
        <v>1.5509E-2</v>
      </c>
      <c r="DI26" s="3">
        <v>2.3224000000000002E-2</v>
      </c>
      <c r="DJ26" s="3">
        <v>-1.8370000000000001E-2</v>
      </c>
      <c r="DK26" s="3">
        <v>6.2198999999999997E-2</v>
      </c>
      <c r="DL26" s="3">
        <v>2.0098000000000001E-2</v>
      </c>
      <c r="DM26" s="3">
        <v>1.3499000000000001E-2</v>
      </c>
      <c r="DN26" s="3">
        <v>-3.0249999999999999E-2</v>
      </c>
      <c r="DO26" s="3">
        <v>-1.702E-2</v>
      </c>
      <c r="DP26" s="3">
        <v>-2.179E-2</v>
      </c>
      <c r="DQ26" s="3">
        <v>8.5746000000000003E-2</v>
      </c>
      <c r="DR26" s="3">
        <v>2.8107E-2</v>
      </c>
      <c r="DS26" s="3">
        <v>-2.3E-3</v>
      </c>
      <c r="DT26" s="3">
        <v>5.8471000000000002E-2</v>
      </c>
      <c r="DU26" s="3">
        <v>6.7658999999999997E-2</v>
      </c>
      <c r="DV26" s="3">
        <v>5.0210000000000003E-3</v>
      </c>
      <c r="DW26" s="3">
        <v>3.7415999999999998E-2</v>
      </c>
      <c r="DX26" s="3">
        <v>8.4111000000000005E-2</v>
      </c>
      <c r="DY26" s="3">
        <v>-3.6830000000000002E-2</v>
      </c>
      <c r="DZ26" s="3">
        <v>3.0920000000000001E-3</v>
      </c>
      <c r="EA26" s="3">
        <v>-1.9599999999999999E-3</v>
      </c>
      <c r="EB26" s="3">
        <v>2.6459E-2</v>
      </c>
      <c r="EC26" s="3">
        <v>-2.4750000000000001E-2</v>
      </c>
      <c r="ED26" s="3">
        <v>3.4114999999999999E-2</v>
      </c>
      <c r="EE26" s="3">
        <v>2.1062000000000001E-2</v>
      </c>
      <c r="EF26" s="2">
        <v>-2.0277392706005901E-2</v>
      </c>
    </row>
    <row r="28" spans="1:138" ht="15">
      <c r="B28" s="21" t="s">
        <v>236</v>
      </c>
      <c r="C28" s="22">
        <v>5455</v>
      </c>
      <c r="D28" s="22">
        <v>5455</v>
      </c>
      <c r="E28" s="22">
        <v>5455</v>
      </c>
      <c r="F28" s="22">
        <v>6130</v>
      </c>
      <c r="G28" s="22">
        <v>6130</v>
      </c>
      <c r="H28" s="22">
        <v>5455</v>
      </c>
      <c r="I28" s="22">
        <v>6114</v>
      </c>
      <c r="J28" s="22">
        <v>6242</v>
      </c>
      <c r="K28" s="22">
        <v>5324</v>
      </c>
      <c r="L28" s="22">
        <v>5455</v>
      </c>
      <c r="M28" s="22">
        <v>5324</v>
      </c>
      <c r="N28" s="22">
        <v>5455</v>
      </c>
      <c r="O28" s="22">
        <v>5324</v>
      </c>
      <c r="P28" s="22">
        <v>5455</v>
      </c>
      <c r="Q28" s="22">
        <v>5455</v>
      </c>
      <c r="R28" s="22">
        <v>5455</v>
      </c>
      <c r="S28" s="22">
        <v>5455</v>
      </c>
      <c r="T28" s="22">
        <v>2439</v>
      </c>
      <c r="U28" s="22">
        <v>4413</v>
      </c>
      <c r="V28" s="22">
        <v>4413</v>
      </c>
      <c r="W28" s="22">
        <v>6291</v>
      </c>
      <c r="X28" s="22">
        <v>2388</v>
      </c>
      <c r="Y28" s="22">
        <v>8044</v>
      </c>
      <c r="Z28" s="22">
        <v>6225</v>
      </c>
      <c r="AA28" s="22">
        <v>6259</v>
      </c>
      <c r="AB28" s="22">
        <v>6225</v>
      </c>
      <c r="AC28" s="22">
        <v>9906</v>
      </c>
      <c r="AD28" s="22">
        <v>6291</v>
      </c>
      <c r="AE28" s="22">
        <v>5381</v>
      </c>
      <c r="AF28" s="22">
        <v>5455</v>
      </c>
      <c r="AG28" s="22">
        <v>6225</v>
      </c>
      <c r="AH28" s="22">
        <v>6225</v>
      </c>
      <c r="AI28" s="22">
        <v>6291</v>
      </c>
      <c r="AJ28" s="22">
        <v>6225</v>
      </c>
      <c r="AK28" s="22">
        <v>6225</v>
      </c>
      <c r="AL28" s="22">
        <v>6291</v>
      </c>
      <c r="AM28" s="22">
        <v>6225</v>
      </c>
      <c r="AN28" s="22">
        <v>6225</v>
      </c>
      <c r="AO28" s="22">
        <v>6259</v>
      </c>
      <c r="AP28" s="22">
        <v>6225</v>
      </c>
      <c r="AQ28" s="22">
        <v>6291</v>
      </c>
      <c r="AR28" s="22">
        <v>6291</v>
      </c>
      <c r="AS28" s="22">
        <v>3064</v>
      </c>
      <c r="AT28" s="22">
        <v>3064</v>
      </c>
      <c r="AU28" s="22">
        <v>6291</v>
      </c>
      <c r="AV28" s="22">
        <v>3064</v>
      </c>
      <c r="AW28" s="22">
        <v>5205</v>
      </c>
      <c r="AX28" s="22">
        <v>3064</v>
      </c>
      <c r="AY28" s="22">
        <v>6225</v>
      </c>
      <c r="AZ28" s="22">
        <v>6291</v>
      </c>
      <c r="BA28" s="22">
        <v>6291</v>
      </c>
      <c r="BB28" s="22">
        <v>4903</v>
      </c>
      <c r="BC28" s="22">
        <v>4903</v>
      </c>
      <c r="BD28" s="22">
        <v>6291</v>
      </c>
      <c r="BE28" s="22">
        <v>6165</v>
      </c>
      <c r="BF28" s="22">
        <v>6165</v>
      </c>
      <c r="BG28" s="22">
        <v>6165</v>
      </c>
      <c r="BH28" s="22">
        <v>6165</v>
      </c>
      <c r="BI28" s="22">
        <v>6225</v>
      </c>
      <c r="BJ28" s="22">
        <v>4402</v>
      </c>
      <c r="BK28" s="22">
        <v>1475</v>
      </c>
      <c r="BL28" s="22">
        <v>4303</v>
      </c>
      <c r="BM28" s="22">
        <v>4303</v>
      </c>
      <c r="BN28" s="22">
        <v>1475</v>
      </c>
      <c r="BO28" s="22">
        <v>6225</v>
      </c>
      <c r="BP28" s="22">
        <v>1475</v>
      </c>
      <c r="BQ28" s="22">
        <v>6225</v>
      </c>
      <c r="BR28" s="22">
        <v>4303</v>
      </c>
      <c r="BS28" s="22">
        <v>3085</v>
      </c>
      <c r="BT28" s="22">
        <v>1475</v>
      </c>
      <c r="BU28" s="22">
        <v>1475</v>
      </c>
      <c r="BV28" s="22">
        <v>5310</v>
      </c>
      <c r="BW28" s="22">
        <v>3085</v>
      </c>
      <c r="BX28" s="22">
        <v>5205</v>
      </c>
      <c r="BY28" s="22">
        <v>3085</v>
      </c>
      <c r="BZ28" s="22">
        <v>8080</v>
      </c>
      <c r="CA28" s="22">
        <v>8080</v>
      </c>
      <c r="CB28" s="22">
        <v>5205</v>
      </c>
      <c r="CC28" s="22">
        <v>8087</v>
      </c>
      <c r="CD28" s="22">
        <v>5205</v>
      </c>
      <c r="CE28" s="22">
        <v>5205</v>
      </c>
      <c r="CF28" s="22">
        <v>5205</v>
      </c>
      <c r="CG28" s="22">
        <v>8070</v>
      </c>
      <c r="CH28" s="22">
        <v>5205</v>
      </c>
      <c r="CI28" s="22">
        <v>5205</v>
      </c>
      <c r="CJ28" s="22">
        <v>8070</v>
      </c>
      <c r="CK28" s="22">
        <v>8070</v>
      </c>
      <c r="CL28" s="22">
        <v>8080</v>
      </c>
      <c r="CM28" s="22">
        <v>5205</v>
      </c>
      <c r="CN28" s="22">
        <v>8070</v>
      </c>
      <c r="CO28" s="22">
        <v>5205</v>
      </c>
      <c r="CP28" s="22">
        <v>6287</v>
      </c>
      <c r="CQ28" s="22">
        <v>1325</v>
      </c>
      <c r="CR28" s="22">
        <v>3043</v>
      </c>
      <c r="CS28" s="22">
        <v>1325</v>
      </c>
      <c r="CT28" s="22">
        <v>5205</v>
      </c>
      <c r="CU28" s="22">
        <v>3064</v>
      </c>
      <c r="CV28" s="22">
        <v>1325</v>
      </c>
      <c r="CW28" s="22">
        <v>6276</v>
      </c>
      <c r="CX28" s="22">
        <v>8101</v>
      </c>
      <c r="CY28" s="22">
        <v>5205</v>
      </c>
      <c r="CZ28" s="22">
        <v>8101</v>
      </c>
      <c r="DA28" s="22">
        <v>1538</v>
      </c>
      <c r="DB28" s="22">
        <v>5314</v>
      </c>
      <c r="DC28" s="22">
        <v>6225</v>
      </c>
      <c r="DD28" s="22">
        <v>2007</v>
      </c>
      <c r="DE28" s="22">
        <v>2486</v>
      </c>
      <c r="DF28" s="22">
        <v>6225</v>
      </c>
      <c r="DG28" s="22">
        <v>5314</v>
      </c>
      <c r="DH28" s="22">
        <v>1538</v>
      </c>
      <c r="DI28" s="22">
        <v>8080</v>
      </c>
      <c r="DJ28" s="22">
        <v>6104</v>
      </c>
      <c r="DK28" s="22">
        <v>8080</v>
      </c>
      <c r="DL28" s="22">
        <v>5468</v>
      </c>
      <c r="DM28" s="22">
        <v>8080</v>
      </c>
      <c r="DN28" s="22">
        <v>8084</v>
      </c>
      <c r="DO28" s="22">
        <v>8080</v>
      </c>
      <c r="DP28" s="22">
        <v>8933</v>
      </c>
      <c r="DQ28" s="22">
        <v>8933</v>
      </c>
      <c r="DR28" s="22">
        <v>4419</v>
      </c>
      <c r="DS28" s="22">
        <v>2321</v>
      </c>
      <c r="DT28" s="22">
        <v>8933</v>
      </c>
      <c r="DU28" s="22">
        <v>5345</v>
      </c>
      <c r="DV28" s="22">
        <v>4419</v>
      </c>
      <c r="DW28" s="22">
        <v>4304</v>
      </c>
      <c r="DX28" s="22">
        <v>4419</v>
      </c>
      <c r="DY28" s="22">
        <v>2321</v>
      </c>
      <c r="DZ28" s="22">
        <v>8101</v>
      </c>
      <c r="EA28" s="22">
        <v>6235</v>
      </c>
      <c r="EB28" s="22">
        <v>6235</v>
      </c>
      <c r="EC28" s="22">
        <v>6287</v>
      </c>
      <c r="ED28" s="22">
        <v>6287</v>
      </c>
      <c r="EE28" s="22">
        <v>2321</v>
      </c>
      <c r="EF28" s="22">
        <v>2321</v>
      </c>
    </row>
    <row r="29" spans="1:138" ht="15">
      <c r="B29" s="21" t="s">
        <v>237</v>
      </c>
      <c r="C29" s="22" t="s">
        <v>147</v>
      </c>
      <c r="D29" s="22" t="s">
        <v>147</v>
      </c>
      <c r="E29" s="22" t="s">
        <v>147</v>
      </c>
      <c r="F29" s="22" t="s">
        <v>148</v>
      </c>
      <c r="G29" s="22" t="s">
        <v>148</v>
      </c>
      <c r="H29" s="22" t="s">
        <v>147</v>
      </c>
      <c r="I29" s="22" t="s">
        <v>149</v>
      </c>
      <c r="J29" s="22" t="s">
        <v>150</v>
      </c>
      <c r="K29" s="22" t="s">
        <v>151</v>
      </c>
      <c r="L29" s="22" t="s">
        <v>147</v>
      </c>
      <c r="M29" s="22" t="s">
        <v>151</v>
      </c>
      <c r="N29" s="22" t="s">
        <v>147</v>
      </c>
      <c r="O29" s="22" t="s">
        <v>151</v>
      </c>
      <c r="P29" s="22" t="s">
        <v>147</v>
      </c>
      <c r="Q29" s="22" t="s">
        <v>147</v>
      </c>
      <c r="R29" s="22" t="s">
        <v>147</v>
      </c>
      <c r="S29" s="22" t="s">
        <v>147</v>
      </c>
      <c r="T29" s="22" t="s">
        <v>152</v>
      </c>
      <c r="U29" s="22" t="s">
        <v>153</v>
      </c>
      <c r="V29" s="22" t="s">
        <v>153</v>
      </c>
      <c r="W29" s="22" t="s">
        <v>154</v>
      </c>
      <c r="X29" s="22" t="s">
        <v>155</v>
      </c>
      <c r="Y29" s="22" t="s">
        <v>156</v>
      </c>
      <c r="Z29" s="22" t="s">
        <v>157</v>
      </c>
      <c r="AA29" s="22" t="s">
        <v>158</v>
      </c>
      <c r="AB29" s="22" t="s">
        <v>157</v>
      </c>
      <c r="AC29" s="22" t="s">
        <v>159</v>
      </c>
      <c r="AD29" s="22" t="s">
        <v>154</v>
      </c>
      <c r="AE29" s="22" t="s">
        <v>160</v>
      </c>
      <c r="AF29" s="22" t="s">
        <v>147</v>
      </c>
      <c r="AG29" s="22" t="s">
        <v>157</v>
      </c>
      <c r="AH29" s="22" t="s">
        <v>157</v>
      </c>
      <c r="AI29" s="22" t="s">
        <v>154</v>
      </c>
      <c r="AJ29" s="22" t="s">
        <v>157</v>
      </c>
      <c r="AK29" s="22" t="s">
        <v>157</v>
      </c>
      <c r="AL29" s="22" t="s">
        <v>154</v>
      </c>
      <c r="AM29" s="22" t="s">
        <v>157</v>
      </c>
      <c r="AN29" s="22" t="s">
        <v>157</v>
      </c>
      <c r="AO29" s="22" t="s">
        <v>158</v>
      </c>
      <c r="AP29" s="22" t="s">
        <v>157</v>
      </c>
      <c r="AQ29" s="22" t="s">
        <v>154</v>
      </c>
      <c r="AR29" s="22" t="s">
        <v>154</v>
      </c>
      <c r="AS29" s="22" t="s">
        <v>161</v>
      </c>
      <c r="AT29" s="22" t="s">
        <v>161</v>
      </c>
      <c r="AU29" s="22" t="s">
        <v>154</v>
      </c>
      <c r="AV29" s="22" t="s">
        <v>161</v>
      </c>
      <c r="AW29" s="22" t="s">
        <v>162</v>
      </c>
      <c r="AX29" s="22" t="s">
        <v>161</v>
      </c>
      <c r="AY29" s="22" t="s">
        <v>157</v>
      </c>
      <c r="AZ29" s="22" t="s">
        <v>154</v>
      </c>
      <c r="BA29" s="22" t="s">
        <v>154</v>
      </c>
      <c r="BB29" s="22" t="s">
        <v>163</v>
      </c>
      <c r="BC29" s="22" t="s">
        <v>163</v>
      </c>
      <c r="BD29" s="22" t="s">
        <v>154</v>
      </c>
      <c r="BE29" s="22" t="s">
        <v>164</v>
      </c>
      <c r="BF29" s="22" t="s">
        <v>164</v>
      </c>
      <c r="BG29" s="22" t="s">
        <v>164</v>
      </c>
      <c r="BH29" s="22" t="s">
        <v>164</v>
      </c>
      <c r="BI29" s="22" t="s">
        <v>157</v>
      </c>
      <c r="BJ29" s="22" t="s">
        <v>165</v>
      </c>
      <c r="BK29" s="22" t="s">
        <v>166</v>
      </c>
      <c r="BL29" s="22" t="s">
        <v>167</v>
      </c>
      <c r="BM29" s="22" t="s">
        <v>167</v>
      </c>
      <c r="BN29" s="22" t="s">
        <v>166</v>
      </c>
      <c r="BO29" s="22" t="s">
        <v>157</v>
      </c>
      <c r="BP29" s="22" t="s">
        <v>166</v>
      </c>
      <c r="BQ29" s="22" t="s">
        <v>157</v>
      </c>
      <c r="BR29" s="22" t="s">
        <v>167</v>
      </c>
      <c r="BS29" s="22" t="s">
        <v>168</v>
      </c>
      <c r="BT29" s="22" t="s">
        <v>166</v>
      </c>
      <c r="BU29" s="22" t="s">
        <v>166</v>
      </c>
      <c r="BV29" s="22" t="s">
        <v>169</v>
      </c>
      <c r="BW29" s="22" t="s">
        <v>168</v>
      </c>
      <c r="BX29" s="22" t="s">
        <v>162</v>
      </c>
      <c r="BY29" s="22" t="s">
        <v>168</v>
      </c>
      <c r="BZ29" s="22" t="s">
        <v>170</v>
      </c>
      <c r="CA29" s="22" t="s">
        <v>170</v>
      </c>
      <c r="CB29" s="22" t="s">
        <v>162</v>
      </c>
      <c r="CC29" s="22" t="s">
        <v>171</v>
      </c>
      <c r="CD29" s="22" t="s">
        <v>162</v>
      </c>
      <c r="CE29" s="22" t="s">
        <v>162</v>
      </c>
      <c r="CF29" s="22" t="s">
        <v>162</v>
      </c>
      <c r="CG29" s="22" t="s">
        <v>172</v>
      </c>
      <c r="CH29" s="22" t="s">
        <v>162</v>
      </c>
      <c r="CI29" s="22" t="s">
        <v>162</v>
      </c>
      <c r="CJ29" s="22" t="s">
        <v>172</v>
      </c>
      <c r="CK29" s="22" t="s">
        <v>172</v>
      </c>
      <c r="CL29" s="22" t="s">
        <v>170</v>
      </c>
      <c r="CM29" s="22" t="s">
        <v>162</v>
      </c>
      <c r="CN29" s="22" t="s">
        <v>172</v>
      </c>
      <c r="CO29" s="22" t="s">
        <v>162</v>
      </c>
      <c r="CP29" s="22" t="s">
        <v>173</v>
      </c>
      <c r="CQ29" s="22" t="s">
        <v>174</v>
      </c>
      <c r="CR29" s="22" t="s">
        <v>175</v>
      </c>
      <c r="CS29" s="22" t="s">
        <v>174</v>
      </c>
      <c r="CT29" s="22" t="s">
        <v>162</v>
      </c>
      <c r="CU29" s="22" t="s">
        <v>161</v>
      </c>
      <c r="CV29" s="22" t="s">
        <v>174</v>
      </c>
      <c r="CW29" s="22" t="s">
        <v>176</v>
      </c>
      <c r="CX29" s="22" t="s">
        <v>177</v>
      </c>
      <c r="CY29" s="22" t="s">
        <v>162</v>
      </c>
      <c r="CZ29" s="22" t="s">
        <v>177</v>
      </c>
      <c r="DA29" s="22" t="s">
        <v>178</v>
      </c>
      <c r="DB29" s="22" t="s">
        <v>179</v>
      </c>
      <c r="DC29" s="22" t="s">
        <v>157</v>
      </c>
      <c r="DD29" s="22" t="s">
        <v>180</v>
      </c>
      <c r="DE29" s="22" t="s">
        <v>181</v>
      </c>
      <c r="DF29" s="22" t="s">
        <v>157</v>
      </c>
      <c r="DG29" s="22" t="s">
        <v>179</v>
      </c>
      <c r="DH29" s="22" t="s">
        <v>178</v>
      </c>
      <c r="DI29" s="22" t="s">
        <v>170</v>
      </c>
      <c r="DJ29" s="22" t="s">
        <v>182</v>
      </c>
      <c r="DK29" s="22" t="s">
        <v>170</v>
      </c>
      <c r="DL29" s="22" t="s">
        <v>183</v>
      </c>
      <c r="DM29" s="22" t="s">
        <v>170</v>
      </c>
      <c r="DN29" s="22" t="s">
        <v>184</v>
      </c>
      <c r="DO29" s="22" t="s">
        <v>170</v>
      </c>
      <c r="DP29" s="22" t="s">
        <v>185</v>
      </c>
      <c r="DQ29" s="22" t="s">
        <v>185</v>
      </c>
      <c r="DR29" s="22" t="s">
        <v>186</v>
      </c>
      <c r="DS29" s="22" t="s">
        <v>187</v>
      </c>
      <c r="DT29" s="22" t="s">
        <v>185</v>
      </c>
      <c r="DU29" s="22" t="s">
        <v>188</v>
      </c>
      <c r="DV29" s="22" t="s">
        <v>186</v>
      </c>
      <c r="DW29" s="22" t="s">
        <v>189</v>
      </c>
      <c r="DX29" s="22" t="s">
        <v>186</v>
      </c>
      <c r="DY29" s="22" t="s">
        <v>187</v>
      </c>
      <c r="DZ29" s="22" t="s">
        <v>177</v>
      </c>
      <c r="EA29" s="22" t="s">
        <v>190</v>
      </c>
      <c r="EB29" s="22" t="s">
        <v>190</v>
      </c>
      <c r="EC29" s="22" t="s">
        <v>173</v>
      </c>
      <c r="ED29" s="22" t="s">
        <v>173</v>
      </c>
      <c r="EE29" s="22" t="s">
        <v>187</v>
      </c>
      <c r="EF29" s="22" t="s">
        <v>187</v>
      </c>
    </row>
    <row r="30" spans="1:138" ht="15">
      <c r="B30" s="21" t="s">
        <v>238</v>
      </c>
      <c r="C30" s="22">
        <v>2330</v>
      </c>
      <c r="D30" s="22">
        <v>2330</v>
      </c>
      <c r="E30" s="22">
        <v>2330</v>
      </c>
      <c r="F30" s="22">
        <v>5364</v>
      </c>
      <c r="G30" s="22">
        <v>5364</v>
      </c>
      <c r="H30" s="22">
        <v>2330</v>
      </c>
      <c r="I30" s="22">
        <v>2323</v>
      </c>
      <c r="J30" s="22">
        <v>2323</v>
      </c>
      <c r="K30" s="22">
        <v>5364</v>
      </c>
      <c r="L30" s="22">
        <v>2330</v>
      </c>
      <c r="M30" s="22">
        <v>5364</v>
      </c>
      <c r="N30" s="22">
        <v>2330</v>
      </c>
      <c r="O30" s="22">
        <v>2408</v>
      </c>
      <c r="P30" s="22">
        <v>2323</v>
      </c>
      <c r="Q30" s="22">
        <v>2323</v>
      </c>
      <c r="R30" s="22">
        <v>2323</v>
      </c>
      <c r="S30" s="22">
        <v>2323</v>
      </c>
      <c r="T30" s="22">
        <v>2408</v>
      </c>
      <c r="U30" s="22">
        <v>2323</v>
      </c>
      <c r="V30" s="22">
        <v>2323</v>
      </c>
      <c r="W30" s="22">
        <v>2330</v>
      </c>
      <c r="X30" s="22">
        <v>5455</v>
      </c>
      <c r="Y30" s="22">
        <v>2323</v>
      </c>
      <c r="Z30" s="22">
        <v>2323</v>
      </c>
      <c r="AA30" s="22">
        <v>4502</v>
      </c>
      <c r="AB30" s="22">
        <v>2323</v>
      </c>
      <c r="AC30" s="22">
        <v>4502</v>
      </c>
      <c r="AD30" s="22">
        <v>2330</v>
      </c>
      <c r="AE30" s="22">
        <v>4502</v>
      </c>
      <c r="AF30" s="22">
        <v>4502</v>
      </c>
      <c r="AG30" s="22">
        <v>1314</v>
      </c>
      <c r="AH30" s="22">
        <v>2323</v>
      </c>
      <c r="AI30" s="22">
        <v>2330</v>
      </c>
      <c r="AJ30" s="22">
        <v>2323</v>
      </c>
      <c r="AK30" s="22">
        <v>2323</v>
      </c>
      <c r="AL30" s="22">
        <v>2330</v>
      </c>
      <c r="AM30" s="22">
        <v>2323</v>
      </c>
      <c r="AN30" s="22">
        <v>2323</v>
      </c>
      <c r="AO30" s="22">
        <v>6283</v>
      </c>
      <c r="AP30" s="22">
        <v>2323</v>
      </c>
      <c r="AQ30" s="22">
        <v>2330</v>
      </c>
      <c r="AR30" s="22">
        <v>2330</v>
      </c>
      <c r="AS30" s="22">
        <v>2496</v>
      </c>
      <c r="AT30" s="22">
        <v>2496</v>
      </c>
      <c r="AU30" s="22">
        <v>2330</v>
      </c>
      <c r="AV30" s="22">
        <v>2337</v>
      </c>
      <c r="AW30" s="22">
        <v>2337</v>
      </c>
      <c r="AX30" s="22">
        <v>2337</v>
      </c>
      <c r="AY30" s="22">
        <v>3252</v>
      </c>
      <c r="AZ30" s="22">
        <v>2330</v>
      </c>
      <c r="BA30" s="22">
        <v>2330</v>
      </c>
      <c r="BB30" s="22">
        <v>6150</v>
      </c>
      <c r="BC30" s="22">
        <v>6150</v>
      </c>
      <c r="BD30" s="22">
        <v>2330</v>
      </c>
      <c r="BE30" s="22">
        <v>2342</v>
      </c>
      <c r="BF30" s="22">
        <v>2342</v>
      </c>
      <c r="BG30" s="22">
        <v>2342</v>
      </c>
      <c r="BH30" s="22">
        <v>2342</v>
      </c>
      <c r="BI30" s="22">
        <v>1906</v>
      </c>
      <c r="BJ30" s="22">
        <v>2330</v>
      </c>
      <c r="BK30" s="22">
        <v>2330</v>
      </c>
      <c r="BL30" s="22">
        <v>1529</v>
      </c>
      <c r="BM30" s="22">
        <v>1529</v>
      </c>
      <c r="BN30" s="22">
        <v>2330</v>
      </c>
      <c r="BO30" s="22">
        <v>8085</v>
      </c>
      <c r="BP30" s="22">
        <v>2330</v>
      </c>
      <c r="BQ30" s="22">
        <v>3252</v>
      </c>
      <c r="BR30" s="22">
        <v>1529</v>
      </c>
      <c r="BS30" s="22">
        <v>1529</v>
      </c>
      <c r="BT30" s="22">
        <v>2330</v>
      </c>
      <c r="BU30" s="22">
        <v>2330</v>
      </c>
      <c r="BV30" s="22">
        <v>1529</v>
      </c>
      <c r="BW30" s="22">
        <v>5340</v>
      </c>
      <c r="BX30" s="22">
        <v>2330</v>
      </c>
      <c r="BY30" s="22">
        <v>2429</v>
      </c>
      <c r="BZ30" s="22">
        <v>5608</v>
      </c>
      <c r="CA30" s="22">
        <v>5608</v>
      </c>
      <c r="CB30" s="22">
        <v>2330</v>
      </c>
      <c r="CC30" s="22">
        <v>2330</v>
      </c>
      <c r="CD30" s="22">
        <v>5608</v>
      </c>
      <c r="CE30" s="22">
        <v>2330</v>
      </c>
      <c r="CF30" s="22">
        <v>1314</v>
      </c>
      <c r="CG30" s="22">
        <v>1325</v>
      </c>
      <c r="CH30" s="22">
        <v>1314</v>
      </c>
      <c r="CI30" s="22">
        <v>3252</v>
      </c>
      <c r="CJ30" s="22">
        <v>6204</v>
      </c>
      <c r="CK30" s="22">
        <v>6259</v>
      </c>
      <c r="CL30" s="22">
        <v>3252</v>
      </c>
      <c r="CM30" s="22">
        <v>2330</v>
      </c>
      <c r="CN30" s="22">
        <v>2609</v>
      </c>
      <c r="CO30" s="22">
        <v>2330</v>
      </c>
      <c r="CP30" s="22">
        <v>3252</v>
      </c>
      <c r="CQ30" s="22">
        <v>5475</v>
      </c>
      <c r="CR30" s="22">
        <v>2609</v>
      </c>
      <c r="CS30" s="22">
        <v>2609</v>
      </c>
      <c r="CT30" s="22">
        <v>2330</v>
      </c>
      <c r="CU30" s="22">
        <v>5475</v>
      </c>
      <c r="CV30" s="22">
        <v>5475</v>
      </c>
      <c r="CW30" s="22">
        <v>5475</v>
      </c>
      <c r="CX30" s="22">
        <v>1906</v>
      </c>
      <c r="CY30" s="22">
        <v>2330</v>
      </c>
      <c r="CZ30" s="22">
        <v>1906</v>
      </c>
      <c r="DA30" s="22">
        <v>2330</v>
      </c>
      <c r="DB30" s="22">
        <v>2330</v>
      </c>
      <c r="DC30" s="22">
        <v>1314</v>
      </c>
      <c r="DD30" s="22">
        <v>2364</v>
      </c>
      <c r="DE30" s="22">
        <v>2364</v>
      </c>
      <c r="DF30" s="22">
        <v>2330</v>
      </c>
      <c r="DG30" s="22">
        <v>2330</v>
      </c>
      <c r="DH30" s="22">
        <v>2330</v>
      </c>
      <c r="DI30" s="22">
        <v>2330</v>
      </c>
      <c r="DJ30" s="22">
        <v>3043</v>
      </c>
      <c r="DK30" s="22">
        <v>2330</v>
      </c>
      <c r="DL30" s="22">
        <v>3043</v>
      </c>
      <c r="DM30" s="22">
        <v>2330</v>
      </c>
      <c r="DN30" s="22">
        <v>2603</v>
      </c>
      <c r="DO30" s="22">
        <v>2330</v>
      </c>
      <c r="DP30" s="22">
        <v>3043</v>
      </c>
      <c r="DQ30" s="22">
        <v>5314</v>
      </c>
      <c r="DR30" s="22">
        <v>1906</v>
      </c>
      <c r="DS30" s="22">
        <v>2330</v>
      </c>
      <c r="DT30" s="22">
        <v>8077</v>
      </c>
      <c r="DU30" s="22">
        <v>2330</v>
      </c>
      <c r="DV30" s="22">
        <v>1314</v>
      </c>
      <c r="DW30" s="22">
        <v>2330</v>
      </c>
      <c r="DX30" s="22">
        <v>1314</v>
      </c>
      <c r="DY30" s="22">
        <v>2330</v>
      </c>
      <c r="DZ30" s="22">
        <v>2330</v>
      </c>
      <c r="EA30" s="22">
        <v>6228</v>
      </c>
      <c r="EB30" s="22">
        <v>6144</v>
      </c>
      <c r="EC30" s="22">
        <v>1314</v>
      </c>
      <c r="ED30" s="22">
        <v>1312</v>
      </c>
      <c r="EE30" s="22">
        <v>2330</v>
      </c>
      <c r="EF30" s="22">
        <v>2330</v>
      </c>
    </row>
    <row r="31" spans="1:138" ht="15">
      <c r="B31" s="21" t="s">
        <v>237</v>
      </c>
      <c r="C31" s="22" t="s">
        <v>191</v>
      </c>
      <c r="D31" s="22" t="s">
        <v>191</v>
      </c>
      <c r="E31" s="22" t="s">
        <v>191</v>
      </c>
      <c r="F31" s="22" t="s">
        <v>192</v>
      </c>
      <c r="G31" s="22" t="s">
        <v>192</v>
      </c>
      <c r="H31" s="22" t="s">
        <v>191</v>
      </c>
      <c r="I31" s="22" t="s">
        <v>193</v>
      </c>
      <c r="J31" s="22" t="s">
        <v>193</v>
      </c>
      <c r="K31" s="22" t="s">
        <v>192</v>
      </c>
      <c r="L31" s="22" t="s">
        <v>191</v>
      </c>
      <c r="M31" s="22" t="s">
        <v>192</v>
      </c>
      <c r="N31" s="22" t="s">
        <v>191</v>
      </c>
      <c r="O31" s="22" t="s">
        <v>194</v>
      </c>
      <c r="P31" s="22" t="s">
        <v>193</v>
      </c>
      <c r="Q31" s="22" t="s">
        <v>193</v>
      </c>
      <c r="R31" s="22" t="s">
        <v>193</v>
      </c>
      <c r="S31" s="22" t="s">
        <v>193</v>
      </c>
      <c r="T31" s="22" t="s">
        <v>194</v>
      </c>
      <c r="U31" s="22" t="s">
        <v>193</v>
      </c>
      <c r="V31" s="22" t="s">
        <v>193</v>
      </c>
      <c r="W31" s="22" t="s">
        <v>191</v>
      </c>
      <c r="X31" s="22" t="s">
        <v>147</v>
      </c>
      <c r="Y31" s="22" t="s">
        <v>193</v>
      </c>
      <c r="Z31" s="22" t="s">
        <v>193</v>
      </c>
      <c r="AA31" s="22" t="s">
        <v>195</v>
      </c>
      <c r="AB31" s="22" t="s">
        <v>193</v>
      </c>
      <c r="AC31" s="22" t="s">
        <v>195</v>
      </c>
      <c r="AD31" s="22" t="s">
        <v>191</v>
      </c>
      <c r="AE31" s="22" t="s">
        <v>195</v>
      </c>
      <c r="AF31" s="22" t="s">
        <v>195</v>
      </c>
      <c r="AG31" s="22" t="s">
        <v>196</v>
      </c>
      <c r="AH31" s="22" t="s">
        <v>193</v>
      </c>
      <c r="AI31" s="22" t="s">
        <v>191</v>
      </c>
      <c r="AJ31" s="22" t="s">
        <v>193</v>
      </c>
      <c r="AK31" s="22" t="s">
        <v>193</v>
      </c>
      <c r="AL31" s="22" t="s">
        <v>191</v>
      </c>
      <c r="AM31" s="22" t="s">
        <v>193</v>
      </c>
      <c r="AN31" s="22" t="s">
        <v>193</v>
      </c>
      <c r="AO31" s="22" t="s">
        <v>197</v>
      </c>
      <c r="AP31" s="22" t="s">
        <v>193</v>
      </c>
      <c r="AQ31" s="22" t="s">
        <v>191</v>
      </c>
      <c r="AR31" s="22" t="s">
        <v>191</v>
      </c>
      <c r="AS31" s="22" t="s">
        <v>198</v>
      </c>
      <c r="AT31" s="22" t="s">
        <v>198</v>
      </c>
      <c r="AU31" s="22" t="s">
        <v>191</v>
      </c>
      <c r="AV31" s="22" t="s">
        <v>199</v>
      </c>
      <c r="AW31" s="22" t="s">
        <v>199</v>
      </c>
      <c r="AX31" s="22" t="s">
        <v>199</v>
      </c>
      <c r="AY31" s="22" t="s">
        <v>200</v>
      </c>
      <c r="AZ31" s="22" t="s">
        <v>191</v>
      </c>
      <c r="BA31" s="22" t="s">
        <v>191</v>
      </c>
      <c r="BB31" s="22" t="s">
        <v>201</v>
      </c>
      <c r="BC31" s="22" t="s">
        <v>201</v>
      </c>
      <c r="BD31" s="22" t="s">
        <v>191</v>
      </c>
      <c r="BE31" s="22" t="s">
        <v>202</v>
      </c>
      <c r="BF31" s="22" t="s">
        <v>202</v>
      </c>
      <c r="BG31" s="22" t="s">
        <v>202</v>
      </c>
      <c r="BH31" s="22" t="s">
        <v>202</v>
      </c>
      <c r="BI31" s="22" t="s">
        <v>203</v>
      </c>
      <c r="BJ31" s="22" t="s">
        <v>191</v>
      </c>
      <c r="BK31" s="22" t="s">
        <v>191</v>
      </c>
      <c r="BL31" s="22" t="s">
        <v>204</v>
      </c>
      <c r="BM31" s="22" t="s">
        <v>204</v>
      </c>
      <c r="BN31" s="22" t="s">
        <v>191</v>
      </c>
      <c r="BO31" s="22" t="s">
        <v>205</v>
      </c>
      <c r="BP31" s="22" t="s">
        <v>191</v>
      </c>
      <c r="BQ31" s="22" t="s">
        <v>200</v>
      </c>
      <c r="BR31" s="22" t="s">
        <v>204</v>
      </c>
      <c r="BS31" s="22" t="s">
        <v>204</v>
      </c>
      <c r="BT31" s="22" t="s">
        <v>191</v>
      </c>
      <c r="BU31" s="22" t="s">
        <v>191</v>
      </c>
      <c r="BV31" s="22" t="s">
        <v>204</v>
      </c>
      <c r="BW31" s="22" t="s">
        <v>206</v>
      </c>
      <c r="BX31" s="22" t="s">
        <v>191</v>
      </c>
      <c r="BY31" s="22" t="s">
        <v>207</v>
      </c>
      <c r="BZ31" s="22" t="s">
        <v>208</v>
      </c>
      <c r="CA31" s="22" t="s">
        <v>208</v>
      </c>
      <c r="CB31" s="22" t="s">
        <v>191</v>
      </c>
      <c r="CC31" s="22" t="s">
        <v>191</v>
      </c>
      <c r="CD31" s="22" t="s">
        <v>208</v>
      </c>
      <c r="CE31" s="22" t="s">
        <v>191</v>
      </c>
      <c r="CF31" s="22" t="s">
        <v>196</v>
      </c>
      <c r="CG31" s="22" t="s">
        <v>174</v>
      </c>
      <c r="CH31" s="22" t="s">
        <v>196</v>
      </c>
      <c r="CI31" s="22" t="s">
        <v>200</v>
      </c>
      <c r="CJ31" s="22" t="s">
        <v>209</v>
      </c>
      <c r="CK31" s="22" t="s">
        <v>158</v>
      </c>
      <c r="CL31" s="22" t="s">
        <v>200</v>
      </c>
      <c r="CM31" s="22" t="s">
        <v>191</v>
      </c>
      <c r="CN31" s="22" t="s">
        <v>210</v>
      </c>
      <c r="CO31" s="22" t="s">
        <v>191</v>
      </c>
      <c r="CP31" s="22" t="s">
        <v>200</v>
      </c>
      <c r="CQ31" s="22" t="s">
        <v>211</v>
      </c>
      <c r="CR31" s="22" t="s">
        <v>210</v>
      </c>
      <c r="CS31" s="22" t="s">
        <v>210</v>
      </c>
      <c r="CT31" s="22" t="s">
        <v>191</v>
      </c>
      <c r="CU31" s="22" t="s">
        <v>211</v>
      </c>
      <c r="CV31" s="22" t="s">
        <v>211</v>
      </c>
      <c r="CW31" s="22" t="s">
        <v>211</v>
      </c>
      <c r="CX31" s="22" t="s">
        <v>203</v>
      </c>
      <c r="CY31" s="22" t="s">
        <v>191</v>
      </c>
      <c r="CZ31" s="22" t="s">
        <v>203</v>
      </c>
      <c r="DA31" s="22" t="s">
        <v>191</v>
      </c>
      <c r="DB31" s="22" t="s">
        <v>191</v>
      </c>
      <c r="DC31" s="22" t="s">
        <v>196</v>
      </c>
      <c r="DD31" s="22" t="s">
        <v>212</v>
      </c>
      <c r="DE31" s="22" t="s">
        <v>212</v>
      </c>
      <c r="DF31" s="22" t="s">
        <v>191</v>
      </c>
      <c r="DG31" s="22" t="s">
        <v>191</v>
      </c>
      <c r="DH31" s="22" t="s">
        <v>191</v>
      </c>
      <c r="DI31" s="22" t="s">
        <v>191</v>
      </c>
      <c r="DJ31" s="22" t="s">
        <v>175</v>
      </c>
      <c r="DK31" s="22" t="s">
        <v>191</v>
      </c>
      <c r="DL31" s="22" t="s">
        <v>175</v>
      </c>
      <c r="DM31" s="22" t="s">
        <v>191</v>
      </c>
      <c r="DN31" s="22" t="s">
        <v>213</v>
      </c>
      <c r="DO31" s="22" t="s">
        <v>191</v>
      </c>
      <c r="DP31" s="22" t="s">
        <v>175</v>
      </c>
      <c r="DQ31" s="22" t="s">
        <v>179</v>
      </c>
      <c r="DR31" s="22" t="s">
        <v>203</v>
      </c>
      <c r="DS31" s="22" t="s">
        <v>191</v>
      </c>
      <c r="DT31" s="22" t="s">
        <v>214</v>
      </c>
      <c r="DU31" s="22" t="s">
        <v>191</v>
      </c>
      <c r="DV31" s="22" t="s">
        <v>196</v>
      </c>
      <c r="DW31" s="22" t="s">
        <v>191</v>
      </c>
      <c r="DX31" s="22" t="s">
        <v>196</v>
      </c>
      <c r="DY31" s="22" t="s">
        <v>191</v>
      </c>
      <c r="DZ31" s="22" t="s">
        <v>191</v>
      </c>
      <c r="EA31" s="22" t="s">
        <v>215</v>
      </c>
      <c r="EB31" s="22" t="s">
        <v>216</v>
      </c>
      <c r="EC31" s="22" t="s">
        <v>196</v>
      </c>
      <c r="ED31" s="22" t="s">
        <v>217</v>
      </c>
      <c r="EE31" s="22" t="s">
        <v>191</v>
      </c>
      <c r="EF31" s="22" t="s">
        <v>191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6"/>
  <sheetViews>
    <sheetView topLeftCell="G1" zoomScale="158" workbookViewId="0">
      <selection activeCell="EI9" sqref="EI9"/>
    </sheetView>
  </sheetViews>
  <sheetFormatPr baseColWidth="10" defaultColWidth="7.5" defaultRowHeight="14"/>
  <cols>
    <col min="1" max="1" width="7.5" style="1" customWidth="1"/>
    <col min="2" max="16384" width="7.5" style="1"/>
  </cols>
  <sheetData>
    <row r="1" spans="1:138">
      <c r="A1" s="1" t="s">
        <v>0</v>
      </c>
    </row>
    <row r="2" spans="1:138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8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8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8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8" ht="15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8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8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8" ht="15">
      <c r="A10" s="25" t="s">
        <v>140</v>
      </c>
      <c r="B10" s="24"/>
      <c r="C10" s="7" t="s">
        <v>141</v>
      </c>
      <c r="D10" s="10">
        <v>964</v>
      </c>
    </row>
    <row r="11" spans="1:138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  <c r="EG11" s="16" t="s">
        <v>218</v>
      </c>
      <c r="EH11" s="16" t="s">
        <v>219</v>
      </c>
    </row>
    <row r="12" spans="1:138">
      <c r="A12" s="7">
        <v>10</v>
      </c>
      <c r="B12" s="7">
        <v>96</v>
      </c>
      <c r="C12" s="9">
        <f>IF(真實IC!C12&gt;真實IC!C$26,1,0)</f>
        <v>1</v>
      </c>
      <c r="D12" s="9">
        <f>IF(真實IC!D12&gt;真實IC!D$26,1,0)</f>
        <v>1</v>
      </c>
      <c r="E12" s="9">
        <f>IF(真實IC!E12&gt;真實IC!E$26,1,0)</f>
        <v>1</v>
      </c>
      <c r="F12" s="9">
        <f>IF(真實IC!F12&gt;真實IC!F$26,1,0)</f>
        <v>1</v>
      </c>
      <c r="G12" s="9">
        <f>IF(真實IC!G12&gt;真實IC!G$26,1,0)</f>
        <v>1</v>
      </c>
      <c r="H12" s="9">
        <f>IF(真實IC!H12&gt;真實IC!H$26,1,0)</f>
        <v>1</v>
      </c>
      <c r="I12" s="9">
        <f>IF(真實IC!I12&gt;真實IC!I$26,1,0)</f>
        <v>1</v>
      </c>
      <c r="J12" s="9">
        <f>IF(真實IC!J12&gt;真實IC!J$26,1,0)</f>
        <v>1</v>
      </c>
      <c r="K12" s="9">
        <f>IF(真實IC!K12&gt;真實IC!K$26,1,0)</f>
        <v>1</v>
      </c>
      <c r="L12" s="9">
        <f>IF(真實IC!L12&gt;真實IC!L$26,1,0)</f>
        <v>1</v>
      </c>
      <c r="M12" s="9">
        <f>IF(真實IC!M12&gt;真實IC!M$26,1,0)</f>
        <v>1</v>
      </c>
      <c r="N12" s="9">
        <f>IF(真實IC!N12&gt;真實IC!N$26,1,0)</f>
        <v>1</v>
      </c>
      <c r="O12" s="9">
        <f>IF(真實IC!O12&gt;真實IC!O$26,1,0)</f>
        <v>1</v>
      </c>
      <c r="P12" s="9">
        <f>IF(真實IC!P12&gt;真實IC!P$26,1,0)</f>
        <v>0</v>
      </c>
      <c r="Q12" s="9">
        <f>IF(真實IC!Q12&gt;真實IC!Q$26,1,0)</f>
        <v>1</v>
      </c>
      <c r="R12" s="9">
        <f>IF(真實IC!R12&gt;真實IC!R$26,1,0)</f>
        <v>0</v>
      </c>
      <c r="S12" s="9">
        <f>IF(真實IC!S12&gt;真實IC!S$26,1,0)</f>
        <v>1</v>
      </c>
      <c r="T12" s="9">
        <f>IF(真實IC!T12&gt;真實IC!T$26,1,0)</f>
        <v>1</v>
      </c>
      <c r="U12" s="9">
        <f>IF(真實IC!U12&gt;真實IC!U$26,1,0)</f>
        <v>1</v>
      </c>
      <c r="V12" s="9">
        <f>IF(真實IC!V12&gt;真實IC!V$26,1,0)</f>
        <v>1</v>
      </c>
      <c r="W12" s="9">
        <f>IF(真實IC!W12&gt;真實IC!W$26,1,0)</f>
        <v>1</v>
      </c>
      <c r="X12" s="9">
        <f>IF(真實IC!X12&gt;真實IC!X$26,1,0)</f>
        <v>1</v>
      </c>
      <c r="Y12" s="9">
        <f>IF(真實IC!Y12&gt;真實IC!Y$26,1,0)</f>
        <v>1</v>
      </c>
      <c r="Z12" s="9">
        <f>IF(真實IC!Z12&gt;真實IC!Z$26,1,0)</f>
        <v>1</v>
      </c>
      <c r="AA12" s="9">
        <f>IF(真實IC!AA12&gt;真實IC!AA$26,1,0)</f>
        <v>1</v>
      </c>
      <c r="AB12" s="9">
        <f>IF(真實IC!AB12&gt;真實IC!AB$26,1,0)</f>
        <v>1</v>
      </c>
      <c r="AC12" s="9">
        <f>IF(真實IC!AC12&gt;真實IC!AC$26,1,0)</f>
        <v>1</v>
      </c>
      <c r="AD12" s="9">
        <f>IF(真實IC!AD12&gt;真實IC!AD$26,1,0)</f>
        <v>1</v>
      </c>
      <c r="AE12" s="9">
        <f>IF(真實IC!AE12&gt;真實IC!AE$26,1,0)</f>
        <v>1</v>
      </c>
      <c r="AF12" s="9">
        <f>IF(真實IC!AF12&gt;真實IC!AF$26,1,0)</f>
        <v>1</v>
      </c>
      <c r="AG12" s="9">
        <f>IF(真實IC!AG12&gt;真實IC!AG$26,1,0)</f>
        <v>0</v>
      </c>
      <c r="AH12" s="9">
        <f>IF(真實IC!AH12&gt;真實IC!AH$26,1,0)</f>
        <v>1</v>
      </c>
      <c r="AI12" s="9">
        <f>IF(真實IC!AI12&gt;真實IC!AI$26,1,0)</f>
        <v>1</v>
      </c>
      <c r="AJ12" s="9">
        <f>IF(真實IC!AJ12&gt;真實IC!AJ$26,1,0)</f>
        <v>0</v>
      </c>
      <c r="AK12" s="9">
        <f>IF(真實IC!AK12&gt;真實IC!AK$26,1,0)</f>
        <v>1</v>
      </c>
      <c r="AL12" s="9">
        <f>IF(真實IC!AL12&gt;真實IC!AL$26,1,0)</f>
        <v>1</v>
      </c>
      <c r="AM12" s="9">
        <f>IF(真實IC!AM12&gt;真實IC!AM$26,1,0)</f>
        <v>1</v>
      </c>
      <c r="AN12" s="9">
        <f>IF(真實IC!AN12&gt;真實IC!AN$26,1,0)</f>
        <v>1</v>
      </c>
      <c r="AO12" s="9">
        <f>IF(真實IC!AO12&gt;真實IC!AO$26,1,0)</f>
        <v>1</v>
      </c>
      <c r="AP12" s="9">
        <f>IF(真實IC!AP12&gt;真實IC!AP$26,1,0)</f>
        <v>1</v>
      </c>
      <c r="AQ12" s="9">
        <f>IF(真實IC!AQ12&gt;真實IC!AQ$26,1,0)</f>
        <v>0</v>
      </c>
      <c r="AR12" s="9">
        <f>IF(真實IC!AR12&gt;真實IC!AR$26,1,0)</f>
        <v>0</v>
      </c>
      <c r="AS12" s="9">
        <f>IF(真實IC!AS12&gt;真實IC!AS$26,1,0)</f>
        <v>1</v>
      </c>
      <c r="AT12" s="9">
        <f>IF(真實IC!AT12&gt;真實IC!AT$26,1,0)</f>
        <v>1</v>
      </c>
      <c r="AU12" s="9">
        <f>IF(真實IC!AU12&gt;真實IC!AU$26,1,0)</f>
        <v>1</v>
      </c>
      <c r="AV12" s="9">
        <f>IF(真實IC!AV12&gt;真實IC!AV$26,1,0)</f>
        <v>1</v>
      </c>
      <c r="AW12" s="9">
        <f>IF(真實IC!AW12&gt;真實IC!AW$26,1,0)</f>
        <v>1</v>
      </c>
      <c r="AX12" s="9">
        <f>IF(真實IC!AX12&gt;真實IC!AX$26,1,0)</f>
        <v>1</v>
      </c>
      <c r="AY12" s="9">
        <f>IF(真實IC!AY12&gt;真實IC!AY$26,1,0)</f>
        <v>0</v>
      </c>
      <c r="AZ12" s="9">
        <f>IF(真實IC!AZ12&gt;真實IC!AZ$26,1,0)</f>
        <v>1</v>
      </c>
      <c r="BA12" s="9">
        <f>IF(真實IC!BA12&gt;真實IC!BA$26,1,0)</f>
        <v>1</v>
      </c>
      <c r="BB12" s="9">
        <f>IF(真實IC!BB12&gt;真實IC!BB$26,1,0)</f>
        <v>1</v>
      </c>
      <c r="BC12" s="9">
        <f>IF(真實IC!BC12&gt;真實IC!BC$26,1,0)</f>
        <v>1</v>
      </c>
      <c r="BD12" s="9">
        <f>IF(真實IC!BD12&gt;真實IC!BD$26,1,0)</f>
        <v>1</v>
      </c>
      <c r="BE12" s="9">
        <f>IF(真實IC!BE12&gt;真實IC!BE$26,1,0)</f>
        <v>1</v>
      </c>
      <c r="BF12" s="9">
        <f>IF(真實IC!BF12&gt;真實IC!BF$26,1,0)</f>
        <v>1</v>
      </c>
      <c r="BG12" s="9">
        <f>IF(真實IC!BG12&gt;真實IC!BG$26,1,0)</f>
        <v>1</v>
      </c>
      <c r="BH12" s="9">
        <f>IF(真實IC!BH12&gt;真實IC!BH$26,1,0)</f>
        <v>1</v>
      </c>
      <c r="BI12" s="9">
        <f>IF(真實IC!BI12&gt;真實IC!BI$26,1,0)</f>
        <v>1</v>
      </c>
      <c r="BJ12" s="9">
        <f>IF(真實IC!BJ12&gt;真實IC!BJ$26,1,0)</f>
        <v>1</v>
      </c>
      <c r="BK12" s="9">
        <f>IF(真實IC!BK12&gt;真實IC!BK$26,1,0)</f>
        <v>0</v>
      </c>
      <c r="BL12" s="9">
        <f>IF(真實IC!BL12&gt;真實IC!BL$26,1,0)</f>
        <v>0</v>
      </c>
      <c r="BM12" s="9">
        <f>IF(真實IC!BM12&gt;真實IC!BM$26,1,0)</f>
        <v>1</v>
      </c>
      <c r="BN12" s="9">
        <f>IF(真實IC!BN12&gt;真實IC!BN$26,1,0)</f>
        <v>0</v>
      </c>
      <c r="BO12" s="9">
        <f>IF(真實IC!BO12&gt;真實IC!BO$26,1,0)</f>
        <v>1</v>
      </c>
      <c r="BP12" s="9">
        <f>IF(真實IC!BP12&gt;真實IC!BP$26,1,0)</f>
        <v>1</v>
      </c>
      <c r="BQ12" s="9">
        <f>IF(真實IC!BQ12&gt;真實IC!BQ$26,1,0)</f>
        <v>1</v>
      </c>
      <c r="BR12" s="9">
        <f>IF(真實IC!BR12&gt;真實IC!BR$26,1,0)</f>
        <v>1</v>
      </c>
      <c r="BS12" s="9">
        <f>IF(真實IC!BS12&gt;真實IC!BS$26,1,0)</f>
        <v>1</v>
      </c>
      <c r="BT12" s="9">
        <f>IF(真實IC!BT12&gt;真實IC!BT$26,1,0)</f>
        <v>0</v>
      </c>
      <c r="BU12" s="9">
        <f>IF(真實IC!BU12&gt;真實IC!BU$26,1,0)</f>
        <v>1</v>
      </c>
      <c r="BV12" s="9">
        <f>IF(真實IC!BV12&gt;真實IC!BV$26,1,0)</f>
        <v>0</v>
      </c>
      <c r="BW12" s="9">
        <f>IF(真實IC!BW12&gt;真實IC!BW$26,1,0)</f>
        <v>1</v>
      </c>
      <c r="BX12" s="9">
        <f>IF(真實IC!BX12&gt;真實IC!BX$26,1,0)</f>
        <v>1</v>
      </c>
      <c r="BY12" s="9">
        <f>IF(真實IC!BY12&gt;真實IC!BY$26,1,0)</f>
        <v>1</v>
      </c>
      <c r="BZ12" s="9">
        <f>IF(真實IC!BZ12&gt;真實IC!BZ$26,1,0)</f>
        <v>0</v>
      </c>
      <c r="CA12" s="9">
        <f>IF(真實IC!CA12&gt;真實IC!CA$26,1,0)</f>
        <v>1</v>
      </c>
      <c r="CB12" s="9">
        <f>IF(真實IC!CB12&gt;真實IC!CB$26,1,0)</f>
        <v>1</v>
      </c>
      <c r="CC12" s="9">
        <f>IF(真實IC!CC12&gt;真實IC!CC$26,1,0)</f>
        <v>0</v>
      </c>
      <c r="CD12" s="9">
        <f>IF(真實IC!CD12&gt;真實IC!CD$26,1,0)</f>
        <v>1</v>
      </c>
      <c r="CE12" s="9">
        <f>IF(真實IC!CE12&gt;真實IC!CE$26,1,0)</f>
        <v>1</v>
      </c>
      <c r="CF12" s="9">
        <f>IF(真實IC!CF12&gt;真實IC!CF$26,1,0)</f>
        <v>1</v>
      </c>
      <c r="CG12" s="9">
        <f>IF(真實IC!CG12&gt;真實IC!CG$26,1,0)</f>
        <v>0</v>
      </c>
      <c r="CH12" s="9">
        <f>IF(真實IC!CH12&gt;真實IC!CH$26,1,0)</f>
        <v>0</v>
      </c>
      <c r="CI12" s="9">
        <f>IF(真實IC!CI12&gt;真實IC!CI$26,1,0)</f>
        <v>1</v>
      </c>
      <c r="CJ12" s="9">
        <f>IF(真實IC!CJ12&gt;真實IC!CJ$26,1,0)</f>
        <v>1</v>
      </c>
      <c r="CK12" s="9">
        <f>IF(真實IC!CK12&gt;真實IC!CK$26,1,0)</f>
        <v>1</v>
      </c>
      <c r="CL12" s="9">
        <f>IF(真實IC!CL12&gt;真實IC!CL$26,1,0)</f>
        <v>1</v>
      </c>
      <c r="CM12" s="9">
        <f>IF(真實IC!CM12&gt;真實IC!CM$26,1,0)</f>
        <v>1</v>
      </c>
      <c r="CN12" s="9">
        <f>IF(真實IC!CN12&gt;真實IC!CN$26,1,0)</f>
        <v>1</v>
      </c>
      <c r="CO12" s="9">
        <f>IF(真實IC!CO12&gt;真實IC!CO$26,1,0)</f>
        <v>1</v>
      </c>
      <c r="CP12" s="9">
        <f>IF(真實IC!CP12&gt;真實IC!CP$26,1,0)</f>
        <v>1</v>
      </c>
      <c r="CQ12" s="9">
        <f>IF(真實IC!CQ12&gt;真實IC!CQ$26,1,0)</f>
        <v>1</v>
      </c>
      <c r="CR12" s="9">
        <f>IF(真實IC!CR12&gt;真實IC!CR$26,1,0)</f>
        <v>1</v>
      </c>
      <c r="CS12" s="9">
        <f>IF(真實IC!CS12&gt;真實IC!CS$26,1,0)</f>
        <v>0</v>
      </c>
      <c r="CT12" s="9">
        <f>IF(真實IC!CT12&gt;真實IC!CT$26,1,0)</f>
        <v>0</v>
      </c>
      <c r="CU12" s="9">
        <f>IF(真實IC!CU12&gt;真實IC!CU$26,1,0)</f>
        <v>1</v>
      </c>
      <c r="CV12" s="9">
        <f>IF(真實IC!CV12&gt;真實IC!CV$26,1,0)</f>
        <v>1</v>
      </c>
      <c r="CW12" s="9">
        <f>IF(真實IC!CW12&gt;真實IC!CW$26,1,0)</f>
        <v>1</v>
      </c>
      <c r="CX12" s="9">
        <f>IF(真實IC!CX12&gt;真實IC!CX$26,1,0)</f>
        <v>1</v>
      </c>
      <c r="CY12" s="9">
        <f>IF(真實IC!CY12&gt;真實IC!CY$26,1,0)</f>
        <v>1</v>
      </c>
      <c r="CZ12" s="9">
        <f>IF(真實IC!CZ12&gt;真實IC!CZ$26,1,0)</f>
        <v>1</v>
      </c>
      <c r="DA12" s="9">
        <f>IF(真實IC!DA12&gt;真實IC!DA$26,1,0)</f>
        <v>1</v>
      </c>
      <c r="DB12" s="9">
        <f>IF(真實IC!DB12&gt;真實IC!DB$26,1,0)</f>
        <v>1</v>
      </c>
      <c r="DC12" s="9">
        <f>IF(真實IC!DC12&gt;真實IC!DC$26,1,0)</f>
        <v>1</v>
      </c>
      <c r="DD12" s="9">
        <f>IF(真實IC!DD12&gt;真實IC!DD$26,1,0)</f>
        <v>1</v>
      </c>
      <c r="DE12" s="9">
        <f>IF(真實IC!DE12&gt;真實IC!DE$26,1,0)</f>
        <v>0</v>
      </c>
      <c r="DF12" s="9">
        <f>IF(真實IC!DF12&gt;真實IC!DF$26,1,0)</f>
        <v>1</v>
      </c>
      <c r="DG12" s="9">
        <f>IF(真實IC!DG12&gt;真實IC!DG$26,1,0)</f>
        <v>0</v>
      </c>
      <c r="DH12" s="9">
        <f>IF(真實IC!DH12&gt;真實IC!DH$26,1,0)</f>
        <v>1</v>
      </c>
      <c r="DI12" s="9">
        <f>IF(真實IC!DI12&gt;真實IC!DI$26,1,0)</f>
        <v>1</v>
      </c>
      <c r="DJ12" s="9">
        <f>IF(真實IC!DJ12&gt;真實IC!DJ$26,1,0)</f>
        <v>1</v>
      </c>
      <c r="DK12" s="9">
        <f>IF(真實IC!DK12&gt;真實IC!DK$26,1,0)</f>
        <v>0</v>
      </c>
      <c r="DL12" s="9">
        <f>IF(真實IC!DL12&gt;真實IC!DL$26,1,0)</f>
        <v>0</v>
      </c>
      <c r="DM12" s="9">
        <f>IF(真實IC!DM12&gt;真實IC!DM$26,1,0)</f>
        <v>1</v>
      </c>
      <c r="DN12" s="9">
        <f>IF(真實IC!DN12&gt;真實IC!DN$26,1,0)</f>
        <v>1</v>
      </c>
      <c r="DO12" s="9">
        <f>IF(真實IC!DO12&gt;真實IC!DO$26,1,0)</f>
        <v>1</v>
      </c>
      <c r="DP12" s="9">
        <f>IF(真實IC!DP12&gt;真實IC!DP$26,1,0)</f>
        <v>1</v>
      </c>
      <c r="DQ12" s="9">
        <f>IF(真實IC!DQ12&gt;真實IC!DQ$26,1,0)</f>
        <v>0</v>
      </c>
      <c r="DR12" s="9">
        <f>IF(真實IC!DR12&gt;真實IC!DR$26,1,0)</f>
        <v>0</v>
      </c>
      <c r="DS12" s="9">
        <f>IF(真實IC!DS12&gt;真實IC!DS$26,1,0)</f>
        <v>1</v>
      </c>
      <c r="DT12" s="9">
        <f>IF(真實IC!DT12&gt;真實IC!DT$26,1,0)</f>
        <v>0</v>
      </c>
      <c r="DU12" s="9">
        <f>IF(真實IC!DU12&gt;真實IC!DU$26,1,0)</f>
        <v>0</v>
      </c>
      <c r="DV12" s="9">
        <f>IF(真實IC!DV12&gt;真實IC!DV$26,1,0)</f>
        <v>1</v>
      </c>
      <c r="DW12" s="9">
        <f>IF(真實IC!DW12&gt;真實IC!DW$26,1,0)</f>
        <v>1</v>
      </c>
      <c r="DX12" s="9">
        <f>IF(真實IC!DX12&gt;真實IC!DX$26,1,0)</f>
        <v>0</v>
      </c>
      <c r="DY12" s="9">
        <f>IF(真實IC!DY12&gt;真實IC!DY$26,1,0)</f>
        <v>1</v>
      </c>
      <c r="DZ12" s="9">
        <f>IF(真實IC!DZ12&gt;真實IC!DZ$26,1,0)</f>
        <v>1</v>
      </c>
      <c r="EA12" s="9">
        <f>IF(真實IC!EA12&gt;真實IC!EA$26,1,0)</f>
        <v>1</v>
      </c>
      <c r="EB12" s="9">
        <f>IF(真實IC!EB12&gt;真實IC!EB$26,1,0)</f>
        <v>1</v>
      </c>
      <c r="EC12" s="9">
        <f>IF(真實IC!EC12&gt;真實IC!EC$26,1,0)</f>
        <v>1</v>
      </c>
      <c r="ED12" s="9">
        <f>IF(真實IC!ED12&gt;真實IC!ED$26,1,0)</f>
        <v>1</v>
      </c>
      <c r="EE12" s="9">
        <f>IF(真實IC!EE12&gt;真實IC!EE$26,1,0)</f>
        <v>1</v>
      </c>
      <c r="EF12" s="9">
        <f>IF(真實IC!EH12&gt;真實IC!EF$26,1,0)</f>
        <v>1</v>
      </c>
      <c r="EG12" s="15">
        <f t="shared" ref="EG12:EG24" si="10">SUM(C12:EF12)</f>
        <v>107</v>
      </c>
      <c r="EH12" s="14">
        <f t="shared" ref="EH12:EH24" si="11">SUM(C12:EF12)/134</f>
        <v>0.79850746268656714</v>
      </c>
    </row>
    <row r="13" spans="1:138">
      <c r="A13" s="7">
        <v>20</v>
      </c>
      <c r="B13" s="7">
        <v>48</v>
      </c>
      <c r="C13" s="9">
        <f>IF(真實IC!C13&gt;真實IC!C$26,1,0)</f>
        <v>1</v>
      </c>
      <c r="D13" s="9">
        <f>IF(真實IC!D13&gt;真實IC!D$26,1,0)</f>
        <v>1</v>
      </c>
      <c r="E13" s="9">
        <f>IF(真實IC!E13&gt;真實IC!E$26,1,0)</f>
        <v>1</v>
      </c>
      <c r="F13" s="9">
        <f>IF(真實IC!F13&gt;真實IC!F$26,1,0)</f>
        <v>1</v>
      </c>
      <c r="G13" s="9">
        <f>IF(真實IC!G13&gt;真實IC!G$26,1,0)</f>
        <v>0</v>
      </c>
      <c r="H13" s="9">
        <f>IF(真實IC!H13&gt;真實IC!H$26,1,0)</f>
        <v>0</v>
      </c>
      <c r="I13" s="9">
        <f>IF(真實IC!I13&gt;真實IC!I$26,1,0)</f>
        <v>1</v>
      </c>
      <c r="J13" s="9">
        <f>IF(真實IC!J13&gt;真實IC!J$26,1,0)</f>
        <v>1</v>
      </c>
      <c r="K13" s="9">
        <f>IF(真實IC!K13&gt;真實IC!K$26,1,0)</f>
        <v>1</v>
      </c>
      <c r="L13" s="9">
        <f>IF(真實IC!L13&gt;真實IC!L$26,1,0)</f>
        <v>1</v>
      </c>
      <c r="M13" s="9">
        <f>IF(真實IC!M13&gt;真實IC!M$26,1,0)</f>
        <v>0</v>
      </c>
      <c r="N13" s="9">
        <f>IF(真實IC!N13&gt;真實IC!N$26,1,0)</f>
        <v>1</v>
      </c>
      <c r="O13" s="9">
        <f>IF(真實IC!O13&gt;真實IC!O$26,1,0)</f>
        <v>1</v>
      </c>
      <c r="P13" s="9">
        <f>IF(真實IC!P13&gt;真實IC!P$26,1,0)</f>
        <v>0</v>
      </c>
      <c r="Q13" s="9">
        <f>IF(真實IC!Q13&gt;真實IC!Q$26,1,0)</f>
        <v>1</v>
      </c>
      <c r="R13" s="9">
        <f>IF(真實IC!R13&gt;真實IC!R$26,1,0)</f>
        <v>0</v>
      </c>
      <c r="S13" s="9">
        <f>IF(真實IC!S13&gt;真實IC!S$26,1,0)</f>
        <v>1</v>
      </c>
      <c r="T13" s="9">
        <f>IF(真實IC!T13&gt;真實IC!T$26,1,0)</f>
        <v>1</v>
      </c>
      <c r="U13" s="9">
        <f>IF(真實IC!U13&gt;真實IC!U$26,1,0)</f>
        <v>1</v>
      </c>
      <c r="V13" s="9">
        <f>IF(真實IC!V13&gt;真實IC!V$26,1,0)</f>
        <v>1</v>
      </c>
      <c r="W13" s="9">
        <f>IF(真實IC!W13&gt;真實IC!W$26,1,0)</f>
        <v>1</v>
      </c>
      <c r="X13" s="9">
        <f>IF(真實IC!X13&gt;真實IC!X$26,1,0)</f>
        <v>1</v>
      </c>
      <c r="Y13" s="9">
        <f>IF(真實IC!Y13&gt;真實IC!Y$26,1,0)</f>
        <v>1</v>
      </c>
      <c r="Z13" s="9">
        <f>IF(真實IC!Z13&gt;真實IC!Z$26,1,0)</f>
        <v>1</v>
      </c>
      <c r="AA13" s="9">
        <f>IF(真實IC!AA13&gt;真實IC!AA$26,1,0)</f>
        <v>1</v>
      </c>
      <c r="AB13" s="9">
        <f>IF(真實IC!AB13&gt;真實IC!AB$26,1,0)</f>
        <v>1</v>
      </c>
      <c r="AC13" s="9">
        <f>IF(真實IC!AC13&gt;真實IC!AC$26,1,0)</f>
        <v>1</v>
      </c>
      <c r="AD13" s="9">
        <f>IF(真實IC!AD13&gt;真實IC!AD$26,1,0)</f>
        <v>1</v>
      </c>
      <c r="AE13" s="9">
        <f>IF(真實IC!AE13&gt;真實IC!AE$26,1,0)</f>
        <v>1</v>
      </c>
      <c r="AF13" s="9">
        <f>IF(真實IC!AF13&gt;真實IC!AF$26,1,0)</f>
        <v>1</v>
      </c>
      <c r="AG13" s="9">
        <f>IF(真實IC!AG13&gt;真實IC!AG$26,1,0)</f>
        <v>0</v>
      </c>
      <c r="AH13" s="9">
        <f>IF(真實IC!AH13&gt;真實IC!AH$26,1,0)</f>
        <v>1</v>
      </c>
      <c r="AI13" s="9">
        <f>IF(真實IC!AI13&gt;真實IC!AI$26,1,0)</f>
        <v>1</v>
      </c>
      <c r="AJ13" s="9">
        <f>IF(真實IC!AJ13&gt;真實IC!AJ$26,1,0)</f>
        <v>0</v>
      </c>
      <c r="AK13" s="9">
        <f>IF(真實IC!AK13&gt;真實IC!AK$26,1,0)</f>
        <v>1</v>
      </c>
      <c r="AL13" s="9">
        <f>IF(真實IC!AL13&gt;真實IC!AL$26,1,0)</f>
        <v>1</v>
      </c>
      <c r="AM13" s="9">
        <f>IF(真實IC!AM13&gt;真實IC!AM$26,1,0)</f>
        <v>1</v>
      </c>
      <c r="AN13" s="9">
        <f>IF(真實IC!AN13&gt;真實IC!AN$26,1,0)</f>
        <v>1</v>
      </c>
      <c r="AO13" s="9">
        <f>IF(真實IC!AO13&gt;真實IC!AO$26,1,0)</f>
        <v>0</v>
      </c>
      <c r="AP13" s="9">
        <f>IF(真實IC!AP13&gt;真實IC!AP$26,1,0)</f>
        <v>1</v>
      </c>
      <c r="AQ13" s="9">
        <f>IF(真實IC!AQ13&gt;真實IC!AQ$26,1,0)</f>
        <v>0</v>
      </c>
      <c r="AR13" s="9">
        <f>IF(真實IC!AR13&gt;真實IC!AR$26,1,0)</f>
        <v>0</v>
      </c>
      <c r="AS13" s="9">
        <f>IF(真實IC!AS13&gt;真實IC!AS$26,1,0)</f>
        <v>1</v>
      </c>
      <c r="AT13" s="9">
        <f>IF(真實IC!AT13&gt;真實IC!AT$26,1,0)</f>
        <v>1</v>
      </c>
      <c r="AU13" s="9">
        <f>IF(真實IC!AU13&gt;真實IC!AU$26,1,0)</f>
        <v>1</v>
      </c>
      <c r="AV13" s="9">
        <f>IF(真實IC!AV13&gt;真實IC!AV$26,1,0)</f>
        <v>1</v>
      </c>
      <c r="AW13" s="9">
        <f>IF(真實IC!AW13&gt;真實IC!AW$26,1,0)</f>
        <v>1</v>
      </c>
      <c r="AX13" s="9">
        <f>IF(真實IC!AX13&gt;真實IC!AX$26,1,0)</f>
        <v>1</v>
      </c>
      <c r="AY13" s="9">
        <f>IF(真實IC!AY13&gt;真實IC!AY$26,1,0)</f>
        <v>0</v>
      </c>
      <c r="AZ13" s="9">
        <f>IF(真實IC!AZ13&gt;真實IC!AZ$26,1,0)</f>
        <v>1</v>
      </c>
      <c r="BA13" s="9">
        <f>IF(真實IC!BA13&gt;真實IC!BA$26,1,0)</f>
        <v>1</v>
      </c>
      <c r="BB13" s="9">
        <f>IF(真實IC!BB13&gt;真實IC!BB$26,1,0)</f>
        <v>1</v>
      </c>
      <c r="BC13" s="9">
        <f>IF(真實IC!BC13&gt;真實IC!BC$26,1,0)</f>
        <v>0</v>
      </c>
      <c r="BD13" s="9">
        <f>IF(真實IC!BD13&gt;真實IC!BD$26,1,0)</f>
        <v>1</v>
      </c>
      <c r="BE13" s="9">
        <f>IF(真實IC!BE13&gt;真實IC!BE$26,1,0)</f>
        <v>1</v>
      </c>
      <c r="BF13" s="9">
        <f>IF(真實IC!BF13&gt;真實IC!BF$26,1,0)</f>
        <v>1</v>
      </c>
      <c r="BG13" s="9">
        <f>IF(真實IC!BG13&gt;真實IC!BG$26,1,0)</f>
        <v>1</v>
      </c>
      <c r="BH13" s="9">
        <f>IF(真實IC!BH13&gt;真實IC!BH$26,1,0)</f>
        <v>1</v>
      </c>
      <c r="BI13" s="9">
        <f>IF(真實IC!BI13&gt;真實IC!BI$26,1,0)</f>
        <v>1</v>
      </c>
      <c r="BJ13" s="9">
        <f>IF(真實IC!BJ13&gt;真實IC!BJ$26,1,0)</f>
        <v>1</v>
      </c>
      <c r="BK13" s="9">
        <f>IF(真實IC!BK13&gt;真實IC!BK$26,1,0)</f>
        <v>1</v>
      </c>
      <c r="BL13" s="9">
        <f>IF(真實IC!BL13&gt;真實IC!BL$26,1,0)</f>
        <v>0</v>
      </c>
      <c r="BM13" s="9">
        <f>IF(真實IC!BM13&gt;真實IC!BM$26,1,0)</f>
        <v>1</v>
      </c>
      <c r="BN13" s="9">
        <f>IF(真實IC!BN13&gt;真實IC!BN$26,1,0)</f>
        <v>0</v>
      </c>
      <c r="BO13" s="9">
        <f>IF(真實IC!BO13&gt;真實IC!BO$26,1,0)</f>
        <v>1</v>
      </c>
      <c r="BP13" s="9">
        <f>IF(真實IC!BP13&gt;真實IC!BP$26,1,0)</f>
        <v>0</v>
      </c>
      <c r="BQ13" s="9">
        <f>IF(真實IC!BQ13&gt;真實IC!BQ$26,1,0)</f>
        <v>1</v>
      </c>
      <c r="BR13" s="9">
        <f>IF(真實IC!BR13&gt;真實IC!BR$26,1,0)</f>
        <v>1</v>
      </c>
      <c r="BS13" s="9">
        <f>IF(真實IC!BS13&gt;真實IC!BS$26,1,0)</f>
        <v>1</v>
      </c>
      <c r="BT13" s="9">
        <f>IF(真實IC!BT13&gt;真實IC!BT$26,1,0)</f>
        <v>0</v>
      </c>
      <c r="BU13" s="9">
        <f>IF(真實IC!BU13&gt;真實IC!BU$26,1,0)</f>
        <v>1</v>
      </c>
      <c r="BV13" s="9">
        <f>IF(真實IC!BV13&gt;真實IC!BV$26,1,0)</f>
        <v>1</v>
      </c>
      <c r="BW13" s="9">
        <f>IF(真實IC!BW13&gt;真實IC!BW$26,1,0)</f>
        <v>1</v>
      </c>
      <c r="BX13" s="9">
        <f>IF(真實IC!BX13&gt;真實IC!BX$26,1,0)</f>
        <v>1</v>
      </c>
      <c r="BY13" s="9">
        <f>IF(真實IC!BY13&gt;真實IC!BY$26,1,0)</f>
        <v>1</v>
      </c>
      <c r="BZ13" s="9">
        <f>IF(真實IC!BZ13&gt;真實IC!BZ$26,1,0)</f>
        <v>0</v>
      </c>
      <c r="CA13" s="9">
        <f>IF(真實IC!CA13&gt;真實IC!CA$26,1,0)</f>
        <v>1</v>
      </c>
      <c r="CB13" s="9">
        <f>IF(真實IC!CB13&gt;真實IC!CB$26,1,0)</f>
        <v>1</v>
      </c>
      <c r="CC13" s="9">
        <f>IF(真實IC!CC13&gt;真實IC!CC$26,1,0)</f>
        <v>1</v>
      </c>
      <c r="CD13" s="9">
        <f>IF(真實IC!CD13&gt;真實IC!CD$26,1,0)</f>
        <v>1</v>
      </c>
      <c r="CE13" s="9">
        <f>IF(真實IC!CE13&gt;真實IC!CE$26,1,0)</f>
        <v>1</v>
      </c>
      <c r="CF13" s="9">
        <f>IF(真實IC!CF13&gt;真實IC!CF$26,1,0)</f>
        <v>1</v>
      </c>
      <c r="CG13" s="9">
        <f>IF(真實IC!CG13&gt;真實IC!CG$26,1,0)</f>
        <v>0</v>
      </c>
      <c r="CH13" s="9">
        <f>IF(真實IC!CH13&gt;真實IC!CH$26,1,0)</f>
        <v>0</v>
      </c>
      <c r="CI13" s="9">
        <f>IF(真實IC!CI13&gt;真實IC!CI$26,1,0)</f>
        <v>1</v>
      </c>
      <c r="CJ13" s="9">
        <f>IF(真實IC!CJ13&gt;真實IC!CJ$26,1,0)</f>
        <v>1</v>
      </c>
      <c r="CK13" s="9">
        <f>IF(真實IC!CK13&gt;真實IC!CK$26,1,0)</f>
        <v>1</v>
      </c>
      <c r="CL13" s="9">
        <f>IF(真實IC!CL13&gt;真實IC!CL$26,1,0)</f>
        <v>1</v>
      </c>
      <c r="CM13" s="9">
        <f>IF(真實IC!CM13&gt;真實IC!CM$26,1,0)</f>
        <v>1</v>
      </c>
      <c r="CN13" s="9">
        <f>IF(真實IC!CN13&gt;真實IC!CN$26,1,0)</f>
        <v>1</v>
      </c>
      <c r="CO13" s="9">
        <f>IF(真實IC!CO13&gt;真實IC!CO$26,1,0)</f>
        <v>1</v>
      </c>
      <c r="CP13" s="9">
        <f>IF(真實IC!CP13&gt;真實IC!CP$26,1,0)</f>
        <v>1</v>
      </c>
      <c r="CQ13" s="9">
        <f>IF(真實IC!CQ13&gt;真實IC!CQ$26,1,0)</f>
        <v>1</v>
      </c>
      <c r="CR13" s="9">
        <f>IF(真實IC!CR13&gt;真實IC!CR$26,1,0)</f>
        <v>1</v>
      </c>
      <c r="CS13" s="9">
        <f>IF(真實IC!CS13&gt;真實IC!CS$26,1,0)</f>
        <v>0</v>
      </c>
      <c r="CT13" s="9">
        <f>IF(真實IC!CT13&gt;真實IC!CT$26,1,0)</f>
        <v>0</v>
      </c>
      <c r="CU13" s="9">
        <f>IF(真實IC!CU13&gt;真實IC!CU$26,1,0)</f>
        <v>1</v>
      </c>
      <c r="CV13" s="9">
        <f>IF(真實IC!CV13&gt;真實IC!CV$26,1,0)</f>
        <v>1</v>
      </c>
      <c r="CW13" s="9">
        <f>IF(真實IC!CW13&gt;真實IC!CW$26,1,0)</f>
        <v>1</v>
      </c>
      <c r="CX13" s="9">
        <f>IF(真實IC!CX13&gt;真實IC!CX$26,1,0)</f>
        <v>1</v>
      </c>
      <c r="CY13" s="9">
        <f>IF(真實IC!CY13&gt;真實IC!CY$26,1,0)</f>
        <v>1</v>
      </c>
      <c r="CZ13" s="9">
        <f>IF(真實IC!CZ13&gt;真實IC!CZ$26,1,0)</f>
        <v>1</v>
      </c>
      <c r="DA13" s="9">
        <f>IF(真實IC!DA13&gt;真實IC!DA$26,1,0)</f>
        <v>1</v>
      </c>
      <c r="DB13" s="9">
        <f>IF(真實IC!DB13&gt;真實IC!DB$26,1,0)</f>
        <v>1</v>
      </c>
      <c r="DC13" s="9">
        <f>IF(真實IC!DC13&gt;真實IC!DC$26,1,0)</f>
        <v>1</v>
      </c>
      <c r="DD13" s="9">
        <f>IF(真實IC!DD13&gt;真實IC!DD$26,1,0)</f>
        <v>1</v>
      </c>
      <c r="DE13" s="9">
        <f>IF(真實IC!DE13&gt;真實IC!DE$26,1,0)</f>
        <v>0</v>
      </c>
      <c r="DF13" s="9">
        <f>IF(真實IC!DF13&gt;真實IC!DF$26,1,0)</f>
        <v>1</v>
      </c>
      <c r="DG13" s="9">
        <f>IF(真實IC!DG13&gt;真實IC!DG$26,1,0)</f>
        <v>0</v>
      </c>
      <c r="DH13" s="9">
        <f>IF(真實IC!DH13&gt;真實IC!DH$26,1,0)</f>
        <v>1</v>
      </c>
      <c r="DI13" s="9">
        <f>IF(真實IC!DI13&gt;真實IC!DI$26,1,0)</f>
        <v>1</v>
      </c>
      <c r="DJ13" s="9">
        <f>IF(真實IC!DJ13&gt;真實IC!DJ$26,1,0)</f>
        <v>1</v>
      </c>
      <c r="DK13" s="9">
        <f>IF(真實IC!DK13&gt;真實IC!DK$26,1,0)</f>
        <v>0</v>
      </c>
      <c r="DL13" s="9">
        <f>IF(真實IC!DL13&gt;真實IC!DL$26,1,0)</f>
        <v>1</v>
      </c>
      <c r="DM13" s="9">
        <f>IF(真實IC!DM13&gt;真實IC!DM$26,1,0)</f>
        <v>0</v>
      </c>
      <c r="DN13" s="9">
        <f>IF(真實IC!DN13&gt;真實IC!DN$26,1,0)</f>
        <v>1</v>
      </c>
      <c r="DO13" s="9">
        <f>IF(真實IC!DO13&gt;真實IC!DO$26,1,0)</f>
        <v>1</v>
      </c>
      <c r="DP13" s="9">
        <f>IF(真實IC!DP13&gt;真實IC!DP$26,1,0)</f>
        <v>1</v>
      </c>
      <c r="DQ13" s="9">
        <f>IF(真實IC!DQ13&gt;真實IC!DQ$26,1,0)</f>
        <v>1</v>
      </c>
      <c r="DR13" s="9">
        <f>IF(真實IC!DR13&gt;真實IC!DR$26,1,0)</f>
        <v>0</v>
      </c>
      <c r="DS13" s="9">
        <f>IF(真實IC!DS13&gt;真實IC!DS$26,1,0)</f>
        <v>1</v>
      </c>
      <c r="DT13" s="9">
        <f>IF(真實IC!DT13&gt;真實IC!DT$26,1,0)</f>
        <v>0</v>
      </c>
      <c r="DU13" s="9">
        <f>IF(真實IC!DU13&gt;真實IC!DU$26,1,0)</f>
        <v>0</v>
      </c>
      <c r="DV13" s="9">
        <f>IF(真實IC!DV13&gt;真實IC!DV$26,1,0)</f>
        <v>1</v>
      </c>
      <c r="DW13" s="9">
        <f>IF(真實IC!DW13&gt;真實IC!DW$26,1,0)</f>
        <v>1</v>
      </c>
      <c r="DX13" s="9">
        <f>IF(真實IC!DX13&gt;真實IC!DX$26,1,0)</f>
        <v>0</v>
      </c>
      <c r="DY13" s="9">
        <f>IF(真實IC!DY13&gt;真實IC!DY$26,1,0)</f>
        <v>1</v>
      </c>
      <c r="DZ13" s="9">
        <f>IF(真實IC!DZ13&gt;真實IC!DZ$26,1,0)</f>
        <v>1</v>
      </c>
      <c r="EA13" s="9">
        <f>IF(真實IC!EA13&gt;真實IC!EA$26,1,0)</f>
        <v>1</v>
      </c>
      <c r="EB13" s="9">
        <f>IF(真實IC!EB13&gt;真實IC!EB$26,1,0)</f>
        <v>1</v>
      </c>
      <c r="EC13" s="9">
        <f>IF(真實IC!EC13&gt;真實IC!EC$26,1,0)</f>
        <v>1</v>
      </c>
      <c r="ED13" s="9">
        <f>IF(真實IC!ED13&gt;真實IC!ED$26,1,0)</f>
        <v>1</v>
      </c>
      <c r="EE13" s="9">
        <f>IF(真實IC!EE13&gt;真實IC!EE$26,1,0)</f>
        <v>1</v>
      </c>
      <c r="EF13" s="9">
        <f>IF(真實IC!EH13&gt;真實IC!EF$26,1,0)</f>
        <v>1</v>
      </c>
      <c r="EG13" s="15">
        <f t="shared" si="10"/>
        <v>105</v>
      </c>
      <c r="EH13" s="14">
        <f t="shared" si="11"/>
        <v>0.78358208955223885</v>
      </c>
    </row>
    <row r="14" spans="1:138">
      <c r="A14" s="7">
        <v>50</v>
      </c>
      <c r="B14" s="7">
        <v>19</v>
      </c>
      <c r="C14" s="9">
        <f>IF(真實IC!C14&gt;真實IC!C$26,1,0)</f>
        <v>1</v>
      </c>
      <c r="D14" s="9">
        <f>IF(真實IC!D14&gt;真實IC!D$26,1,0)</f>
        <v>1</v>
      </c>
      <c r="E14" s="9">
        <f>IF(真實IC!E14&gt;真實IC!E$26,1,0)</f>
        <v>1</v>
      </c>
      <c r="F14" s="9">
        <f>IF(真實IC!F14&gt;真實IC!F$26,1,0)</f>
        <v>1</v>
      </c>
      <c r="G14" s="9">
        <f>IF(真實IC!G14&gt;真實IC!G$26,1,0)</f>
        <v>1</v>
      </c>
      <c r="H14" s="9">
        <f>IF(真實IC!H14&gt;真實IC!H$26,1,0)</f>
        <v>1</v>
      </c>
      <c r="I14" s="9">
        <f>IF(真實IC!I14&gt;真實IC!I$26,1,0)</f>
        <v>1</v>
      </c>
      <c r="J14" s="9">
        <f>IF(真實IC!J14&gt;真實IC!J$26,1,0)</f>
        <v>1</v>
      </c>
      <c r="K14" s="9">
        <f>IF(真實IC!K14&gt;真實IC!K$26,1,0)</f>
        <v>1</v>
      </c>
      <c r="L14" s="9">
        <f>IF(真實IC!L14&gt;真實IC!L$26,1,0)</f>
        <v>1</v>
      </c>
      <c r="M14" s="9">
        <f>IF(真實IC!M14&gt;真實IC!M$26,1,0)</f>
        <v>0</v>
      </c>
      <c r="N14" s="9">
        <f>IF(真實IC!N14&gt;真實IC!N$26,1,0)</f>
        <v>1</v>
      </c>
      <c r="O14" s="9">
        <f>IF(真實IC!O14&gt;真實IC!O$26,1,0)</f>
        <v>0</v>
      </c>
      <c r="P14" s="9">
        <f>IF(真實IC!P14&gt;真實IC!P$26,1,0)</f>
        <v>1</v>
      </c>
      <c r="Q14" s="9">
        <f>IF(真實IC!Q14&gt;真實IC!Q$26,1,0)</f>
        <v>1</v>
      </c>
      <c r="R14" s="9">
        <f>IF(真實IC!R14&gt;真實IC!R$26,1,0)</f>
        <v>0</v>
      </c>
      <c r="S14" s="9">
        <f>IF(真實IC!S14&gt;真實IC!S$26,1,0)</f>
        <v>1</v>
      </c>
      <c r="T14" s="9">
        <f>IF(真實IC!T14&gt;真實IC!T$26,1,0)</f>
        <v>1</v>
      </c>
      <c r="U14" s="9">
        <f>IF(真實IC!U14&gt;真實IC!U$26,1,0)</f>
        <v>1</v>
      </c>
      <c r="V14" s="9">
        <f>IF(真實IC!V14&gt;真實IC!V$26,1,0)</f>
        <v>1</v>
      </c>
      <c r="W14" s="9">
        <f>IF(真實IC!W14&gt;真實IC!W$26,1,0)</f>
        <v>1</v>
      </c>
      <c r="X14" s="9">
        <f>IF(真實IC!X14&gt;真實IC!X$26,1,0)</f>
        <v>1</v>
      </c>
      <c r="Y14" s="9">
        <f>IF(真實IC!Y14&gt;真實IC!Y$26,1,0)</f>
        <v>1</v>
      </c>
      <c r="Z14" s="9">
        <f>IF(真實IC!Z14&gt;真實IC!Z$26,1,0)</f>
        <v>1</v>
      </c>
      <c r="AA14" s="9">
        <f>IF(真實IC!AA14&gt;真實IC!AA$26,1,0)</f>
        <v>1</v>
      </c>
      <c r="AB14" s="9">
        <f>IF(真實IC!AB14&gt;真實IC!AB$26,1,0)</f>
        <v>1</v>
      </c>
      <c r="AC14" s="9">
        <f>IF(真實IC!AC14&gt;真實IC!AC$26,1,0)</f>
        <v>0</v>
      </c>
      <c r="AD14" s="9">
        <f>IF(真實IC!AD14&gt;真實IC!AD$26,1,0)</f>
        <v>1</v>
      </c>
      <c r="AE14" s="9">
        <f>IF(真實IC!AE14&gt;真實IC!AE$26,1,0)</f>
        <v>1</v>
      </c>
      <c r="AF14" s="9">
        <f>IF(真實IC!AF14&gt;真實IC!AF$26,1,0)</f>
        <v>1</v>
      </c>
      <c r="AG14" s="9">
        <f>IF(真實IC!AG14&gt;真實IC!AG$26,1,0)</f>
        <v>0</v>
      </c>
      <c r="AH14" s="9">
        <f>IF(真實IC!AH14&gt;真實IC!AH$26,1,0)</f>
        <v>0</v>
      </c>
      <c r="AI14" s="9">
        <f>IF(真實IC!AI14&gt;真實IC!AI$26,1,0)</f>
        <v>1</v>
      </c>
      <c r="AJ14" s="9">
        <f>IF(真實IC!AJ14&gt;真實IC!AJ$26,1,0)</f>
        <v>1</v>
      </c>
      <c r="AK14" s="9">
        <f>IF(真實IC!AK14&gt;真實IC!AK$26,1,0)</f>
        <v>1</v>
      </c>
      <c r="AL14" s="9">
        <f>IF(真實IC!AL14&gt;真實IC!AL$26,1,0)</f>
        <v>1</v>
      </c>
      <c r="AM14" s="9">
        <f>IF(真實IC!AM14&gt;真實IC!AM$26,1,0)</f>
        <v>1</v>
      </c>
      <c r="AN14" s="9">
        <f>IF(真實IC!AN14&gt;真實IC!AN$26,1,0)</f>
        <v>1</v>
      </c>
      <c r="AO14" s="9">
        <f>IF(真實IC!AO14&gt;真實IC!AO$26,1,0)</f>
        <v>0</v>
      </c>
      <c r="AP14" s="9">
        <f>IF(真實IC!AP14&gt;真實IC!AP$26,1,0)</f>
        <v>1</v>
      </c>
      <c r="AQ14" s="9">
        <f>IF(真實IC!AQ14&gt;真實IC!AQ$26,1,0)</f>
        <v>0</v>
      </c>
      <c r="AR14" s="9">
        <f>IF(真實IC!AR14&gt;真實IC!AR$26,1,0)</f>
        <v>0</v>
      </c>
      <c r="AS14" s="9">
        <f>IF(真實IC!AS14&gt;真實IC!AS$26,1,0)</f>
        <v>0</v>
      </c>
      <c r="AT14" s="9">
        <f>IF(真實IC!AT14&gt;真實IC!AT$26,1,0)</f>
        <v>1</v>
      </c>
      <c r="AU14" s="9">
        <f>IF(真實IC!AU14&gt;真實IC!AU$26,1,0)</f>
        <v>1</v>
      </c>
      <c r="AV14" s="9">
        <f>IF(真實IC!AV14&gt;真實IC!AV$26,1,0)</f>
        <v>1</v>
      </c>
      <c r="AW14" s="9">
        <f>IF(真實IC!AW14&gt;真實IC!AW$26,1,0)</f>
        <v>1</v>
      </c>
      <c r="AX14" s="9">
        <f>IF(真實IC!AX14&gt;真實IC!AX$26,1,0)</f>
        <v>1</v>
      </c>
      <c r="AY14" s="9">
        <f>IF(真實IC!AY14&gt;真實IC!AY$26,1,0)</f>
        <v>0</v>
      </c>
      <c r="AZ14" s="9">
        <f>IF(真實IC!AZ14&gt;真實IC!AZ$26,1,0)</f>
        <v>1</v>
      </c>
      <c r="BA14" s="9">
        <f>IF(真實IC!BA14&gt;真實IC!BA$26,1,0)</f>
        <v>1</v>
      </c>
      <c r="BB14" s="9">
        <f>IF(真實IC!BB14&gt;真實IC!BB$26,1,0)</f>
        <v>1</v>
      </c>
      <c r="BC14" s="9">
        <f>IF(真實IC!BC14&gt;真實IC!BC$26,1,0)</f>
        <v>0</v>
      </c>
      <c r="BD14" s="9">
        <f>IF(真實IC!BD14&gt;真實IC!BD$26,1,0)</f>
        <v>1</v>
      </c>
      <c r="BE14" s="9">
        <f>IF(真實IC!BE14&gt;真實IC!BE$26,1,0)</f>
        <v>1</v>
      </c>
      <c r="BF14" s="9">
        <f>IF(真實IC!BF14&gt;真實IC!BF$26,1,0)</f>
        <v>1</v>
      </c>
      <c r="BG14" s="9">
        <f>IF(真實IC!BG14&gt;真實IC!BG$26,1,0)</f>
        <v>1</v>
      </c>
      <c r="BH14" s="9">
        <f>IF(真實IC!BH14&gt;真實IC!BH$26,1,0)</f>
        <v>1</v>
      </c>
      <c r="BI14" s="9">
        <f>IF(真實IC!BI14&gt;真實IC!BI$26,1,0)</f>
        <v>1</v>
      </c>
      <c r="BJ14" s="9">
        <f>IF(真實IC!BJ14&gt;真實IC!BJ$26,1,0)</f>
        <v>1</v>
      </c>
      <c r="BK14" s="9">
        <f>IF(真實IC!BK14&gt;真實IC!BK$26,1,0)</f>
        <v>0</v>
      </c>
      <c r="BL14" s="9">
        <f>IF(真實IC!BL14&gt;真實IC!BL$26,1,0)</f>
        <v>1</v>
      </c>
      <c r="BM14" s="9">
        <f>IF(真實IC!BM14&gt;真實IC!BM$26,1,0)</f>
        <v>1</v>
      </c>
      <c r="BN14" s="9">
        <f>IF(真實IC!BN14&gt;真實IC!BN$26,1,0)</f>
        <v>0</v>
      </c>
      <c r="BO14" s="9">
        <f>IF(真實IC!BO14&gt;真實IC!BO$26,1,0)</f>
        <v>1</v>
      </c>
      <c r="BP14" s="9">
        <f>IF(真實IC!BP14&gt;真實IC!BP$26,1,0)</f>
        <v>0</v>
      </c>
      <c r="BQ14" s="9">
        <f>IF(真實IC!BQ14&gt;真實IC!BQ$26,1,0)</f>
        <v>1</v>
      </c>
      <c r="BR14" s="9">
        <f>IF(真實IC!BR14&gt;真實IC!BR$26,1,0)</f>
        <v>1</v>
      </c>
      <c r="BS14" s="9">
        <f>IF(真實IC!BS14&gt;真實IC!BS$26,1,0)</f>
        <v>1</v>
      </c>
      <c r="BT14" s="9">
        <f>IF(真實IC!BT14&gt;真實IC!BT$26,1,0)</f>
        <v>0</v>
      </c>
      <c r="BU14" s="9">
        <f>IF(真實IC!BU14&gt;真實IC!BU$26,1,0)</f>
        <v>1</v>
      </c>
      <c r="BV14" s="9">
        <f>IF(真實IC!BV14&gt;真實IC!BV$26,1,0)</f>
        <v>1</v>
      </c>
      <c r="BW14" s="9">
        <f>IF(真實IC!BW14&gt;真實IC!BW$26,1,0)</f>
        <v>1</v>
      </c>
      <c r="BX14" s="9">
        <f>IF(真實IC!BX14&gt;真實IC!BX$26,1,0)</f>
        <v>1</v>
      </c>
      <c r="BY14" s="9">
        <f>IF(真實IC!BY14&gt;真實IC!BY$26,1,0)</f>
        <v>1</v>
      </c>
      <c r="BZ14" s="9">
        <f>IF(真實IC!BZ14&gt;真實IC!BZ$26,1,0)</f>
        <v>0</v>
      </c>
      <c r="CA14" s="9">
        <f>IF(真實IC!CA14&gt;真實IC!CA$26,1,0)</f>
        <v>1</v>
      </c>
      <c r="CB14" s="9">
        <f>IF(真實IC!CB14&gt;真實IC!CB$26,1,0)</f>
        <v>1</v>
      </c>
      <c r="CC14" s="9">
        <f>IF(真實IC!CC14&gt;真實IC!CC$26,1,0)</f>
        <v>1</v>
      </c>
      <c r="CD14" s="9">
        <f>IF(真實IC!CD14&gt;真實IC!CD$26,1,0)</f>
        <v>1</v>
      </c>
      <c r="CE14" s="9">
        <f>IF(真實IC!CE14&gt;真實IC!CE$26,1,0)</f>
        <v>1</v>
      </c>
      <c r="CF14" s="9">
        <f>IF(真實IC!CF14&gt;真實IC!CF$26,1,0)</f>
        <v>1</v>
      </c>
      <c r="CG14" s="9">
        <f>IF(真實IC!CG14&gt;真實IC!CG$26,1,0)</f>
        <v>0</v>
      </c>
      <c r="CH14" s="9">
        <f>IF(真實IC!CH14&gt;真實IC!CH$26,1,0)</f>
        <v>0</v>
      </c>
      <c r="CI14" s="9">
        <f>IF(真實IC!CI14&gt;真實IC!CI$26,1,0)</f>
        <v>1</v>
      </c>
      <c r="CJ14" s="9">
        <f>IF(真實IC!CJ14&gt;真實IC!CJ$26,1,0)</f>
        <v>0</v>
      </c>
      <c r="CK14" s="9">
        <f>IF(真實IC!CK14&gt;真實IC!CK$26,1,0)</f>
        <v>1</v>
      </c>
      <c r="CL14" s="9">
        <f>IF(真實IC!CL14&gt;真實IC!CL$26,1,0)</f>
        <v>0</v>
      </c>
      <c r="CM14" s="9">
        <f>IF(真實IC!CM14&gt;真實IC!CM$26,1,0)</f>
        <v>1</v>
      </c>
      <c r="CN14" s="9">
        <f>IF(真實IC!CN14&gt;真實IC!CN$26,1,0)</f>
        <v>1</v>
      </c>
      <c r="CO14" s="9">
        <f>IF(真實IC!CO14&gt;真實IC!CO$26,1,0)</f>
        <v>1</v>
      </c>
      <c r="CP14" s="9">
        <f>IF(真實IC!CP14&gt;真實IC!CP$26,1,0)</f>
        <v>1</v>
      </c>
      <c r="CQ14" s="9">
        <f>IF(真實IC!CQ14&gt;真實IC!CQ$26,1,0)</f>
        <v>1</v>
      </c>
      <c r="CR14" s="9">
        <f>IF(真實IC!CR14&gt;真實IC!CR$26,1,0)</f>
        <v>1</v>
      </c>
      <c r="CS14" s="9">
        <f>IF(真實IC!CS14&gt;真實IC!CS$26,1,0)</f>
        <v>0</v>
      </c>
      <c r="CT14" s="9">
        <f>IF(真實IC!CT14&gt;真實IC!CT$26,1,0)</f>
        <v>1</v>
      </c>
      <c r="CU14" s="9">
        <f>IF(真實IC!CU14&gt;真實IC!CU$26,1,0)</f>
        <v>1</v>
      </c>
      <c r="CV14" s="9">
        <f>IF(真實IC!CV14&gt;真實IC!CV$26,1,0)</f>
        <v>1</v>
      </c>
      <c r="CW14" s="9">
        <f>IF(真實IC!CW14&gt;真實IC!CW$26,1,0)</f>
        <v>1</v>
      </c>
      <c r="CX14" s="9">
        <f>IF(真實IC!CX14&gt;真實IC!CX$26,1,0)</f>
        <v>1</v>
      </c>
      <c r="CY14" s="9">
        <f>IF(真實IC!CY14&gt;真實IC!CY$26,1,0)</f>
        <v>1</v>
      </c>
      <c r="CZ14" s="9">
        <f>IF(真實IC!CZ14&gt;真實IC!CZ$26,1,0)</f>
        <v>1</v>
      </c>
      <c r="DA14" s="9">
        <f>IF(真實IC!DA14&gt;真實IC!DA$26,1,0)</f>
        <v>1</v>
      </c>
      <c r="DB14" s="9">
        <f>IF(真實IC!DB14&gt;真實IC!DB$26,1,0)</f>
        <v>1</v>
      </c>
      <c r="DC14" s="9">
        <f>IF(真實IC!DC14&gt;真實IC!DC$26,1,0)</f>
        <v>1</v>
      </c>
      <c r="DD14" s="9">
        <f>IF(真實IC!DD14&gt;真實IC!DD$26,1,0)</f>
        <v>1</v>
      </c>
      <c r="DE14" s="9">
        <f>IF(真實IC!DE14&gt;真實IC!DE$26,1,0)</f>
        <v>0</v>
      </c>
      <c r="DF14" s="9">
        <f>IF(真實IC!DF14&gt;真實IC!DF$26,1,0)</f>
        <v>1</v>
      </c>
      <c r="DG14" s="9">
        <f>IF(真實IC!DG14&gt;真實IC!DG$26,1,0)</f>
        <v>0</v>
      </c>
      <c r="DH14" s="9">
        <f>IF(真實IC!DH14&gt;真實IC!DH$26,1,0)</f>
        <v>1</v>
      </c>
      <c r="DI14" s="9">
        <f>IF(真實IC!DI14&gt;真實IC!DI$26,1,0)</f>
        <v>1</v>
      </c>
      <c r="DJ14" s="9">
        <f>IF(真實IC!DJ14&gt;真實IC!DJ$26,1,0)</f>
        <v>1</v>
      </c>
      <c r="DK14" s="9">
        <f>IF(真實IC!DK14&gt;真實IC!DK$26,1,0)</f>
        <v>1</v>
      </c>
      <c r="DL14" s="9">
        <f>IF(真實IC!DL14&gt;真實IC!DL$26,1,0)</f>
        <v>1</v>
      </c>
      <c r="DM14" s="9">
        <f>IF(真實IC!DM14&gt;真實IC!DM$26,1,0)</f>
        <v>0</v>
      </c>
      <c r="DN14" s="9">
        <f>IF(真實IC!DN14&gt;真實IC!DN$26,1,0)</f>
        <v>1</v>
      </c>
      <c r="DO14" s="9">
        <f>IF(真實IC!DO14&gt;真實IC!DO$26,1,0)</f>
        <v>1</v>
      </c>
      <c r="DP14" s="9">
        <f>IF(真實IC!DP14&gt;真實IC!DP$26,1,0)</f>
        <v>1</v>
      </c>
      <c r="DQ14" s="9">
        <f>IF(真實IC!DQ14&gt;真實IC!DQ$26,1,0)</f>
        <v>0</v>
      </c>
      <c r="DR14" s="9">
        <f>IF(真實IC!DR14&gt;真實IC!DR$26,1,0)</f>
        <v>1</v>
      </c>
      <c r="DS14" s="9">
        <f>IF(真實IC!DS14&gt;真實IC!DS$26,1,0)</f>
        <v>1</v>
      </c>
      <c r="DT14" s="9">
        <f>IF(真實IC!DT14&gt;真實IC!DT$26,1,0)</f>
        <v>0</v>
      </c>
      <c r="DU14" s="9">
        <f>IF(真實IC!DU14&gt;真實IC!DU$26,1,0)</f>
        <v>1</v>
      </c>
      <c r="DV14" s="9">
        <f>IF(真實IC!DV14&gt;真實IC!DV$26,1,0)</f>
        <v>1</v>
      </c>
      <c r="DW14" s="9">
        <f>IF(真實IC!DW14&gt;真實IC!DW$26,1,0)</f>
        <v>0</v>
      </c>
      <c r="DX14" s="9">
        <f>IF(真實IC!DX14&gt;真實IC!DX$26,1,0)</f>
        <v>1</v>
      </c>
      <c r="DY14" s="9">
        <f>IF(真實IC!DY14&gt;真實IC!DY$26,1,0)</f>
        <v>1</v>
      </c>
      <c r="DZ14" s="9">
        <f>IF(真實IC!DZ14&gt;真實IC!DZ$26,1,0)</f>
        <v>1</v>
      </c>
      <c r="EA14" s="9">
        <f>IF(真實IC!EA14&gt;真實IC!EA$26,1,0)</f>
        <v>1</v>
      </c>
      <c r="EB14" s="9">
        <f>IF(真實IC!EB14&gt;真實IC!EB$26,1,0)</f>
        <v>1</v>
      </c>
      <c r="EC14" s="9">
        <f>IF(真實IC!EC14&gt;真實IC!EC$26,1,0)</f>
        <v>1</v>
      </c>
      <c r="ED14" s="9">
        <f>IF(真實IC!ED14&gt;真實IC!ED$26,1,0)</f>
        <v>1</v>
      </c>
      <c r="EE14" s="9">
        <f>IF(真實IC!EE14&gt;真實IC!EE$26,1,0)</f>
        <v>0</v>
      </c>
      <c r="EF14" s="9">
        <f>IF(真實IC!EH14&gt;真實IC!EF$26,1,0)</f>
        <v>1</v>
      </c>
      <c r="EG14" s="15">
        <f t="shared" si="10"/>
        <v>105</v>
      </c>
      <c r="EH14" s="14">
        <f t="shared" si="11"/>
        <v>0.78358208955223885</v>
      </c>
    </row>
    <row r="15" spans="1:138">
      <c r="A15" s="7">
        <v>100</v>
      </c>
      <c r="B15" s="7">
        <v>10</v>
      </c>
      <c r="C15" s="9">
        <f>IF(真實IC!C15&gt;真實IC!C$26,1,0)</f>
        <v>1</v>
      </c>
      <c r="D15" s="9">
        <f>IF(真實IC!D15&gt;真實IC!D$26,1,0)</f>
        <v>1</v>
      </c>
      <c r="E15" s="9">
        <f>IF(真實IC!E15&gt;真實IC!E$26,1,0)</f>
        <v>1</v>
      </c>
      <c r="F15" s="9">
        <f>IF(真實IC!F15&gt;真實IC!F$26,1,0)</f>
        <v>0</v>
      </c>
      <c r="G15" s="9">
        <f>IF(真實IC!G15&gt;真實IC!G$26,1,0)</f>
        <v>1</v>
      </c>
      <c r="H15" s="9">
        <f>IF(真實IC!H15&gt;真實IC!H$26,1,0)</f>
        <v>1</v>
      </c>
      <c r="I15" s="9">
        <f>IF(真實IC!I15&gt;真實IC!I$26,1,0)</f>
        <v>1</v>
      </c>
      <c r="J15" s="9">
        <f>IF(真實IC!J15&gt;真實IC!J$26,1,0)</f>
        <v>1</v>
      </c>
      <c r="K15" s="9">
        <f>IF(真實IC!K15&gt;真實IC!K$26,1,0)</f>
        <v>1</v>
      </c>
      <c r="L15" s="9">
        <f>IF(真實IC!L15&gt;真實IC!L$26,1,0)</f>
        <v>0</v>
      </c>
      <c r="M15" s="9">
        <f>IF(真實IC!M15&gt;真實IC!M$26,1,0)</f>
        <v>0</v>
      </c>
      <c r="N15" s="9">
        <f>IF(真實IC!N15&gt;真實IC!N$26,1,0)</f>
        <v>1</v>
      </c>
      <c r="O15" s="9">
        <f>IF(真實IC!O15&gt;真實IC!O$26,1,0)</f>
        <v>0</v>
      </c>
      <c r="P15" s="9">
        <f>IF(真實IC!P15&gt;真實IC!P$26,1,0)</f>
        <v>1</v>
      </c>
      <c r="Q15" s="9">
        <f>IF(真實IC!Q15&gt;真實IC!Q$26,1,0)</f>
        <v>1</v>
      </c>
      <c r="R15" s="9">
        <f>IF(真實IC!R15&gt;真實IC!R$26,1,0)</f>
        <v>0</v>
      </c>
      <c r="S15" s="9">
        <f>IF(真實IC!S15&gt;真實IC!S$26,1,0)</f>
        <v>1</v>
      </c>
      <c r="T15" s="9">
        <f>IF(真實IC!T15&gt;真實IC!T$26,1,0)</f>
        <v>1</v>
      </c>
      <c r="U15" s="9">
        <f>IF(真實IC!U15&gt;真實IC!U$26,1,0)</f>
        <v>1</v>
      </c>
      <c r="V15" s="9">
        <f>IF(真實IC!V15&gt;真實IC!V$26,1,0)</f>
        <v>1</v>
      </c>
      <c r="W15" s="9">
        <f>IF(真實IC!W15&gt;真實IC!W$26,1,0)</f>
        <v>1</v>
      </c>
      <c r="X15" s="9">
        <f>IF(真實IC!X15&gt;真實IC!X$26,1,0)</f>
        <v>1</v>
      </c>
      <c r="Y15" s="9">
        <f>IF(真實IC!Y15&gt;真實IC!Y$26,1,0)</f>
        <v>1</v>
      </c>
      <c r="Z15" s="9">
        <f>IF(真實IC!Z15&gt;真實IC!Z$26,1,0)</f>
        <v>1</v>
      </c>
      <c r="AA15" s="9">
        <f>IF(真實IC!AA15&gt;真實IC!AA$26,1,0)</f>
        <v>1</v>
      </c>
      <c r="AB15" s="9">
        <f>IF(真實IC!AB15&gt;真實IC!AB$26,1,0)</f>
        <v>1</v>
      </c>
      <c r="AC15" s="9">
        <f>IF(真實IC!AC15&gt;真實IC!AC$26,1,0)</f>
        <v>0</v>
      </c>
      <c r="AD15" s="9">
        <f>IF(真實IC!AD15&gt;真實IC!AD$26,1,0)</f>
        <v>1</v>
      </c>
      <c r="AE15" s="9">
        <f>IF(真實IC!AE15&gt;真實IC!AE$26,1,0)</f>
        <v>1</v>
      </c>
      <c r="AF15" s="9">
        <f>IF(真實IC!AF15&gt;真實IC!AF$26,1,0)</f>
        <v>1</v>
      </c>
      <c r="AG15" s="9">
        <f>IF(真實IC!AG15&gt;真實IC!AG$26,1,0)</f>
        <v>0</v>
      </c>
      <c r="AH15" s="9">
        <f>IF(真實IC!AH15&gt;真實IC!AH$26,1,0)</f>
        <v>0</v>
      </c>
      <c r="AI15" s="9">
        <f>IF(真實IC!AI15&gt;真實IC!AI$26,1,0)</f>
        <v>1</v>
      </c>
      <c r="AJ15" s="9">
        <f>IF(真實IC!AJ15&gt;真實IC!AJ$26,1,0)</f>
        <v>0</v>
      </c>
      <c r="AK15" s="9">
        <f>IF(真實IC!AK15&gt;真實IC!AK$26,1,0)</f>
        <v>1</v>
      </c>
      <c r="AL15" s="9">
        <f>IF(真實IC!AL15&gt;真實IC!AL$26,1,0)</f>
        <v>0</v>
      </c>
      <c r="AM15" s="9">
        <f>IF(真實IC!AM15&gt;真實IC!AM$26,1,0)</f>
        <v>1</v>
      </c>
      <c r="AN15" s="9">
        <f>IF(真實IC!AN15&gt;真實IC!AN$26,1,0)</f>
        <v>1</v>
      </c>
      <c r="AO15" s="9">
        <f>IF(真實IC!AO15&gt;真實IC!AO$26,1,0)</f>
        <v>0</v>
      </c>
      <c r="AP15" s="9">
        <f>IF(真實IC!AP15&gt;真實IC!AP$26,1,0)</f>
        <v>1</v>
      </c>
      <c r="AQ15" s="9">
        <f>IF(真實IC!AQ15&gt;真實IC!AQ$26,1,0)</f>
        <v>1</v>
      </c>
      <c r="AR15" s="9">
        <f>IF(真實IC!AR15&gt;真實IC!AR$26,1,0)</f>
        <v>0</v>
      </c>
      <c r="AS15" s="9">
        <f>IF(真實IC!AS15&gt;真實IC!AS$26,1,0)</f>
        <v>0</v>
      </c>
      <c r="AT15" s="9">
        <f>IF(真實IC!AT15&gt;真實IC!AT$26,1,0)</f>
        <v>1</v>
      </c>
      <c r="AU15" s="9">
        <f>IF(真實IC!AU15&gt;真實IC!AU$26,1,0)</f>
        <v>1</v>
      </c>
      <c r="AV15" s="9">
        <f>IF(真實IC!AV15&gt;真實IC!AV$26,1,0)</f>
        <v>0</v>
      </c>
      <c r="AW15" s="9">
        <f>IF(真實IC!AW15&gt;真實IC!AW$26,1,0)</f>
        <v>1</v>
      </c>
      <c r="AX15" s="9">
        <f>IF(真實IC!AX15&gt;真實IC!AX$26,1,0)</f>
        <v>1</v>
      </c>
      <c r="AY15" s="9">
        <f>IF(真實IC!AY15&gt;真實IC!AY$26,1,0)</f>
        <v>0</v>
      </c>
      <c r="AZ15" s="9">
        <f>IF(真實IC!AZ15&gt;真實IC!AZ$26,1,0)</f>
        <v>1</v>
      </c>
      <c r="BA15" s="9">
        <f>IF(真實IC!BA15&gt;真實IC!BA$26,1,0)</f>
        <v>1</v>
      </c>
      <c r="BB15" s="9">
        <f>IF(真實IC!BB15&gt;真實IC!BB$26,1,0)</f>
        <v>1</v>
      </c>
      <c r="BC15" s="9">
        <f>IF(真實IC!BC15&gt;真實IC!BC$26,1,0)</f>
        <v>0</v>
      </c>
      <c r="BD15" s="9">
        <f>IF(真實IC!BD15&gt;真實IC!BD$26,1,0)</f>
        <v>1</v>
      </c>
      <c r="BE15" s="9">
        <f>IF(真實IC!BE15&gt;真實IC!BE$26,1,0)</f>
        <v>1</v>
      </c>
      <c r="BF15" s="9">
        <f>IF(真實IC!BF15&gt;真實IC!BF$26,1,0)</f>
        <v>1</v>
      </c>
      <c r="BG15" s="9">
        <f>IF(真實IC!BG15&gt;真實IC!BG$26,1,0)</f>
        <v>1</v>
      </c>
      <c r="BH15" s="9">
        <f>IF(真實IC!BH15&gt;真實IC!BH$26,1,0)</f>
        <v>1</v>
      </c>
      <c r="BI15" s="9">
        <f>IF(真實IC!BI15&gt;真實IC!BI$26,1,0)</f>
        <v>1</v>
      </c>
      <c r="BJ15" s="9">
        <f>IF(真實IC!BJ15&gt;真實IC!BJ$26,1,0)</f>
        <v>1</v>
      </c>
      <c r="BK15" s="9">
        <f>IF(真實IC!BK15&gt;真實IC!BK$26,1,0)</f>
        <v>0</v>
      </c>
      <c r="BL15" s="9">
        <f>IF(真實IC!BL15&gt;真實IC!BL$26,1,0)</f>
        <v>1</v>
      </c>
      <c r="BM15" s="9">
        <f>IF(真實IC!BM15&gt;真實IC!BM$26,1,0)</f>
        <v>1</v>
      </c>
      <c r="BN15" s="9">
        <f>IF(真實IC!BN15&gt;真實IC!BN$26,1,0)</f>
        <v>0</v>
      </c>
      <c r="BO15" s="9">
        <f>IF(真實IC!BO15&gt;真實IC!BO$26,1,0)</f>
        <v>1</v>
      </c>
      <c r="BP15" s="9">
        <f>IF(真實IC!BP15&gt;真實IC!BP$26,1,0)</f>
        <v>0</v>
      </c>
      <c r="BQ15" s="9">
        <f>IF(真實IC!BQ15&gt;真實IC!BQ$26,1,0)</f>
        <v>1</v>
      </c>
      <c r="BR15" s="9">
        <f>IF(真實IC!BR15&gt;真實IC!BR$26,1,0)</f>
        <v>1</v>
      </c>
      <c r="BS15" s="9">
        <f>IF(真實IC!BS15&gt;真實IC!BS$26,1,0)</f>
        <v>0</v>
      </c>
      <c r="BT15" s="9">
        <f>IF(真實IC!BT15&gt;真實IC!BT$26,1,0)</f>
        <v>0</v>
      </c>
      <c r="BU15" s="9">
        <f>IF(真實IC!BU15&gt;真實IC!BU$26,1,0)</f>
        <v>1</v>
      </c>
      <c r="BV15" s="9">
        <f>IF(真實IC!BV15&gt;真實IC!BV$26,1,0)</f>
        <v>1</v>
      </c>
      <c r="BW15" s="9">
        <f>IF(真實IC!BW15&gt;真實IC!BW$26,1,0)</f>
        <v>1</v>
      </c>
      <c r="BX15" s="9">
        <f>IF(真實IC!BX15&gt;真實IC!BX$26,1,0)</f>
        <v>1</v>
      </c>
      <c r="BY15" s="9">
        <f>IF(真實IC!BY15&gt;真實IC!BY$26,1,0)</f>
        <v>1</v>
      </c>
      <c r="BZ15" s="9">
        <f>IF(真實IC!BZ15&gt;真實IC!BZ$26,1,0)</f>
        <v>0</v>
      </c>
      <c r="CA15" s="9">
        <f>IF(真實IC!CA15&gt;真實IC!CA$26,1,0)</f>
        <v>1</v>
      </c>
      <c r="CB15" s="9">
        <f>IF(真實IC!CB15&gt;真實IC!CB$26,1,0)</f>
        <v>1</v>
      </c>
      <c r="CC15" s="9">
        <f>IF(真實IC!CC15&gt;真實IC!CC$26,1,0)</f>
        <v>1</v>
      </c>
      <c r="CD15" s="9">
        <f>IF(真實IC!CD15&gt;真實IC!CD$26,1,0)</f>
        <v>1</v>
      </c>
      <c r="CE15" s="9">
        <f>IF(真實IC!CE15&gt;真實IC!CE$26,1,0)</f>
        <v>1</v>
      </c>
      <c r="CF15" s="9">
        <f>IF(真實IC!CF15&gt;真實IC!CF$26,1,0)</f>
        <v>1</v>
      </c>
      <c r="CG15" s="9">
        <f>IF(真實IC!CG15&gt;真實IC!CG$26,1,0)</f>
        <v>0</v>
      </c>
      <c r="CH15" s="9">
        <f>IF(真實IC!CH15&gt;真實IC!CH$26,1,0)</f>
        <v>0</v>
      </c>
      <c r="CI15" s="9">
        <f>IF(真實IC!CI15&gt;真實IC!CI$26,1,0)</f>
        <v>1</v>
      </c>
      <c r="CJ15" s="9">
        <f>IF(真實IC!CJ15&gt;真實IC!CJ$26,1,0)</f>
        <v>0</v>
      </c>
      <c r="CK15" s="9">
        <f>IF(真實IC!CK15&gt;真實IC!CK$26,1,0)</f>
        <v>1</v>
      </c>
      <c r="CL15" s="9">
        <f>IF(真實IC!CL15&gt;真實IC!CL$26,1,0)</f>
        <v>0</v>
      </c>
      <c r="CM15" s="9">
        <f>IF(真實IC!CM15&gt;真實IC!CM$26,1,0)</f>
        <v>1</v>
      </c>
      <c r="CN15" s="9">
        <f>IF(真實IC!CN15&gt;真實IC!CN$26,1,0)</f>
        <v>1</v>
      </c>
      <c r="CO15" s="9">
        <f>IF(真實IC!CO15&gt;真實IC!CO$26,1,0)</f>
        <v>1</v>
      </c>
      <c r="CP15" s="9">
        <f>IF(真實IC!CP15&gt;真實IC!CP$26,1,0)</f>
        <v>1</v>
      </c>
      <c r="CQ15" s="9">
        <f>IF(真實IC!CQ15&gt;真實IC!CQ$26,1,0)</f>
        <v>1</v>
      </c>
      <c r="CR15" s="9">
        <f>IF(真實IC!CR15&gt;真實IC!CR$26,1,0)</f>
        <v>1</v>
      </c>
      <c r="CS15" s="9">
        <f>IF(真實IC!CS15&gt;真實IC!CS$26,1,0)</f>
        <v>0</v>
      </c>
      <c r="CT15" s="9">
        <f>IF(真實IC!CT15&gt;真實IC!CT$26,1,0)</f>
        <v>0</v>
      </c>
      <c r="CU15" s="9">
        <f>IF(真實IC!CU15&gt;真實IC!CU$26,1,0)</f>
        <v>1</v>
      </c>
      <c r="CV15" s="9">
        <f>IF(真實IC!CV15&gt;真實IC!CV$26,1,0)</f>
        <v>1</v>
      </c>
      <c r="CW15" s="9">
        <f>IF(真實IC!CW15&gt;真實IC!CW$26,1,0)</f>
        <v>1</v>
      </c>
      <c r="CX15" s="9">
        <f>IF(真實IC!CX15&gt;真實IC!CX$26,1,0)</f>
        <v>1</v>
      </c>
      <c r="CY15" s="9">
        <f>IF(真實IC!CY15&gt;真實IC!CY$26,1,0)</f>
        <v>1</v>
      </c>
      <c r="CZ15" s="9">
        <f>IF(真實IC!CZ15&gt;真實IC!CZ$26,1,0)</f>
        <v>1</v>
      </c>
      <c r="DA15" s="9">
        <f>IF(真實IC!DA15&gt;真實IC!DA$26,1,0)</f>
        <v>1</v>
      </c>
      <c r="DB15" s="9">
        <f>IF(真實IC!DB15&gt;真實IC!DB$26,1,0)</f>
        <v>1</v>
      </c>
      <c r="DC15" s="9">
        <f>IF(真實IC!DC15&gt;真實IC!DC$26,1,0)</f>
        <v>1</v>
      </c>
      <c r="DD15" s="9">
        <f>IF(真實IC!DD15&gt;真實IC!DD$26,1,0)</f>
        <v>1</v>
      </c>
      <c r="DE15" s="9">
        <f>IF(真實IC!DE15&gt;真實IC!DE$26,1,0)</f>
        <v>0</v>
      </c>
      <c r="DF15" s="9">
        <f>IF(真實IC!DF15&gt;真實IC!DF$26,1,0)</f>
        <v>1</v>
      </c>
      <c r="DG15" s="9">
        <f>IF(真實IC!DG15&gt;真實IC!DG$26,1,0)</f>
        <v>0</v>
      </c>
      <c r="DH15" s="9">
        <f>IF(真實IC!DH15&gt;真實IC!DH$26,1,0)</f>
        <v>1</v>
      </c>
      <c r="DI15" s="9">
        <f>IF(真實IC!DI15&gt;真實IC!DI$26,1,0)</f>
        <v>1</v>
      </c>
      <c r="DJ15" s="9">
        <f>IF(真實IC!DJ15&gt;真實IC!DJ$26,1,0)</f>
        <v>1</v>
      </c>
      <c r="DK15" s="9">
        <f>IF(真實IC!DK15&gt;真實IC!DK$26,1,0)</f>
        <v>1</v>
      </c>
      <c r="DL15" s="9">
        <f>IF(真實IC!DL15&gt;真實IC!DL$26,1,0)</f>
        <v>0</v>
      </c>
      <c r="DM15" s="9">
        <f>IF(真實IC!DM15&gt;真實IC!DM$26,1,0)</f>
        <v>0</v>
      </c>
      <c r="DN15" s="9">
        <f>IF(真實IC!DN15&gt;真實IC!DN$26,1,0)</f>
        <v>1</v>
      </c>
      <c r="DO15" s="9">
        <f>IF(真實IC!DO15&gt;真實IC!DO$26,1,0)</f>
        <v>1</v>
      </c>
      <c r="DP15" s="9">
        <f>IF(真實IC!DP15&gt;真實IC!DP$26,1,0)</f>
        <v>1</v>
      </c>
      <c r="DQ15" s="9">
        <f>IF(真實IC!DQ15&gt;真實IC!DQ$26,1,0)</f>
        <v>0</v>
      </c>
      <c r="DR15" s="9">
        <f>IF(真實IC!DR15&gt;真實IC!DR$26,1,0)</f>
        <v>1</v>
      </c>
      <c r="DS15" s="9">
        <f>IF(真實IC!DS15&gt;真實IC!DS$26,1,0)</f>
        <v>1</v>
      </c>
      <c r="DT15" s="9">
        <f>IF(真實IC!DT15&gt;真實IC!DT$26,1,0)</f>
        <v>0</v>
      </c>
      <c r="DU15" s="9">
        <f>IF(真實IC!DU15&gt;真實IC!DU$26,1,0)</f>
        <v>1</v>
      </c>
      <c r="DV15" s="9">
        <f>IF(真實IC!DV15&gt;真實IC!DV$26,1,0)</f>
        <v>1</v>
      </c>
      <c r="DW15" s="9">
        <f>IF(真實IC!DW15&gt;真實IC!DW$26,1,0)</f>
        <v>0</v>
      </c>
      <c r="DX15" s="9">
        <f>IF(真實IC!DX15&gt;真實IC!DX$26,1,0)</f>
        <v>1</v>
      </c>
      <c r="DY15" s="9">
        <f>IF(真實IC!DY15&gt;真實IC!DY$26,1,0)</f>
        <v>1</v>
      </c>
      <c r="DZ15" s="9">
        <f>IF(真實IC!DZ15&gt;真實IC!DZ$26,1,0)</f>
        <v>1</v>
      </c>
      <c r="EA15" s="9">
        <f>IF(真實IC!EA15&gt;真實IC!EA$26,1,0)</f>
        <v>1</v>
      </c>
      <c r="EB15" s="9">
        <f>IF(真實IC!EB15&gt;真實IC!EB$26,1,0)</f>
        <v>1</v>
      </c>
      <c r="EC15" s="9">
        <f>IF(真實IC!EC15&gt;真實IC!EC$26,1,0)</f>
        <v>1</v>
      </c>
      <c r="ED15" s="9">
        <f>IF(真實IC!ED15&gt;真實IC!ED$26,1,0)</f>
        <v>1</v>
      </c>
      <c r="EE15" s="9">
        <f>IF(真實IC!EE15&gt;真實IC!EE$26,1,0)</f>
        <v>0</v>
      </c>
      <c r="EF15" s="9">
        <f>IF(真實IC!EH15&gt;真實IC!EF$26,1,0)</f>
        <v>1</v>
      </c>
      <c r="EG15" s="15">
        <f t="shared" si="10"/>
        <v>98</v>
      </c>
      <c r="EH15" s="14">
        <f t="shared" si="11"/>
        <v>0.73134328358208955</v>
      </c>
    </row>
    <row r="16" spans="1:138">
      <c r="A16" s="7">
        <v>107</v>
      </c>
      <c r="B16" s="7">
        <v>9</v>
      </c>
      <c r="C16" s="9">
        <f>IF(真實IC!C16&gt;真實IC!C$26,1,0)</f>
        <v>1</v>
      </c>
      <c r="D16" s="9">
        <f>IF(真實IC!D16&gt;真實IC!D$26,1,0)</f>
        <v>1</v>
      </c>
      <c r="E16" s="9">
        <f>IF(真實IC!E16&gt;真實IC!E$26,1,0)</f>
        <v>1</v>
      </c>
      <c r="F16" s="9">
        <f>IF(真實IC!F16&gt;真實IC!F$26,1,0)</f>
        <v>0</v>
      </c>
      <c r="G16" s="9">
        <f>IF(真實IC!G16&gt;真實IC!G$26,1,0)</f>
        <v>0</v>
      </c>
      <c r="H16" s="9">
        <f>IF(真實IC!H16&gt;真實IC!H$26,1,0)</f>
        <v>1</v>
      </c>
      <c r="I16" s="9">
        <f>IF(真實IC!I16&gt;真實IC!I$26,1,0)</f>
        <v>1</v>
      </c>
      <c r="J16" s="9">
        <f>IF(真實IC!J16&gt;真實IC!J$26,1,0)</f>
        <v>1</v>
      </c>
      <c r="K16" s="9">
        <f>IF(真實IC!K16&gt;真實IC!K$26,1,0)</f>
        <v>1</v>
      </c>
      <c r="L16" s="9">
        <f>IF(真實IC!L16&gt;真實IC!L$26,1,0)</f>
        <v>0</v>
      </c>
      <c r="M16" s="9">
        <f>IF(真實IC!M16&gt;真實IC!M$26,1,0)</f>
        <v>0</v>
      </c>
      <c r="N16" s="9">
        <f>IF(真實IC!N16&gt;真實IC!N$26,1,0)</f>
        <v>1</v>
      </c>
      <c r="O16" s="9">
        <f>IF(真實IC!O16&gt;真實IC!O$26,1,0)</f>
        <v>0</v>
      </c>
      <c r="P16" s="9">
        <f>IF(真實IC!P16&gt;真實IC!P$26,1,0)</f>
        <v>1</v>
      </c>
      <c r="Q16" s="9">
        <f>IF(真實IC!Q16&gt;真實IC!Q$26,1,0)</f>
        <v>1</v>
      </c>
      <c r="R16" s="9">
        <f>IF(真實IC!R16&gt;真實IC!R$26,1,0)</f>
        <v>0</v>
      </c>
      <c r="S16" s="9">
        <f>IF(真實IC!S16&gt;真實IC!S$26,1,0)</f>
        <v>1</v>
      </c>
      <c r="T16" s="9">
        <f>IF(真實IC!T16&gt;真實IC!T$26,1,0)</f>
        <v>1</v>
      </c>
      <c r="U16" s="9">
        <f>IF(真實IC!U16&gt;真實IC!U$26,1,0)</f>
        <v>1</v>
      </c>
      <c r="V16" s="9">
        <f>IF(真實IC!V16&gt;真實IC!V$26,1,0)</f>
        <v>1</v>
      </c>
      <c r="W16" s="9">
        <f>IF(真實IC!W16&gt;真實IC!W$26,1,0)</f>
        <v>1</v>
      </c>
      <c r="X16" s="9">
        <f>IF(真實IC!X16&gt;真實IC!X$26,1,0)</f>
        <v>1</v>
      </c>
      <c r="Y16" s="9">
        <f>IF(真實IC!Y16&gt;真實IC!Y$26,1,0)</f>
        <v>1</v>
      </c>
      <c r="Z16" s="9">
        <f>IF(真實IC!Z16&gt;真實IC!Z$26,1,0)</f>
        <v>1</v>
      </c>
      <c r="AA16" s="9">
        <f>IF(真實IC!AA16&gt;真實IC!AA$26,1,0)</f>
        <v>1</v>
      </c>
      <c r="AB16" s="9">
        <f>IF(真實IC!AB16&gt;真實IC!AB$26,1,0)</f>
        <v>1</v>
      </c>
      <c r="AC16" s="9">
        <f>IF(真實IC!AC16&gt;真實IC!AC$26,1,0)</f>
        <v>0</v>
      </c>
      <c r="AD16" s="9">
        <f>IF(真實IC!AD16&gt;真實IC!AD$26,1,0)</f>
        <v>1</v>
      </c>
      <c r="AE16" s="9">
        <f>IF(真實IC!AE16&gt;真實IC!AE$26,1,0)</f>
        <v>1</v>
      </c>
      <c r="AF16" s="9">
        <f>IF(真實IC!AF16&gt;真實IC!AF$26,1,0)</f>
        <v>1</v>
      </c>
      <c r="AG16" s="9">
        <f>IF(真實IC!AG16&gt;真實IC!AG$26,1,0)</f>
        <v>0</v>
      </c>
      <c r="AH16" s="9">
        <f>IF(真實IC!AH16&gt;真實IC!AH$26,1,0)</f>
        <v>0</v>
      </c>
      <c r="AI16" s="9">
        <f>IF(真實IC!AI16&gt;真實IC!AI$26,1,0)</f>
        <v>1</v>
      </c>
      <c r="AJ16" s="9">
        <f>IF(真實IC!AJ16&gt;真實IC!AJ$26,1,0)</f>
        <v>0</v>
      </c>
      <c r="AK16" s="9">
        <f>IF(真實IC!AK16&gt;真實IC!AK$26,1,0)</f>
        <v>1</v>
      </c>
      <c r="AL16" s="9">
        <f>IF(真實IC!AL16&gt;真實IC!AL$26,1,0)</f>
        <v>0</v>
      </c>
      <c r="AM16" s="9">
        <f>IF(真實IC!AM16&gt;真實IC!AM$26,1,0)</f>
        <v>1</v>
      </c>
      <c r="AN16" s="9">
        <f>IF(真實IC!AN16&gt;真實IC!AN$26,1,0)</f>
        <v>1</v>
      </c>
      <c r="AO16" s="9">
        <f>IF(真實IC!AO16&gt;真實IC!AO$26,1,0)</f>
        <v>0</v>
      </c>
      <c r="AP16" s="9">
        <f>IF(真實IC!AP16&gt;真實IC!AP$26,1,0)</f>
        <v>1</v>
      </c>
      <c r="AQ16" s="9">
        <f>IF(真實IC!AQ16&gt;真實IC!AQ$26,1,0)</f>
        <v>1</v>
      </c>
      <c r="AR16" s="9">
        <f>IF(真實IC!AR16&gt;真實IC!AR$26,1,0)</f>
        <v>0</v>
      </c>
      <c r="AS16" s="9">
        <f>IF(真實IC!AS16&gt;真實IC!AS$26,1,0)</f>
        <v>0</v>
      </c>
      <c r="AT16" s="9">
        <f>IF(真實IC!AT16&gt;真實IC!AT$26,1,0)</f>
        <v>1</v>
      </c>
      <c r="AU16" s="9">
        <f>IF(真實IC!AU16&gt;真實IC!AU$26,1,0)</f>
        <v>1</v>
      </c>
      <c r="AV16" s="9">
        <f>IF(真實IC!AV16&gt;真實IC!AV$26,1,0)</f>
        <v>1</v>
      </c>
      <c r="AW16" s="9">
        <f>IF(真實IC!AW16&gt;真實IC!AW$26,1,0)</f>
        <v>1</v>
      </c>
      <c r="AX16" s="9">
        <f>IF(真實IC!AX16&gt;真實IC!AX$26,1,0)</f>
        <v>1</v>
      </c>
      <c r="AY16" s="9">
        <f>IF(真實IC!AY16&gt;真實IC!AY$26,1,0)</f>
        <v>0</v>
      </c>
      <c r="AZ16" s="9">
        <f>IF(真實IC!AZ16&gt;真實IC!AZ$26,1,0)</f>
        <v>1</v>
      </c>
      <c r="BA16" s="9">
        <f>IF(真實IC!BA16&gt;真實IC!BA$26,1,0)</f>
        <v>1</v>
      </c>
      <c r="BB16" s="9">
        <f>IF(真實IC!BB16&gt;真實IC!BB$26,1,0)</f>
        <v>1</v>
      </c>
      <c r="BC16" s="9">
        <f>IF(真實IC!BC16&gt;真實IC!BC$26,1,0)</f>
        <v>0</v>
      </c>
      <c r="BD16" s="9">
        <f>IF(真實IC!BD16&gt;真實IC!BD$26,1,0)</f>
        <v>1</v>
      </c>
      <c r="BE16" s="9">
        <f>IF(真實IC!BE16&gt;真實IC!BE$26,1,0)</f>
        <v>1</v>
      </c>
      <c r="BF16" s="9">
        <f>IF(真實IC!BF16&gt;真實IC!BF$26,1,0)</f>
        <v>1</v>
      </c>
      <c r="BG16" s="9">
        <f>IF(真實IC!BG16&gt;真實IC!BG$26,1,0)</f>
        <v>1</v>
      </c>
      <c r="BH16" s="9">
        <f>IF(真實IC!BH16&gt;真實IC!BH$26,1,0)</f>
        <v>1</v>
      </c>
      <c r="BI16" s="9">
        <f>IF(真實IC!BI16&gt;真實IC!BI$26,1,0)</f>
        <v>1</v>
      </c>
      <c r="BJ16" s="9">
        <f>IF(真實IC!BJ16&gt;真實IC!BJ$26,1,0)</f>
        <v>1</v>
      </c>
      <c r="BK16" s="9">
        <f>IF(真實IC!BK16&gt;真實IC!BK$26,1,0)</f>
        <v>0</v>
      </c>
      <c r="BL16" s="9">
        <f>IF(真實IC!BL16&gt;真實IC!BL$26,1,0)</f>
        <v>1</v>
      </c>
      <c r="BM16" s="9">
        <f>IF(真實IC!BM16&gt;真實IC!BM$26,1,0)</f>
        <v>1</v>
      </c>
      <c r="BN16" s="9">
        <f>IF(真實IC!BN16&gt;真實IC!BN$26,1,0)</f>
        <v>0</v>
      </c>
      <c r="BO16" s="9">
        <f>IF(真實IC!BO16&gt;真實IC!BO$26,1,0)</f>
        <v>1</v>
      </c>
      <c r="BP16" s="9">
        <f>IF(真實IC!BP16&gt;真實IC!BP$26,1,0)</f>
        <v>0</v>
      </c>
      <c r="BQ16" s="9">
        <f>IF(真實IC!BQ16&gt;真實IC!BQ$26,1,0)</f>
        <v>1</v>
      </c>
      <c r="BR16" s="9">
        <f>IF(真實IC!BR16&gt;真實IC!BR$26,1,0)</f>
        <v>1</v>
      </c>
      <c r="BS16" s="9">
        <f>IF(真實IC!BS16&gt;真實IC!BS$26,1,0)</f>
        <v>1</v>
      </c>
      <c r="BT16" s="9">
        <f>IF(真實IC!BT16&gt;真實IC!BT$26,1,0)</f>
        <v>0</v>
      </c>
      <c r="BU16" s="9">
        <f>IF(真實IC!BU16&gt;真實IC!BU$26,1,0)</f>
        <v>1</v>
      </c>
      <c r="BV16" s="9">
        <f>IF(真實IC!BV16&gt;真實IC!BV$26,1,0)</f>
        <v>0</v>
      </c>
      <c r="BW16" s="9">
        <f>IF(真實IC!BW16&gt;真實IC!BW$26,1,0)</f>
        <v>1</v>
      </c>
      <c r="BX16" s="9">
        <f>IF(真實IC!BX16&gt;真實IC!BX$26,1,0)</f>
        <v>1</v>
      </c>
      <c r="BY16" s="9">
        <f>IF(真實IC!BY16&gt;真實IC!BY$26,1,0)</f>
        <v>1</v>
      </c>
      <c r="BZ16" s="9">
        <f>IF(真實IC!BZ16&gt;真實IC!BZ$26,1,0)</f>
        <v>0</v>
      </c>
      <c r="CA16" s="9">
        <f>IF(真實IC!CA16&gt;真實IC!CA$26,1,0)</f>
        <v>1</v>
      </c>
      <c r="CB16" s="9">
        <f>IF(真實IC!CB16&gt;真實IC!CB$26,1,0)</f>
        <v>1</v>
      </c>
      <c r="CC16" s="9">
        <f>IF(真實IC!CC16&gt;真實IC!CC$26,1,0)</f>
        <v>0</v>
      </c>
      <c r="CD16" s="9">
        <f>IF(真實IC!CD16&gt;真實IC!CD$26,1,0)</f>
        <v>1</v>
      </c>
      <c r="CE16" s="9">
        <f>IF(真實IC!CE16&gt;真實IC!CE$26,1,0)</f>
        <v>1</v>
      </c>
      <c r="CF16" s="9">
        <f>IF(真實IC!CF16&gt;真實IC!CF$26,1,0)</f>
        <v>1</v>
      </c>
      <c r="CG16" s="9">
        <f>IF(真實IC!CG16&gt;真實IC!CG$26,1,0)</f>
        <v>0</v>
      </c>
      <c r="CH16" s="9">
        <f>IF(真實IC!CH16&gt;真實IC!CH$26,1,0)</f>
        <v>0</v>
      </c>
      <c r="CI16" s="9">
        <f>IF(真實IC!CI16&gt;真實IC!CI$26,1,0)</f>
        <v>1</v>
      </c>
      <c r="CJ16" s="9">
        <f>IF(真實IC!CJ16&gt;真實IC!CJ$26,1,0)</f>
        <v>0</v>
      </c>
      <c r="CK16" s="9">
        <f>IF(真實IC!CK16&gt;真實IC!CK$26,1,0)</f>
        <v>1</v>
      </c>
      <c r="CL16" s="9">
        <f>IF(真實IC!CL16&gt;真實IC!CL$26,1,0)</f>
        <v>0</v>
      </c>
      <c r="CM16" s="9">
        <f>IF(真實IC!CM16&gt;真實IC!CM$26,1,0)</f>
        <v>1</v>
      </c>
      <c r="CN16" s="9">
        <f>IF(真實IC!CN16&gt;真實IC!CN$26,1,0)</f>
        <v>1</v>
      </c>
      <c r="CO16" s="9">
        <f>IF(真實IC!CO16&gt;真實IC!CO$26,1,0)</f>
        <v>1</v>
      </c>
      <c r="CP16" s="9">
        <f>IF(真實IC!CP16&gt;真實IC!CP$26,1,0)</f>
        <v>1</v>
      </c>
      <c r="CQ16" s="9">
        <f>IF(真實IC!CQ16&gt;真實IC!CQ$26,1,0)</f>
        <v>1</v>
      </c>
      <c r="CR16" s="9">
        <f>IF(真實IC!CR16&gt;真實IC!CR$26,1,0)</f>
        <v>1</v>
      </c>
      <c r="CS16" s="9">
        <f>IF(真實IC!CS16&gt;真實IC!CS$26,1,0)</f>
        <v>1</v>
      </c>
      <c r="CT16" s="9">
        <f>IF(真實IC!CT16&gt;真實IC!CT$26,1,0)</f>
        <v>1</v>
      </c>
      <c r="CU16" s="9">
        <f>IF(真實IC!CU16&gt;真實IC!CU$26,1,0)</f>
        <v>1</v>
      </c>
      <c r="CV16" s="9">
        <f>IF(真實IC!CV16&gt;真實IC!CV$26,1,0)</f>
        <v>1</v>
      </c>
      <c r="CW16" s="9">
        <f>IF(真實IC!CW16&gt;真實IC!CW$26,1,0)</f>
        <v>1</v>
      </c>
      <c r="CX16" s="9">
        <f>IF(真實IC!CX16&gt;真實IC!CX$26,1,0)</f>
        <v>1</v>
      </c>
      <c r="CY16" s="9">
        <f>IF(真實IC!CY16&gt;真實IC!CY$26,1,0)</f>
        <v>1</v>
      </c>
      <c r="CZ16" s="9">
        <f>IF(真實IC!CZ16&gt;真實IC!CZ$26,1,0)</f>
        <v>1</v>
      </c>
      <c r="DA16" s="9">
        <f>IF(真實IC!DA16&gt;真實IC!DA$26,1,0)</f>
        <v>1</v>
      </c>
      <c r="DB16" s="9">
        <f>IF(真實IC!DB16&gt;真實IC!DB$26,1,0)</f>
        <v>1</v>
      </c>
      <c r="DC16" s="9">
        <f>IF(真實IC!DC16&gt;真實IC!DC$26,1,0)</f>
        <v>1</v>
      </c>
      <c r="DD16" s="9">
        <f>IF(真實IC!DD16&gt;真實IC!DD$26,1,0)</f>
        <v>1</v>
      </c>
      <c r="DE16" s="9">
        <f>IF(真實IC!DE16&gt;真實IC!DE$26,1,0)</f>
        <v>0</v>
      </c>
      <c r="DF16" s="9">
        <f>IF(真實IC!DF16&gt;真實IC!DF$26,1,0)</f>
        <v>1</v>
      </c>
      <c r="DG16" s="9">
        <f>IF(真實IC!DG16&gt;真實IC!DG$26,1,0)</f>
        <v>0</v>
      </c>
      <c r="DH16" s="9">
        <f>IF(真實IC!DH16&gt;真實IC!DH$26,1,0)</f>
        <v>1</v>
      </c>
      <c r="DI16" s="9">
        <f>IF(真實IC!DI16&gt;真實IC!DI$26,1,0)</f>
        <v>1</v>
      </c>
      <c r="DJ16" s="9">
        <f>IF(真實IC!DJ16&gt;真實IC!DJ$26,1,0)</f>
        <v>1</v>
      </c>
      <c r="DK16" s="9">
        <f>IF(真實IC!DK16&gt;真實IC!DK$26,1,0)</f>
        <v>1</v>
      </c>
      <c r="DL16" s="9">
        <f>IF(真實IC!DL16&gt;真實IC!DL$26,1,0)</f>
        <v>0</v>
      </c>
      <c r="DM16" s="9">
        <f>IF(真實IC!DM16&gt;真實IC!DM$26,1,0)</f>
        <v>0</v>
      </c>
      <c r="DN16" s="9">
        <f>IF(真實IC!DN16&gt;真實IC!DN$26,1,0)</f>
        <v>1</v>
      </c>
      <c r="DO16" s="9">
        <f>IF(真實IC!DO16&gt;真實IC!DO$26,1,0)</f>
        <v>1</v>
      </c>
      <c r="DP16" s="9">
        <f>IF(真實IC!DP16&gt;真實IC!DP$26,1,0)</f>
        <v>1</v>
      </c>
      <c r="DQ16" s="9">
        <f>IF(真實IC!DQ16&gt;真實IC!DQ$26,1,0)</f>
        <v>0</v>
      </c>
      <c r="DR16" s="9">
        <f>IF(真實IC!DR16&gt;真實IC!DR$26,1,0)</f>
        <v>1</v>
      </c>
      <c r="DS16" s="9">
        <f>IF(真實IC!DS16&gt;真實IC!DS$26,1,0)</f>
        <v>1</v>
      </c>
      <c r="DT16" s="9">
        <f>IF(真實IC!DT16&gt;真實IC!DT$26,1,0)</f>
        <v>1</v>
      </c>
      <c r="DU16" s="9">
        <f>IF(真實IC!DU16&gt;真實IC!DU$26,1,0)</f>
        <v>1</v>
      </c>
      <c r="DV16" s="9">
        <f>IF(真實IC!DV16&gt;真實IC!DV$26,1,0)</f>
        <v>1</v>
      </c>
      <c r="DW16" s="9">
        <f>IF(真實IC!DW16&gt;真實IC!DW$26,1,0)</f>
        <v>0</v>
      </c>
      <c r="DX16" s="9">
        <f>IF(真實IC!DX16&gt;真實IC!DX$26,1,0)</f>
        <v>1</v>
      </c>
      <c r="DY16" s="9">
        <f>IF(真實IC!DY16&gt;真實IC!DY$26,1,0)</f>
        <v>1</v>
      </c>
      <c r="DZ16" s="9">
        <f>IF(真實IC!DZ16&gt;真實IC!DZ$26,1,0)</f>
        <v>1</v>
      </c>
      <c r="EA16" s="9">
        <f>IF(真實IC!EA16&gt;真實IC!EA$26,1,0)</f>
        <v>1</v>
      </c>
      <c r="EB16" s="9">
        <f>IF(真實IC!EB16&gt;真實IC!EB$26,1,0)</f>
        <v>1</v>
      </c>
      <c r="EC16" s="9">
        <f>IF(真實IC!EC16&gt;真實IC!EC$26,1,0)</f>
        <v>1</v>
      </c>
      <c r="ED16" s="9">
        <f>IF(真實IC!ED16&gt;真實IC!ED$26,1,0)</f>
        <v>1</v>
      </c>
      <c r="EE16" s="9">
        <f>IF(真實IC!EE16&gt;真實IC!EE$26,1,0)</f>
        <v>0</v>
      </c>
      <c r="EF16" s="9">
        <f>IF(真實IC!EH16&gt;真實IC!EF$26,1,0)</f>
        <v>1</v>
      </c>
      <c r="EG16" s="15">
        <f t="shared" si="10"/>
        <v>100</v>
      </c>
      <c r="EH16" s="14">
        <f t="shared" si="11"/>
        <v>0.74626865671641796</v>
      </c>
    </row>
    <row r="17" spans="1:138">
      <c r="A17" s="7">
        <v>120</v>
      </c>
      <c r="B17" s="7">
        <v>8</v>
      </c>
      <c r="C17" s="9">
        <f>IF(真實IC!C17&gt;真實IC!C$26,1,0)</f>
        <v>1</v>
      </c>
      <c r="D17" s="9">
        <f>IF(真實IC!D17&gt;真實IC!D$26,1,0)</f>
        <v>1</v>
      </c>
      <c r="E17" s="9">
        <f>IF(真實IC!E17&gt;真實IC!E$26,1,0)</f>
        <v>1</v>
      </c>
      <c r="F17" s="9">
        <f>IF(真實IC!F17&gt;真實IC!F$26,1,0)</f>
        <v>0</v>
      </c>
      <c r="G17" s="9">
        <f>IF(真實IC!G17&gt;真實IC!G$26,1,0)</f>
        <v>1</v>
      </c>
      <c r="H17" s="9">
        <f>IF(真實IC!H17&gt;真實IC!H$26,1,0)</f>
        <v>1</v>
      </c>
      <c r="I17" s="9">
        <f>IF(真實IC!I17&gt;真實IC!I$26,1,0)</f>
        <v>1</v>
      </c>
      <c r="J17" s="9">
        <f>IF(真實IC!J17&gt;真實IC!J$26,1,0)</f>
        <v>1</v>
      </c>
      <c r="K17" s="9">
        <f>IF(真實IC!K17&gt;真實IC!K$26,1,0)</f>
        <v>1</v>
      </c>
      <c r="L17" s="9">
        <f>IF(真實IC!L17&gt;真實IC!L$26,1,0)</f>
        <v>0</v>
      </c>
      <c r="M17" s="9">
        <f>IF(真實IC!M17&gt;真實IC!M$26,1,0)</f>
        <v>0</v>
      </c>
      <c r="N17" s="9">
        <f>IF(真實IC!N17&gt;真實IC!N$26,1,0)</f>
        <v>1</v>
      </c>
      <c r="O17" s="9">
        <f>IF(真實IC!O17&gt;真實IC!O$26,1,0)</f>
        <v>0</v>
      </c>
      <c r="P17" s="9">
        <f>IF(真實IC!P17&gt;真實IC!P$26,1,0)</f>
        <v>1</v>
      </c>
      <c r="Q17" s="9">
        <f>IF(真實IC!Q17&gt;真實IC!Q$26,1,0)</f>
        <v>1</v>
      </c>
      <c r="R17" s="9">
        <f>IF(真實IC!R17&gt;真實IC!R$26,1,0)</f>
        <v>0</v>
      </c>
      <c r="S17" s="9">
        <f>IF(真實IC!S17&gt;真實IC!S$26,1,0)</f>
        <v>1</v>
      </c>
      <c r="T17" s="9">
        <f>IF(真實IC!T17&gt;真實IC!T$26,1,0)</f>
        <v>1</v>
      </c>
      <c r="U17" s="9">
        <f>IF(真實IC!U17&gt;真實IC!U$26,1,0)</f>
        <v>1</v>
      </c>
      <c r="V17" s="9">
        <f>IF(真實IC!V17&gt;真實IC!V$26,1,0)</f>
        <v>1</v>
      </c>
      <c r="W17" s="9">
        <f>IF(真實IC!W17&gt;真實IC!W$26,1,0)</f>
        <v>1</v>
      </c>
      <c r="X17" s="9">
        <f>IF(真實IC!X17&gt;真實IC!X$26,1,0)</f>
        <v>1</v>
      </c>
      <c r="Y17" s="9">
        <f>IF(真實IC!Y17&gt;真實IC!Y$26,1,0)</f>
        <v>1</v>
      </c>
      <c r="Z17" s="9">
        <f>IF(真實IC!Z17&gt;真實IC!Z$26,1,0)</f>
        <v>1</v>
      </c>
      <c r="AA17" s="9">
        <f>IF(真實IC!AA17&gt;真實IC!AA$26,1,0)</f>
        <v>1</v>
      </c>
      <c r="AB17" s="9">
        <f>IF(真實IC!AB17&gt;真實IC!AB$26,1,0)</f>
        <v>1</v>
      </c>
      <c r="AC17" s="9">
        <f>IF(真實IC!AC17&gt;真實IC!AC$26,1,0)</f>
        <v>0</v>
      </c>
      <c r="AD17" s="9">
        <f>IF(真實IC!AD17&gt;真實IC!AD$26,1,0)</f>
        <v>1</v>
      </c>
      <c r="AE17" s="9">
        <f>IF(真實IC!AE17&gt;真實IC!AE$26,1,0)</f>
        <v>1</v>
      </c>
      <c r="AF17" s="9">
        <f>IF(真實IC!AF17&gt;真實IC!AF$26,1,0)</f>
        <v>1</v>
      </c>
      <c r="AG17" s="9">
        <f>IF(真實IC!AG17&gt;真實IC!AG$26,1,0)</f>
        <v>0</v>
      </c>
      <c r="AH17" s="9">
        <f>IF(真實IC!AH17&gt;真實IC!AH$26,1,0)</f>
        <v>0</v>
      </c>
      <c r="AI17" s="9">
        <f>IF(真實IC!AI17&gt;真實IC!AI$26,1,0)</f>
        <v>1</v>
      </c>
      <c r="AJ17" s="9">
        <f>IF(真實IC!AJ17&gt;真實IC!AJ$26,1,0)</f>
        <v>0</v>
      </c>
      <c r="AK17" s="9">
        <f>IF(真實IC!AK17&gt;真實IC!AK$26,1,0)</f>
        <v>1</v>
      </c>
      <c r="AL17" s="9">
        <f>IF(真實IC!AL17&gt;真實IC!AL$26,1,0)</f>
        <v>0</v>
      </c>
      <c r="AM17" s="9">
        <f>IF(真實IC!AM17&gt;真實IC!AM$26,1,0)</f>
        <v>1</v>
      </c>
      <c r="AN17" s="9">
        <f>IF(真實IC!AN17&gt;真實IC!AN$26,1,0)</f>
        <v>1</v>
      </c>
      <c r="AO17" s="9">
        <f>IF(真實IC!AO17&gt;真實IC!AO$26,1,0)</f>
        <v>0</v>
      </c>
      <c r="AP17" s="9">
        <f>IF(真實IC!AP17&gt;真實IC!AP$26,1,0)</f>
        <v>1</v>
      </c>
      <c r="AQ17" s="9">
        <f>IF(真實IC!AQ17&gt;真實IC!AQ$26,1,0)</f>
        <v>0</v>
      </c>
      <c r="AR17" s="9">
        <f>IF(真實IC!AR17&gt;真實IC!AR$26,1,0)</f>
        <v>0</v>
      </c>
      <c r="AS17" s="9">
        <f>IF(真實IC!AS17&gt;真實IC!AS$26,1,0)</f>
        <v>0</v>
      </c>
      <c r="AT17" s="9">
        <f>IF(真實IC!AT17&gt;真實IC!AT$26,1,0)</f>
        <v>1</v>
      </c>
      <c r="AU17" s="9">
        <f>IF(真實IC!AU17&gt;真實IC!AU$26,1,0)</f>
        <v>1</v>
      </c>
      <c r="AV17" s="9">
        <f>IF(真實IC!AV17&gt;真實IC!AV$26,1,0)</f>
        <v>1</v>
      </c>
      <c r="AW17" s="9">
        <f>IF(真實IC!AW17&gt;真實IC!AW$26,1,0)</f>
        <v>1</v>
      </c>
      <c r="AX17" s="9">
        <f>IF(真實IC!AX17&gt;真實IC!AX$26,1,0)</f>
        <v>1</v>
      </c>
      <c r="AY17" s="9">
        <f>IF(真實IC!AY17&gt;真實IC!AY$26,1,0)</f>
        <v>0</v>
      </c>
      <c r="AZ17" s="9">
        <f>IF(真實IC!AZ17&gt;真實IC!AZ$26,1,0)</f>
        <v>1</v>
      </c>
      <c r="BA17" s="9">
        <f>IF(真實IC!BA17&gt;真實IC!BA$26,1,0)</f>
        <v>1</v>
      </c>
      <c r="BB17" s="9">
        <f>IF(真實IC!BB17&gt;真實IC!BB$26,1,0)</f>
        <v>1</v>
      </c>
      <c r="BC17" s="9">
        <f>IF(真實IC!BC17&gt;真實IC!BC$26,1,0)</f>
        <v>0</v>
      </c>
      <c r="BD17" s="9">
        <f>IF(真實IC!BD17&gt;真實IC!BD$26,1,0)</f>
        <v>1</v>
      </c>
      <c r="BE17" s="9">
        <f>IF(真實IC!BE17&gt;真實IC!BE$26,1,0)</f>
        <v>1</v>
      </c>
      <c r="BF17" s="9">
        <f>IF(真實IC!BF17&gt;真實IC!BF$26,1,0)</f>
        <v>1</v>
      </c>
      <c r="BG17" s="9">
        <f>IF(真實IC!BG17&gt;真實IC!BG$26,1,0)</f>
        <v>1</v>
      </c>
      <c r="BH17" s="9">
        <f>IF(真實IC!BH17&gt;真實IC!BH$26,1,0)</f>
        <v>1</v>
      </c>
      <c r="BI17" s="9">
        <f>IF(真實IC!BI17&gt;真實IC!BI$26,1,0)</f>
        <v>1</v>
      </c>
      <c r="BJ17" s="9">
        <f>IF(真實IC!BJ17&gt;真實IC!BJ$26,1,0)</f>
        <v>1</v>
      </c>
      <c r="BK17" s="9">
        <f>IF(真實IC!BK17&gt;真實IC!BK$26,1,0)</f>
        <v>0</v>
      </c>
      <c r="BL17" s="9">
        <f>IF(真實IC!BL17&gt;真實IC!BL$26,1,0)</f>
        <v>0</v>
      </c>
      <c r="BM17" s="9">
        <f>IF(真實IC!BM17&gt;真實IC!BM$26,1,0)</f>
        <v>1</v>
      </c>
      <c r="BN17" s="9">
        <f>IF(真實IC!BN17&gt;真實IC!BN$26,1,0)</f>
        <v>0</v>
      </c>
      <c r="BO17" s="9">
        <f>IF(真實IC!BO17&gt;真實IC!BO$26,1,0)</f>
        <v>1</v>
      </c>
      <c r="BP17" s="9">
        <f>IF(真實IC!BP17&gt;真實IC!BP$26,1,0)</f>
        <v>0</v>
      </c>
      <c r="BQ17" s="9">
        <f>IF(真實IC!BQ17&gt;真實IC!BQ$26,1,0)</f>
        <v>1</v>
      </c>
      <c r="BR17" s="9">
        <f>IF(真實IC!BR17&gt;真實IC!BR$26,1,0)</f>
        <v>1</v>
      </c>
      <c r="BS17" s="9">
        <f>IF(真實IC!BS17&gt;真實IC!BS$26,1,0)</f>
        <v>1</v>
      </c>
      <c r="BT17" s="9">
        <f>IF(真實IC!BT17&gt;真實IC!BT$26,1,0)</f>
        <v>0</v>
      </c>
      <c r="BU17" s="9">
        <f>IF(真實IC!BU17&gt;真實IC!BU$26,1,0)</f>
        <v>1</v>
      </c>
      <c r="BV17" s="9">
        <f>IF(真實IC!BV17&gt;真實IC!BV$26,1,0)</f>
        <v>0</v>
      </c>
      <c r="BW17" s="9">
        <f>IF(真實IC!BW17&gt;真實IC!BW$26,1,0)</f>
        <v>1</v>
      </c>
      <c r="BX17" s="9">
        <f>IF(真實IC!BX17&gt;真實IC!BX$26,1,0)</f>
        <v>1</v>
      </c>
      <c r="BY17" s="9">
        <f>IF(真實IC!BY17&gt;真實IC!BY$26,1,0)</f>
        <v>1</v>
      </c>
      <c r="BZ17" s="9">
        <f>IF(真實IC!BZ17&gt;真實IC!BZ$26,1,0)</f>
        <v>0</v>
      </c>
      <c r="CA17" s="9">
        <f>IF(真實IC!CA17&gt;真實IC!CA$26,1,0)</f>
        <v>1</v>
      </c>
      <c r="CB17" s="9">
        <f>IF(真實IC!CB17&gt;真實IC!CB$26,1,0)</f>
        <v>1</v>
      </c>
      <c r="CC17" s="9">
        <f>IF(真實IC!CC17&gt;真實IC!CC$26,1,0)</f>
        <v>0</v>
      </c>
      <c r="CD17" s="9">
        <f>IF(真實IC!CD17&gt;真實IC!CD$26,1,0)</f>
        <v>1</v>
      </c>
      <c r="CE17" s="9">
        <f>IF(真實IC!CE17&gt;真實IC!CE$26,1,0)</f>
        <v>1</v>
      </c>
      <c r="CF17" s="9">
        <f>IF(真實IC!CF17&gt;真實IC!CF$26,1,0)</f>
        <v>1</v>
      </c>
      <c r="CG17" s="9">
        <f>IF(真實IC!CG17&gt;真實IC!CG$26,1,0)</f>
        <v>0</v>
      </c>
      <c r="CH17" s="9">
        <f>IF(真實IC!CH17&gt;真實IC!CH$26,1,0)</f>
        <v>0</v>
      </c>
      <c r="CI17" s="9">
        <f>IF(真實IC!CI17&gt;真實IC!CI$26,1,0)</f>
        <v>0</v>
      </c>
      <c r="CJ17" s="9">
        <f>IF(真實IC!CJ17&gt;真實IC!CJ$26,1,0)</f>
        <v>0</v>
      </c>
      <c r="CK17" s="9">
        <f>IF(真實IC!CK17&gt;真實IC!CK$26,1,0)</f>
        <v>1</v>
      </c>
      <c r="CL17" s="9">
        <f>IF(真實IC!CL17&gt;真實IC!CL$26,1,0)</f>
        <v>0</v>
      </c>
      <c r="CM17" s="9">
        <f>IF(真實IC!CM17&gt;真實IC!CM$26,1,0)</f>
        <v>1</v>
      </c>
      <c r="CN17" s="9">
        <f>IF(真實IC!CN17&gt;真實IC!CN$26,1,0)</f>
        <v>1</v>
      </c>
      <c r="CO17" s="9">
        <f>IF(真實IC!CO17&gt;真實IC!CO$26,1,0)</f>
        <v>1</v>
      </c>
      <c r="CP17" s="9">
        <f>IF(真實IC!CP17&gt;真實IC!CP$26,1,0)</f>
        <v>1</v>
      </c>
      <c r="CQ17" s="9">
        <f>IF(真實IC!CQ17&gt;真實IC!CQ$26,1,0)</f>
        <v>1</v>
      </c>
      <c r="CR17" s="9">
        <f>IF(真實IC!CR17&gt;真實IC!CR$26,1,0)</f>
        <v>1</v>
      </c>
      <c r="CS17" s="9">
        <f>IF(真實IC!CS17&gt;真實IC!CS$26,1,0)</f>
        <v>1</v>
      </c>
      <c r="CT17" s="9">
        <f>IF(真實IC!CT17&gt;真實IC!CT$26,1,0)</f>
        <v>1</v>
      </c>
      <c r="CU17" s="9">
        <f>IF(真實IC!CU17&gt;真實IC!CU$26,1,0)</f>
        <v>1</v>
      </c>
      <c r="CV17" s="9">
        <f>IF(真實IC!CV17&gt;真實IC!CV$26,1,0)</f>
        <v>1</v>
      </c>
      <c r="CW17" s="9">
        <f>IF(真實IC!CW17&gt;真實IC!CW$26,1,0)</f>
        <v>1</v>
      </c>
      <c r="CX17" s="9">
        <f>IF(真實IC!CX17&gt;真實IC!CX$26,1,0)</f>
        <v>1</v>
      </c>
      <c r="CY17" s="9">
        <f>IF(真實IC!CY17&gt;真實IC!CY$26,1,0)</f>
        <v>1</v>
      </c>
      <c r="CZ17" s="9">
        <f>IF(真實IC!CZ17&gt;真實IC!CZ$26,1,0)</f>
        <v>1</v>
      </c>
      <c r="DA17" s="9">
        <f>IF(真實IC!DA17&gt;真實IC!DA$26,1,0)</f>
        <v>1</v>
      </c>
      <c r="DB17" s="9">
        <f>IF(真實IC!DB17&gt;真實IC!DB$26,1,0)</f>
        <v>1</v>
      </c>
      <c r="DC17" s="9">
        <f>IF(真實IC!DC17&gt;真實IC!DC$26,1,0)</f>
        <v>1</v>
      </c>
      <c r="DD17" s="9">
        <f>IF(真實IC!DD17&gt;真實IC!DD$26,1,0)</f>
        <v>1</v>
      </c>
      <c r="DE17" s="9">
        <f>IF(真實IC!DE17&gt;真實IC!DE$26,1,0)</f>
        <v>0</v>
      </c>
      <c r="DF17" s="9">
        <f>IF(真實IC!DF17&gt;真實IC!DF$26,1,0)</f>
        <v>1</v>
      </c>
      <c r="DG17" s="9">
        <f>IF(真實IC!DG17&gt;真實IC!DG$26,1,0)</f>
        <v>0</v>
      </c>
      <c r="DH17" s="9">
        <f>IF(真實IC!DH17&gt;真實IC!DH$26,1,0)</f>
        <v>1</v>
      </c>
      <c r="DI17" s="9">
        <f>IF(真實IC!DI17&gt;真實IC!DI$26,1,0)</f>
        <v>1</v>
      </c>
      <c r="DJ17" s="9">
        <f>IF(真實IC!DJ17&gt;真實IC!DJ$26,1,0)</f>
        <v>1</v>
      </c>
      <c r="DK17" s="9">
        <f>IF(真實IC!DK17&gt;真實IC!DK$26,1,0)</f>
        <v>1</v>
      </c>
      <c r="DL17" s="9">
        <f>IF(真實IC!DL17&gt;真實IC!DL$26,1,0)</f>
        <v>0</v>
      </c>
      <c r="DM17" s="9">
        <f>IF(真實IC!DM17&gt;真實IC!DM$26,1,0)</f>
        <v>0</v>
      </c>
      <c r="DN17" s="9">
        <f>IF(真實IC!DN17&gt;真實IC!DN$26,1,0)</f>
        <v>1</v>
      </c>
      <c r="DO17" s="9">
        <f>IF(真實IC!DO17&gt;真實IC!DO$26,1,0)</f>
        <v>1</v>
      </c>
      <c r="DP17" s="9">
        <f>IF(真實IC!DP17&gt;真實IC!DP$26,1,0)</f>
        <v>1</v>
      </c>
      <c r="DQ17" s="9">
        <f>IF(真實IC!DQ17&gt;真實IC!DQ$26,1,0)</f>
        <v>0</v>
      </c>
      <c r="DR17" s="9">
        <f>IF(真實IC!DR17&gt;真實IC!DR$26,1,0)</f>
        <v>1</v>
      </c>
      <c r="DS17" s="9">
        <f>IF(真實IC!DS17&gt;真實IC!DS$26,1,0)</f>
        <v>1</v>
      </c>
      <c r="DT17" s="9">
        <f>IF(真實IC!DT17&gt;真實IC!DT$26,1,0)</f>
        <v>1</v>
      </c>
      <c r="DU17" s="9">
        <f>IF(真實IC!DU17&gt;真實IC!DU$26,1,0)</f>
        <v>1</v>
      </c>
      <c r="DV17" s="9">
        <f>IF(真實IC!DV17&gt;真實IC!DV$26,1,0)</f>
        <v>1</v>
      </c>
      <c r="DW17" s="9">
        <f>IF(真實IC!DW17&gt;真實IC!DW$26,1,0)</f>
        <v>0</v>
      </c>
      <c r="DX17" s="9">
        <f>IF(真實IC!DX17&gt;真實IC!DX$26,1,0)</f>
        <v>1</v>
      </c>
      <c r="DY17" s="9">
        <f>IF(真實IC!DY17&gt;真實IC!DY$26,1,0)</f>
        <v>1</v>
      </c>
      <c r="DZ17" s="9">
        <f>IF(真實IC!DZ17&gt;真實IC!DZ$26,1,0)</f>
        <v>1</v>
      </c>
      <c r="EA17" s="9">
        <f>IF(真實IC!EA17&gt;真實IC!EA$26,1,0)</f>
        <v>0</v>
      </c>
      <c r="EB17" s="9">
        <f>IF(真實IC!EB17&gt;真實IC!EB$26,1,0)</f>
        <v>1</v>
      </c>
      <c r="EC17" s="9">
        <f>IF(真實IC!EC17&gt;真實IC!EC$26,1,0)</f>
        <v>1</v>
      </c>
      <c r="ED17" s="9">
        <f>IF(真實IC!ED17&gt;真實IC!ED$26,1,0)</f>
        <v>1</v>
      </c>
      <c r="EE17" s="9">
        <f>IF(真實IC!EE17&gt;真實IC!EE$26,1,0)</f>
        <v>0</v>
      </c>
      <c r="EF17" s="9">
        <f>IF(真實IC!EH17&gt;真實IC!EF$26,1,0)</f>
        <v>1</v>
      </c>
      <c r="EG17" s="15">
        <f t="shared" si="10"/>
        <v>97</v>
      </c>
      <c r="EH17" s="14">
        <f t="shared" si="11"/>
        <v>0.72388059701492535</v>
      </c>
    </row>
    <row r="18" spans="1:138">
      <c r="A18" s="7">
        <v>137</v>
      </c>
      <c r="B18" s="7">
        <v>7</v>
      </c>
      <c r="C18" s="9">
        <f>IF(真實IC!C18&gt;真實IC!C$26,1,0)</f>
        <v>1</v>
      </c>
      <c r="D18" s="9">
        <f>IF(真實IC!D18&gt;真實IC!D$26,1,0)</f>
        <v>1</v>
      </c>
      <c r="E18" s="9">
        <f>IF(真實IC!E18&gt;真實IC!E$26,1,0)</f>
        <v>1</v>
      </c>
      <c r="F18" s="9">
        <f>IF(真實IC!F18&gt;真實IC!F$26,1,0)</f>
        <v>0</v>
      </c>
      <c r="G18" s="9">
        <f>IF(真實IC!G18&gt;真實IC!G$26,1,0)</f>
        <v>1</v>
      </c>
      <c r="H18" s="9">
        <f>IF(真實IC!H18&gt;真實IC!H$26,1,0)</f>
        <v>1</v>
      </c>
      <c r="I18" s="9">
        <f>IF(真實IC!I18&gt;真實IC!I$26,1,0)</f>
        <v>1</v>
      </c>
      <c r="J18" s="9">
        <f>IF(真實IC!J18&gt;真實IC!J$26,1,0)</f>
        <v>1</v>
      </c>
      <c r="K18" s="9">
        <f>IF(真實IC!K18&gt;真實IC!K$26,1,0)</f>
        <v>1</v>
      </c>
      <c r="L18" s="9">
        <f>IF(真實IC!L18&gt;真實IC!L$26,1,0)</f>
        <v>0</v>
      </c>
      <c r="M18" s="9">
        <f>IF(真實IC!M18&gt;真實IC!M$26,1,0)</f>
        <v>1</v>
      </c>
      <c r="N18" s="9">
        <f>IF(真實IC!N18&gt;真實IC!N$26,1,0)</f>
        <v>1</v>
      </c>
      <c r="O18" s="9">
        <f>IF(真實IC!O18&gt;真實IC!O$26,1,0)</f>
        <v>1</v>
      </c>
      <c r="P18" s="9">
        <f>IF(真實IC!P18&gt;真實IC!P$26,1,0)</f>
        <v>1</v>
      </c>
      <c r="Q18" s="9">
        <f>IF(真實IC!Q18&gt;真實IC!Q$26,1,0)</f>
        <v>1</v>
      </c>
      <c r="R18" s="9">
        <f>IF(真實IC!R18&gt;真實IC!R$26,1,0)</f>
        <v>0</v>
      </c>
      <c r="S18" s="9">
        <f>IF(真實IC!S18&gt;真實IC!S$26,1,0)</f>
        <v>1</v>
      </c>
      <c r="T18" s="9">
        <f>IF(真實IC!T18&gt;真實IC!T$26,1,0)</f>
        <v>1</v>
      </c>
      <c r="U18" s="9">
        <f>IF(真實IC!U18&gt;真實IC!U$26,1,0)</f>
        <v>1</v>
      </c>
      <c r="V18" s="9">
        <f>IF(真實IC!V18&gt;真實IC!V$26,1,0)</f>
        <v>1</v>
      </c>
      <c r="W18" s="9">
        <f>IF(真實IC!W18&gt;真實IC!W$26,1,0)</f>
        <v>1</v>
      </c>
      <c r="X18" s="9">
        <f>IF(真實IC!X18&gt;真實IC!X$26,1,0)</f>
        <v>1</v>
      </c>
      <c r="Y18" s="9">
        <f>IF(真實IC!Y18&gt;真實IC!Y$26,1,0)</f>
        <v>1</v>
      </c>
      <c r="Z18" s="9">
        <f>IF(真實IC!Z18&gt;真實IC!Z$26,1,0)</f>
        <v>1</v>
      </c>
      <c r="AA18" s="9">
        <f>IF(真實IC!AA18&gt;真實IC!AA$26,1,0)</f>
        <v>1</v>
      </c>
      <c r="AB18" s="9">
        <f>IF(真實IC!AB18&gt;真實IC!AB$26,1,0)</f>
        <v>1</v>
      </c>
      <c r="AC18" s="9">
        <f>IF(真實IC!AC18&gt;真實IC!AC$26,1,0)</f>
        <v>0</v>
      </c>
      <c r="AD18" s="9">
        <f>IF(真實IC!AD18&gt;真實IC!AD$26,1,0)</f>
        <v>1</v>
      </c>
      <c r="AE18" s="9">
        <f>IF(真實IC!AE18&gt;真實IC!AE$26,1,0)</f>
        <v>1</v>
      </c>
      <c r="AF18" s="9">
        <f>IF(真實IC!AF18&gt;真實IC!AF$26,1,0)</f>
        <v>1</v>
      </c>
      <c r="AG18" s="9">
        <f>IF(真實IC!AG18&gt;真實IC!AG$26,1,0)</f>
        <v>0</v>
      </c>
      <c r="AH18" s="9">
        <f>IF(真實IC!AH18&gt;真實IC!AH$26,1,0)</f>
        <v>0</v>
      </c>
      <c r="AI18" s="9">
        <f>IF(真實IC!AI18&gt;真實IC!AI$26,1,0)</f>
        <v>1</v>
      </c>
      <c r="AJ18" s="9">
        <f>IF(真實IC!AJ18&gt;真實IC!AJ$26,1,0)</f>
        <v>0</v>
      </c>
      <c r="AK18" s="9">
        <f>IF(真實IC!AK18&gt;真實IC!AK$26,1,0)</f>
        <v>1</v>
      </c>
      <c r="AL18" s="9">
        <f>IF(真實IC!AL18&gt;真實IC!AL$26,1,0)</f>
        <v>0</v>
      </c>
      <c r="AM18" s="9">
        <f>IF(真實IC!AM18&gt;真實IC!AM$26,1,0)</f>
        <v>1</v>
      </c>
      <c r="AN18" s="9">
        <f>IF(真實IC!AN18&gt;真實IC!AN$26,1,0)</f>
        <v>1</v>
      </c>
      <c r="AO18" s="9">
        <f>IF(真實IC!AO18&gt;真實IC!AO$26,1,0)</f>
        <v>1</v>
      </c>
      <c r="AP18" s="9">
        <f>IF(真實IC!AP18&gt;真實IC!AP$26,1,0)</f>
        <v>1</v>
      </c>
      <c r="AQ18" s="9">
        <f>IF(真實IC!AQ18&gt;真實IC!AQ$26,1,0)</f>
        <v>0</v>
      </c>
      <c r="AR18" s="9">
        <f>IF(真實IC!AR18&gt;真實IC!AR$26,1,0)</f>
        <v>0</v>
      </c>
      <c r="AS18" s="9">
        <f>IF(真實IC!AS18&gt;真實IC!AS$26,1,0)</f>
        <v>0</v>
      </c>
      <c r="AT18" s="9">
        <f>IF(真實IC!AT18&gt;真實IC!AT$26,1,0)</f>
        <v>1</v>
      </c>
      <c r="AU18" s="9">
        <f>IF(真實IC!AU18&gt;真實IC!AU$26,1,0)</f>
        <v>1</v>
      </c>
      <c r="AV18" s="9">
        <f>IF(真實IC!AV18&gt;真實IC!AV$26,1,0)</f>
        <v>1</v>
      </c>
      <c r="AW18" s="9">
        <f>IF(真實IC!AW18&gt;真實IC!AW$26,1,0)</f>
        <v>1</v>
      </c>
      <c r="AX18" s="9">
        <f>IF(真實IC!AX18&gt;真實IC!AX$26,1,0)</f>
        <v>1</v>
      </c>
      <c r="AY18" s="9">
        <f>IF(真實IC!AY18&gt;真實IC!AY$26,1,0)</f>
        <v>0</v>
      </c>
      <c r="AZ18" s="9">
        <f>IF(真實IC!AZ18&gt;真實IC!AZ$26,1,0)</f>
        <v>1</v>
      </c>
      <c r="BA18" s="9">
        <f>IF(真實IC!BA18&gt;真實IC!BA$26,1,0)</f>
        <v>1</v>
      </c>
      <c r="BB18" s="9">
        <f>IF(真實IC!BB18&gt;真實IC!BB$26,1,0)</f>
        <v>1</v>
      </c>
      <c r="BC18" s="9">
        <f>IF(真實IC!BC18&gt;真實IC!BC$26,1,0)</f>
        <v>1</v>
      </c>
      <c r="BD18" s="9">
        <f>IF(真實IC!BD18&gt;真實IC!BD$26,1,0)</f>
        <v>1</v>
      </c>
      <c r="BE18" s="9">
        <f>IF(真實IC!BE18&gt;真實IC!BE$26,1,0)</f>
        <v>1</v>
      </c>
      <c r="BF18" s="9">
        <f>IF(真實IC!BF18&gt;真實IC!BF$26,1,0)</f>
        <v>1</v>
      </c>
      <c r="BG18" s="9">
        <f>IF(真實IC!BG18&gt;真實IC!BG$26,1,0)</f>
        <v>1</v>
      </c>
      <c r="BH18" s="9">
        <f>IF(真實IC!BH18&gt;真實IC!BH$26,1,0)</f>
        <v>1</v>
      </c>
      <c r="BI18" s="9">
        <f>IF(真實IC!BI18&gt;真實IC!BI$26,1,0)</f>
        <v>1</v>
      </c>
      <c r="BJ18" s="9">
        <f>IF(真實IC!BJ18&gt;真實IC!BJ$26,1,0)</f>
        <v>1</v>
      </c>
      <c r="BK18" s="9">
        <f>IF(真實IC!BK18&gt;真實IC!BK$26,1,0)</f>
        <v>0</v>
      </c>
      <c r="BL18" s="9">
        <f>IF(真實IC!BL18&gt;真實IC!BL$26,1,0)</f>
        <v>1</v>
      </c>
      <c r="BM18" s="9">
        <f>IF(真實IC!BM18&gt;真實IC!BM$26,1,0)</f>
        <v>1</v>
      </c>
      <c r="BN18" s="9">
        <f>IF(真實IC!BN18&gt;真實IC!BN$26,1,0)</f>
        <v>0</v>
      </c>
      <c r="BO18" s="9">
        <f>IF(真實IC!BO18&gt;真實IC!BO$26,1,0)</f>
        <v>1</v>
      </c>
      <c r="BP18" s="9">
        <f>IF(真實IC!BP18&gt;真實IC!BP$26,1,0)</f>
        <v>0</v>
      </c>
      <c r="BQ18" s="9">
        <f>IF(真實IC!BQ18&gt;真實IC!BQ$26,1,0)</f>
        <v>0</v>
      </c>
      <c r="BR18" s="9">
        <f>IF(真實IC!BR18&gt;真實IC!BR$26,1,0)</f>
        <v>1</v>
      </c>
      <c r="BS18" s="9">
        <f>IF(真實IC!BS18&gt;真實IC!BS$26,1,0)</f>
        <v>1</v>
      </c>
      <c r="BT18" s="9">
        <f>IF(真實IC!BT18&gt;真實IC!BT$26,1,0)</f>
        <v>0</v>
      </c>
      <c r="BU18" s="9">
        <f>IF(真實IC!BU18&gt;真實IC!BU$26,1,0)</f>
        <v>1</v>
      </c>
      <c r="BV18" s="9">
        <f>IF(真實IC!BV18&gt;真實IC!BV$26,1,0)</f>
        <v>0</v>
      </c>
      <c r="BW18" s="9">
        <f>IF(真實IC!BW18&gt;真實IC!BW$26,1,0)</f>
        <v>1</v>
      </c>
      <c r="BX18" s="9">
        <f>IF(真實IC!BX18&gt;真實IC!BX$26,1,0)</f>
        <v>1</v>
      </c>
      <c r="BY18" s="9">
        <f>IF(真實IC!BY18&gt;真實IC!BY$26,1,0)</f>
        <v>1</v>
      </c>
      <c r="BZ18" s="9">
        <f>IF(真實IC!BZ18&gt;真實IC!BZ$26,1,0)</f>
        <v>1</v>
      </c>
      <c r="CA18" s="9">
        <f>IF(真實IC!CA18&gt;真實IC!CA$26,1,0)</f>
        <v>1</v>
      </c>
      <c r="CB18" s="9">
        <f>IF(真實IC!CB18&gt;真實IC!CB$26,1,0)</f>
        <v>1</v>
      </c>
      <c r="CC18" s="9">
        <f>IF(真實IC!CC18&gt;真實IC!CC$26,1,0)</f>
        <v>1</v>
      </c>
      <c r="CD18" s="9">
        <f>IF(真實IC!CD18&gt;真實IC!CD$26,1,0)</f>
        <v>1</v>
      </c>
      <c r="CE18" s="9">
        <f>IF(真實IC!CE18&gt;真實IC!CE$26,1,0)</f>
        <v>1</v>
      </c>
      <c r="CF18" s="9">
        <f>IF(真實IC!CF18&gt;真實IC!CF$26,1,0)</f>
        <v>1</v>
      </c>
      <c r="CG18" s="9">
        <f>IF(真實IC!CG18&gt;真實IC!CG$26,1,0)</f>
        <v>1</v>
      </c>
      <c r="CH18" s="9">
        <f>IF(真實IC!CH18&gt;真實IC!CH$26,1,0)</f>
        <v>1</v>
      </c>
      <c r="CI18" s="9">
        <f>IF(真實IC!CI18&gt;真實IC!CI$26,1,0)</f>
        <v>1</v>
      </c>
      <c r="CJ18" s="9">
        <f>IF(真實IC!CJ18&gt;真實IC!CJ$26,1,0)</f>
        <v>0</v>
      </c>
      <c r="CK18" s="9">
        <f>IF(真實IC!CK18&gt;真實IC!CK$26,1,0)</f>
        <v>1</v>
      </c>
      <c r="CL18" s="9">
        <f>IF(真實IC!CL18&gt;真實IC!CL$26,1,0)</f>
        <v>0</v>
      </c>
      <c r="CM18" s="9">
        <f>IF(真實IC!CM18&gt;真實IC!CM$26,1,0)</f>
        <v>1</v>
      </c>
      <c r="CN18" s="9">
        <f>IF(真實IC!CN18&gt;真實IC!CN$26,1,0)</f>
        <v>1</v>
      </c>
      <c r="CO18" s="9">
        <f>IF(真實IC!CO18&gt;真實IC!CO$26,1,0)</f>
        <v>1</v>
      </c>
      <c r="CP18" s="9">
        <f>IF(真實IC!CP18&gt;真實IC!CP$26,1,0)</f>
        <v>1</v>
      </c>
      <c r="CQ18" s="9">
        <f>IF(真實IC!CQ18&gt;真實IC!CQ$26,1,0)</f>
        <v>1</v>
      </c>
      <c r="CR18" s="9">
        <f>IF(真實IC!CR18&gt;真實IC!CR$26,1,0)</f>
        <v>1</v>
      </c>
      <c r="CS18" s="9">
        <f>IF(真實IC!CS18&gt;真實IC!CS$26,1,0)</f>
        <v>1</v>
      </c>
      <c r="CT18" s="9">
        <f>IF(真實IC!CT18&gt;真實IC!CT$26,1,0)</f>
        <v>1</v>
      </c>
      <c r="CU18" s="9">
        <f>IF(真實IC!CU18&gt;真實IC!CU$26,1,0)</f>
        <v>1</v>
      </c>
      <c r="CV18" s="9">
        <f>IF(真實IC!CV18&gt;真實IC!CV$26,1,0)</f>
        <v>1</v>
      </c>
      <c r="CW18" s="9">
        <f>IF(真實IC!CW18&gt;真實IC!CW$26,1,0)</f>
        <v>1</v>
      </c>
      <c r="CX18" s="9">
        <f>IF(真實IC!CX18&gt;真實IC!CX$26,1,0)</f>
        <v>1</v>
      </c>
      <c r="CY18" s="9">
        <f>IF(真實IC!CY18&gt;真實IC!CY$26,1,0)</f>
        <v>1</v>
      </c>
      <c r="CZ18" s="9">
        <f>IF(真實IC!CZ18&gt;真實IC!CZ$26,1,0)</f>
        <v>1</v>
      </c>
      <c r="DA18" s="9">
        <f>IF(真實IC!DA18&gt;真實IC!DA$26,1,0)</f>
        <v>1</v>
      </c>
      <c r="DB18" s="9">
        <f>IF(真實IC!DB18&gt;真實IC!DB$26,1,0)</f>
        <v>1</v>
      </c>
      <c r="DC18" s="9">
        <f>IF(真實IC!DC18&gt;真實IC!DC$26,1,0)</f>
        <v>1</v>
      </c>
      <c r="DD18" s="9">
        <f>IF(真實IC!DD18&gt;真實IC!DD$26,1,0)</f>
        <v>1</v>
      </c>
      <c r="DE18" s="9">
        <f>IF(真實IC!DE18&gt;真實IC!DE$26,1,0)</f>
        <v>0</v>
      </c>
      <c r="DF18" s="9">
        <f>IF(真實IC!DF18&gt;真實IC!DF$26,1,0)</f>
        <v>1</v>
      </c>
      <c r="DG18" s="9">
        <f>IF(真實IC!DG18&gt;真實IC!DG$26,1,0)</f>
        <v>0</v>
      </c>
      <c r="DH18" s="9">
        <f>IF(真實IC!DH18&gt;真實IC!DH$26,1,0)</f>
        <v>1</v>
      </c>
      <c r="DI18" s="9">
        <f>IF(真實IC!DI18&gt;真實IC!DI$26,1,0)</f>
        <v>1</v>
      </c>
      <c r="DJ18" s="9">
        <f>IF(真實IC!DJ18&gt;真實IC!DJ$26,1,0)</f>
        <v>1</v>
      </c>
      <c r="DK18" s="9">
        <f>IF(真實IC!DK18&gt;真實IC!DK$26,1,0)</f>
        <v>1</v>
      </c>
      <c r="DL18" s="9">
        <f>IF(真實IC!DL18&gt;真實IC!DL$26,1,0)</f>
        <v>0</v>
      </c>
      <c r="DM18" s="9">
        <f>IF(真實IC!DM18&gt;真實IC!DM$26,1,0)</f>
        <v>0</v>
      </c>
      <c r="DN18" s="9">
        <f>IF(真實IC!DN18&gt;真實IC!DN$26,1,0)</f>
        <v>1</v>
      </c>
      <c r="DO18" s="9">
        <f>IF(真實IC!DO18&gt;真實IC!DO$26,1,0)</f>
        <v>1</v>
      </c>
      <c r="DP18" s="9">
        <f>IF(真實IC!DP18&gt;真實IC!DP$26,1,0)</f>
        <v>1</v>
      </c>
      <c r="DQ18" s="9">
        <f>IF(真實IC!DQ18&gt;真實IC!DQ$26,1,0)</f>
        <v>0</v>
      </c>
      <c r="DR18" s="9">
        <f>IF(真實IC!DR18&gt;真實IC!DR$26,1,0)</f>
        <v>1</v>
      </c>
      <c r="DS18" s="9">
        <f>IF(真實IC!DS18&gt;真實IC!DS$26,1,0)</f>
        <v>1</v>
      </c>
      <c r="DT18" s="9">
        <f>IF(真實IC!DT18&gt;真實IC!DT$26,1,0)</f>
        <v>0</v>
      </c>
      <c r="DU18" s="9">
        <f>IF(真實IC!DU18&gt;真實IC!DU$26,1,0)</f>
        <v>1</v>
      </c>
      <c r="DV18" s="9">
        <f>IF(真實IC!DV18&gt;真實IC!DV$26,1,0)</f>
        <v>1</v>
      </c>
      <c r="DW18" s="9">
        <f>IF(真實IC!DW18&gt;真實IC!DW$26,1,0)</f>
        <v>0</v>
      </c>
      <c r="DX18" s="9">
        <f>IF(真實IC!DX18&gt;真實IC!DX$26,1,0)</f>
        <v>1</v>
      </c>
      <c r="DY18" s="9">
        <f>IF(真實IC!DY18&gt;真實IC!DY$26,1,0)</f>
        <v>1</v>
      </c>
      <c r="DZ18" s="9">
        <f>IF(真實IC!DZ18&gt;真實IC!DZ$26,1,0)</f>
        <v>1</v>
      </c>
      <c r="EA18" s="9">
        <f>IF(真實IC!EA18&gt;真實IC!EA$26,1,0)</f>
        <v>0</v>
      </c>
      <c r="EB18" s="9">
        <f>IF(真實IC!EB18&gt;真實IC!EB$26,1,0)</f>
        <v>1</v>
      </c>
      <c r="EC18" s="9">
        <f>IF(真實IC!EC18&gt;真實IC!EC$26,1,0)</f>
        <v>1</v>
      </c>
      <c r="ED18" s="9">
        <f>IF(真實IC!ED18&gt;真實IC!ED$26,1,0)</f>
        <v>1</v>
      </c>
      <c r="EE18" s="9">
        <f>IF(真實IC!EE18&gt;真實IC!EE$26,1,0)</f>
        <v>0</v>
      </c>
      <c r="EF18" s="9">
        <f>IF(真實IC!EH18&gt;真實IC!EF$26,1,0)</f>
        <v>1</v>
      </c>
      <c r="EG18" s="15">
        <f t="shared" si="10"/>
        <v>105</v>
      </c>
      <c r="EH18" s="14">
        <f t="shared" si="11"/>
        <v>0.78358208955223885</v>
      </c>
    </row>
    <row r="19" spans="1:138">
      <c r="A19" s="7">
        <v>160</v>
      </c>
      <c r="B19" s="7">
        <v>6</v>
      </c>
      <c r="C19" s="9">
        <f>IF(真實IC!C19&gt;真實IC!C$26,1,0)</f>
        <v>1</v>
      </c>
      <c r="D19" s="9">
        <f>IF(真實IC!D19&gt;真實IC!D$26,1,0)</f>
        <v>1</v>
      </c>
      <c r="E19" s="9">
        <f>IF(真實IC!E19&gt;真實IC!E$26,1,0)</f>
        <v>1</v>
      </c>
      <c r="F19" s="9">
        <f>IF(真實IC!F19&gt;真實IC!F$26,1,0)</f>
        <v>0</v>
      </c>
      <c r="G19" s="9">
        <f>IF(真實IC!G19&gt;真實IC!G$26,1,0)</f>
        <v>1</v>
      </c>
      <c r="H19" s="9">
        <f>IF(真實IC!H19&gt;真實IC!H$26,1,0)</f>
        <v>1</v>
      </c>
      <c r="I19" s="9">
        <f>IF(真實IC!I19&gt;真實IC!I$26,1,0)</f>
        <v>1</v>
      </c>
      <c r="J19" s="9">
        <f>IF(真實IC!J19&gt;真實IC!J$26,1,0)</f>
        <v>1</v>
      </c>
      <c r="K19" s="9">
        <f>IF(真實IC!K19&gt;真實IC!K$26,1,0)</f>
        <v>1</v>
      </c>
      <c r="L19" s="9">
        <f>IF(真實IC!L19&gt;真實IC!L$26,1,0)</f>
        <v>0</v>
      </c>
      <c r="M19" s="9">
        <f>IF(真實IC!M19&gt;真實IC!M$26,1,0)</f>
        <v>0</v>
      </c>
      <c r="N19" s="9">
        <f>IF(真實IC!N19&gt;真實IC!N$26,1,0)</f>
        <v>1</v>
      </c>
      <c r="O19" s="9">
        <f>IF(真實IC!O19&gt;真實IC!O$26,1,0)</f>
        <v>1</v>
      </c>
      <c r="P19" s="9">
        <f>IF(真實IC!P19&gt;真實IC!P$26,1,0)</f>
        <v>1</v>
      </c>
      <c r="Q19" s="9">
        <f>IF(真實IC!Q19&gt;真實IC!Q$26,1,0)</f>
        <v>1</v>
      </c>
      <c r="R19" s="9">
        <f>IF(真實IC!R19&gt;真實IC!R$26,1,0)</f>
        <v>0</v>
      </c>
      <c r="S19" s="9">
        <f>IF(真實IC!S19&gt;真實IC!S$26,1,0)</f>
        <v>1</v>
      </c>
      <c r="T19" s="9">
        <f>IF(真實IC!T19&gt;真實IC!T$26,1,0)</f>
        <v>1</v>
      </c>
      <c r="U19" s="9">
        <f>IF(真實IC!U19&gt;真實IC!U$26,1,0)</f>
        <v>1</v>
      </c>
      <c r="V19" s="9">
        <f>IF(真實IC!V19&gt;真實IC!V$26,1,0)</f>
        <v>1</v>
      </c>
      <c r="W19" s="9">
        <f>IF(真實IC!W19&gt;真實IC!W$26,1,0)</f>
        <v>1</v>
      </c>
      <c r="X19" s="9">
        <f>IF(真實IC!X19&gt;真實IC!X$26,1,0)</f>
        <v>1</v>
      </c>
      <c r="Y19" s="9">
        <f>IF(真實IC!Y19&gt;真實IC!Y$26,1,0)</f>
        <v>1</v>
      </c>
      <c r="Z19" s="9">
        <f>IF(真實IC!Z19&gt;真實IC!Z$26,1,0)</f>
        <v>1</v>
      </c>
      <c r="AA19" s="9">
        <f>IF(真實IC!AA19&gt;真實IC!AA$26,1,0)</f>
        <v>1</v>
      </c>
      <c r="AB19" s="9">
        <f>IF(真實IC!AB19&gt;真實IC!AB$26,1,0)</f>
        <v>1</v>
      </c>
      <c r="AC19" s="9">
        <f>IF(真實IC!AC19&gt;真實IC!AC$26,1,0)</f>
        <v>0</v>
      </c>
      <c r="AD19" s="9">
        <f>IF(真實IC!AD19&gt;真實IC!AD$26,1,0)</f>
        <v>1</v>
      </c>
      <c r="AE19" s="9">
        <f>IF(真實IC!AE19&gt;真實IC!AE$26,1,0)</f>
        <v>1</v>
      </c>
      <c r="AF19" s="9">
        <f>IF(真實IC!AF19&gt;真實IC!AF$26,1,0)</f>
        <v>1</v>
      </c>
      <c r="AG19" s="9">
        <f>IF(真實IC!AG19&gt;真實IC!AG$26,1,0)</f>
        <v>0</v>
      </c>
      <c r="AH19" s="9">
        <f>IF(真實IC!AH19&gt;真實IC!AH$26,1,0)</f>
        <v>0</v>
      </c>
      <c r="AI19" s="9">
        <f>IF(真實IC!AI19&gt;真實IC!AI$26,1,0)</f>
        <v>1</v>
      </c>
      <c r="AJ19" s="9">
        <f>IF(真實IC!AJ19&gt;真實IC!AJ$26,1,0)</f>
        <v>0</v>
      </c>
      <c r="AK19" s="9">
        <f>IF(真實IC!AK19&gt;真實IC!AK$26,1,0)</f>
        <v>1</v>
      </c>
      <c r="AL19" s="9">
        <f>IF(真實IC!AL19&gt;真實IC!AL$26,1,0)</f>
        <v>0</v>
      </c>
      <c r="AM19" s="9">
        <f>IF(真實IC!AM19&gt;真實IC!AM$26,1,0)</f>
        <v>1</v>
      </c>
      <c r="AN19" s="9">
        <f>IF(真實IC!AN19&gt;真實IC!AN$26,1,0)</f>
        <v>1</v>
      </c>
      <c r="AO19" s="9">
        <f>IF(真實IC!AO19&gt;真實IC!AO$26,1,0)</f>
        <v>1</v>
      </c>
      <c r="AP19" s="9">
        <f>IF(真實IC!AP19&gt;真實IC!AP$26,1,0)</f>
        <v>1</v>
      </c>
      <c r="AQ19" s="9">
        <f>IF(真實IC!AQ19&gt;真實IC!AQ$26,1,0)</f>
        <v>0</v>
      </c>
      <c r="AR19" s="9">
        <f>IF(真實IC!AR19&gt;真實IC!AR$26,1,0)</f>
        <v>0</v>
      </c>
      <c r="AS19" s="9">
        <f>IF(真實IC!AS19&gt;真實IC!AS$26,1,0)</f>
        <v>0</v>
      </c>
      <c r="AT19" s="9">
        <f>IF(真實IC!AT19&gt;真實IC!AT$26,1,0)</f>
        <v>1</v>
      </c>
      <c r="AU19" s="9">
        <f>IF(真實IC!AU19&gt;真實IC!AU$26,1,0)</f>
        <v>1</v>
      </c>
      <c r="AV19" s="9">
        <f>IF(真實IC!AV19&gt;真實IC!AV$26,1,0)</f>
        <v>0</v>
      </c>
      <c r="AW19" s="9">
        <f>IF(真實IC!AW19&gt;真實IC!AW$26,1,0)</f>
        <v>1</v>
      </c>
      <c r="AX19" s="9">
        <f>IF(真實IC!AX19&gt;真實IC!AX$26,1,0)</f>
        <v>1</v>
      </c>
      <c r="AY19" s="9">
        <f>IF(真實IC!AY19&gt;真實IC!AY$26,1,0)</f>
        <v>0</v>
      </c>
      <c r="AZ19" s="9">
        <f>IF(真實IC!AZ19&gt;真實IC!AZ$26,1,0)</f>
        <v>1</v>
      </c>
      <c r="BA19" s="9">
        <f>IF(真實IC!BA19&gt;真實IC!BA$26,1,0)</f>
        <v>1</v>
      </c>
      <c r="BB19" s="9">
        <f>IF(真實IC!BB19&gt;真實IC!BB$26,1,0)</f>
        <v>1</v>
      </c>
      <c r="BC19" s="9">
        <f>IF(真實IC!BC19&gt;真實IC!BC$26,1,0)</f>
        <v>1</v>
      </c>
      <c r="BD19" s="9">
        <f>IF(真實IC!BD19&gt;真實IC!BD$26,1,0)</f>
        <v>1</v>
      </c>
      <c r="BE19" s="9">
        <f>IF(真實IC!BE19&gt;真實IC!BE$26,1,0)</f>
        <v>1</v>
      </c>
      <c r="BF19" s="9">
        <f>IF(真實IC!BF19&gt;真實IC!BF$26,1,0)</f>
        <v>1</v>
      </c>
      <c r="BG19" s="9">
        <f>IF(真實IC!BG19&gt;真實IC!BG$26,1,0)</f>
        <v>1</v>
      </c>
      <c r="BH19" s="9">
        <f>IF(真實IC!BH19&gt;真實IC!BH$26,1,0)</f>
        <v>1</v>
      </c>
      <c r="BI19" s="9">
        <f>IF(真實IC!BI19&gt;真實IC!BI$26,1,0)</f>
        <v>1</v>
      </c>
      <c r="BJ19" s="9">
        <f>IF(真實IC!BJ19&gt;真實IC!BJ$26,1,0)</f>
        <v>1</v>
      </c>
      <c r="BK19" s="9">
        <f>IF(真實IC!BK19&gt;真實IC!BK$26,1,0)</f>
        <v>0</v>
      </c>
      <c r="BL19" s="9">
        <f>IF(真實IC!BL19&gt;真實IC!BL$26,1,0)</f>
        <v>1</v>
      </c>
      <c r="BM19" s="9">
        <f>IF(真實IC!BM19&gt;真實IC!BM$26,1,0)</f>
        <v>1</v>
      </c>
      <c r="BN19" s="9">
        <f>IF(真實IC!BN19&gt;真實IC!BN$26,1,0)</f>
        <v>0</v>
      </c>
      <c r="BO19" s="9">
        <f>IF(真實IC!BO19&gt;真實IC!BO$26,1,0)</f>
        <v>1</v>
      </c>
      <c r="BP19" s="9">
        <f>IF(真實IC!BP19&gt;真實IC!BP$26,1,0)</f>
        <v>0</v>
      </c>
      <c r="BQ19" s="9">
        <f>IF(真實IC!BQ19&gt;真實IC!BQ$26,1,0)</f>
        <v>1</v>
      </c>
      <c r="BR19" s="9">
        <f>IF(真實IC!BR19&gt;真實IC!BR$26,1,0)</f>
        <v>1</v>
      </c>
      <c r="BS19" s="9">
        <f>IF(真實IC!BS19&gt;真實IC!BS$26,1,0)</f>
        <v>0</v>
      </c>
      <c r="BT19" s="9">
        <f>IF(真實IC!BT19&gt;真實IC!BT$26,1,0)</f>
        <v>0</v>
      </c>
      <c r="BU19" s="9">
        <f>IF(真實IC!BU19&gt;真實IC!BU$26,1,0)</f>
        <v>1</v>
      </c>
      <c r="BV19" s="9">
        <f>IF(真實IC!BV19&gt;真實IC!BV$26,1,0)</f>
        <v>0</v>
      </c>
      <c r="BW19" s="9">
        <f>IF(真實IC!BW19&gt;真實IC!BW$26,1,0)</f>
        <v>1</v>
      </c>
      <c r="BX19" s="9">
        <f>IF(真實IC!BX19&gt;真實IC!BX$26,1,0)</f>
        <v>0</v>
      </c>
      <c r="BY19" s="9">
        <f>IF(真實IC!BY19&gt;真實IC!BY$26,1,0)</f>
        <v>1</v>
      </c>
      <c r="BZ19" s="9">
        <f>IF(真實IC!BZ19&gt;真實IC!BZ$26,1,0)</f>
        <v>0</v>
      </c>
      <c r="CA19" s="9">
        <f>IF(真實IC!CA19&gt;真實IC!CA$26,1,0)</f>
        <v>1</v>
      </c>
      <c r="CB19" s="9">
        <f>IF(真實IC!CB19&gt;真實IC!CB$26,1,0)</f>
        <v>1</v>
      </c>
      <c r="CC19" s="9">
        <f>IF(真實IC!CC19&gt;真實IC!CC$26,1,0)</f>
        <v>0</v>
      </c>
      <c r="CD19" s="9">
        <f>IF(真實IC!CD19&gt;真實IC!CD$26,1,0)</f>
        <v>1</v>
      </c>
      <c r="CE19" s="9">
        <f>IF(真實IC!CE19&gt;真實IC!CE$26,1,0)</f>
        <v>1</v>
      </c>
      <c r="CF19" s="9">
        <f>IF(真實IC!CF19&gt;真實IC!CF$26,1,0)</f>
        <v>1</v>
      </c>
      <c r="CG19" s="9">
        <f>IF(真實IC!CG19&gt;真實IC!CG$26,1,0)</f>
        <v>0</v>
      </c>
      <c r="CH19" s="9">
        <f>IF(真實IC!CH19&gt;真實IC!CH$26,1,0)</f>
        <v>1</v>
      </c>
      <c r="CI19" s="9">
        <f>IF(真實IC!CI19&gt;真實IC!CI$26,1,0)</f>
        <v>1</v>
      </c>
      <c r="CJ19" s="9">
        <f>IF(真實IC!CJ19&gt;真實IC!CJ$26,1,0)</f>
        <v>0</v>
      </c>
      <c r="CK19" s="9">
        <f>IF(真實IC!CK19&gt;真實IC!CK$26,1,0)</f>
        <v>1</v>
      </c>
      <c r="CL19" s="9">
        <f>IF(真實IC!CL19&gt;真實IC!CL$26,1,0)</f>
        <v>0</v>
      </c>
      <c r="CM19" s="9">
        <f>IF(真實IC!CM19&gt;真實IC!CM$26,1,0)</f>
        <v>1</v>
      </c>
      <c r="CN19" s="9">
        <f>IF(真實IC!CN19&gt;真實IC!CN$26,1,0)</f>
        <v>1</v>
      </c>
      <c r="CO19" s="9">
        <f>IF(真實IC!CO19&gt;真實IC!CO$26,1,0)</f>
        <v>1</v>
      </c>
      <c r="CP19" s="9">
        <f>IF(真實IC!CP19&gt;真實IC!CP$26,1,0)</f>
        <v>1</v>
      </c>
      <c r="CQ19" s="9">
        <f>IF(真實IC!CQ19&gt;真實IC!CQ$26,1,0)</f>
        <v>1</v>
      </c>
      <c r="CR19" s="9">
        <f>IF(真實IC!CR19&gt;真實IC!CR$26,1,0)</f>
        <v>1</v>
      </c>
      <c r="CS19" s="9">
        <f>IF(真實IC!CS19&gt;真實IC!CS$26,1,0)</f>
        <v>1</v>
      </c>
      <c r="CT19" s="9">
        <f>IF(真實IC!CT19&gt;真實IC!CT$26,1,0)</f>
        <v>0</v>
      </c>
      <c r="CU19" s="9">
        <f>IF(真實IC!CU19&gt;真實IC!CU$26,1,0)</f>
        <v>1</v>
      </c>
      <c r="CV19" s="9">
        <f>IF(真實IC!CV19&gt;真實IC!CV$26,1,0)</f>
        <v>1</v>
      </c>
      <c r="CW19" s="9">
        <f>IF(真實IC!CW19&gt;真實IC!CW$26,1,0)</f>
        <v>1</v>
      </c>
      <c r="CX19" s="9">
        <f>IF(真實IC!CX19&gt;真實IC!CX$26,1,0)</f>
        <v>1</v>
      </c>
      <c r="CY19" s="9">
        <f>IF(真實IC!CY19&gt;真實IC!CY$26,1,0)</f>
        <v>1</v>
      </c>
      <c r="CZ19" s="9">
        <f>IF(真實IC!CZ19&gt;真實IC!CZ$26,1,0)</f>
        <v>1</v>
      </c>
      <c r="DA19" s="9">
        <f>IF(真實IC!DA19&gt;真實IC!DA$26,1,0)</f>
        <v>1</v>
      </c>
      <c r="DB19" s="9">
        <f>IF(真實IC!DB19&gt;真實IC!DB$26,1,0)</f>
        <v>1</v>
      </c>
      <c r="DC19" s="9">
        <f>IF(真實IC!DC19&gt;真實IC!DC$26,1,0)</f>
        <v>1</v>
      </c>
      <c r="DD19" s="9">
        <f>IF(真實IC!DD19&gt;真實IC!DD$26,1,0)</f>
        <v>1</v>
      </c>
      <c r="DE19" s="9">
        <f>IF(真實IC!DE19&gt;真實IC!DE$26,1,0)</f>
        <v>0</v>
      </c>
      <c r="DF19" s="9">
        <f>IF(真實IC!DF19&gt;真實IC!DF$26,1,0)</f>
        <v>1</v>
      </c>
      <c r="DG19" s="9">
        <f>IF(真實IC!DG19&gt;真實IC!DG$26,1,0)</f>
        <v>0</v>
      </c>
      <c r="DH19" s="9">
        <f>IF(真實IC!DH19&gt;真實IC!DH$26,1,0)</f>
        <v>1</v>
      </c>
      <c r="DI19" s="9">
        <f>IF(真實IC!DI19&gt;真實IC!DI$26,1,0)</f>
        <v>1</v>
      </c>
      <c r="DJ19" s="9">
        <f>IF(真實IC!DJ19&gt;真實IC!DJ$26,1,0)</f>
        <v>1</v>
      </c>
      <c r="DK19" s="9">
        <f>IF(真實IC!DK19&gt;真實IC!DK$26,1,0)</f>
        <v>1</v>
      </c>
      <c r="DL19" s="9">
        <f>IF(真實IC!DL19&gt;真實IC!DL$26,1,0)</f>
        <v>0</v>
      </c>
      <c r="DM19" s="9">
        <f>IF(真實IC!DM19&gt;真實IC!DM$26,1,0)</f>
        <v>0</v>
      </c>
      <c r="DN19" s="9">
        <f>IF(真實IC!DN19&gt;真實IC!DN$26,1,0)</f>
        <v>1</v>
      </c>
      <c r="DO19" s="9">
        <f>IF(真實IC!DO19&gt;真實IC!DO$26,1,0)</f>
        <v>1</v>
      </c>
      <c r="DP19" s="9">
        <f>IF(真實IC!DP19&gt;真實IC!DP$26,1,0)</f>
        <v>1</v>
      </c>
      <c r="DQ19" s="9">
        <f>IF(真實IC!DQ19&gt;真實IC!DQ$26,1,0)</f>
        <v>0</v>
      </c>
      <c r="DR19" s="9">
        <f>IF(真實IC!DR19&gt;真實IC!DR$26,1,0)</f>
        <v>1</v>
      </c>
      <c r="DS19" s="9">
        <f>IF(真實IC!DS19&gt;真實IC!DS$26,1,0)</f>
        <v>0</v>
      </c>
      <c r="DT19" s="9">
        <f>IF(真實IC!DT19&gt;真實IC!DT$26,1,0)</f>
        <v>0</v>
      </c>
      <c r="DU19" s="9">
        <f>IF(真實IC!DU19&gt;真實IC!DU$26,1,0)</f>
        <v>1</v>
      </c>
      <c r="DV19" s="9">
        <f>IF(真實IC!DV19&gt;真實IC!DV$26,1,0)</f>
        <v>1</v>
      </c>
      <c r="DW19" s="9">
        <f>IF(真實IC!DW19&gt;真實IC!DW$26,1,0)</f>
        <v>0</v>
      </c>
      <c r="DX19" s="9">
        <f>IF(真實IC!DX19&gt;真實IC!DX$26,1,0)</f>
        <v>1</v>
      </c>
      <c r="DY19" s="9">
        <f>IF(真實IC!DY19&gt;真實IC!DY$26,1,0)</f>
        <v>1</v>
      </c>
      <c r="DZ19" s="9">
        <f>IF(真實IC!DZ19&gt;真實IC!DZ$26,1,0)</f>
        <v>1</v>
      </c>
      <c r="EA19" s="9">
        <f>IF(真實IC!EA19&gt;真實IC!EA$26,1,0)</f>
        <v>1</v>
      </c>
      <c r="EB19" s="9">
        <f>IF(真實IC!EB19&gt;真實IC!EB$26,1,0)</f>
        <v>1</v>
      </c>
      <c r="EC19" s="9">
        <f>IF(真實IC!EC19&gt;真實IC!EC$26,1,0)</f>
        <v>1</v>
      </c>
      <c r="ED19" s="9">
        <f>IF(真實IC!ED19&gt;真實IC!ED$26,1,0)</f>
        <v>1</v>
      </c>
      <c r="EE19" s="9">
        <f>IF(真實IC!EE19&gt;真實IC!EE$26,1,0)</f>
        <v>0</v>
      </c>
      <c r="EF19" s="9">
        <f>IF(真實IC!EH19&gt;真實IC!EF$26,1,0)</f>
        <v>1</v>
      </c>
      <c r="EG19" s="15">
        <f t="shared" si="10"/>
        <v>98</v>
      </c>
      <c r="EH19" s="14">
        <f t="shared" si="11"/>
        <v>0.73134328358208955</v>
      </c>
    </row>
    <row r="20" spans="1:138">
      <c r="A20" s="7">
        <v>192</v>
      </c>
      <c r="B20" s="7">
        <v>5</v>
      </c>
      <c r="C20" s="9">
        <f>IF(真實IC!C20&gt;真實IC!C$26,1,0)</f>
        <v>1</v>
      </c>
      <c r="D20" s="9">
        <f>IF(真實IC!D20&gt;真實IC!D$26,1,0)</f>
        <v>1</v>
      </c>
      <c r="E20" s="9">
        <f>IF(真實IC!E20&gt;真實IC!E$26,1,0)</f>
        <v>1</v>
      </c>
      <c r="F20" s="9">
        <f>IF(真實IC!F20&gt;真實IC!F$26,1,0)</f>
        <v>0</v>
      </c>
      <c r="G20" s="9">
        <f>IF(真實IC!G20&gt;真實IC!G$26,1,0)</f>
        <v>1</v>
      </c>
      <c r="H20" s="9">
        <f>IF(真實IC!H20&gt;真實IC!H$26,1,0)</f>
        <v>1</v>
      </c>
      <c r="I20" s="9">
        <f>IF(真實IC!I20&gt;真實IC!I$26,1,0)</f>
        <v>1</v>
      </c>
      <c r="J20" s="9">
        <f>IF(真實IC!J20&gt;真實IC!J$26,1,0)</f>
        <v>1</v>
      </c>
      <c r="K20" s="9">
        <f>IF(真實IC!K20&gt;真實IC!K$26,1,0)</f>
        <v>1</v>
      </c>
      <c r="L20" s="9">
        <f>IF(真實IC!L20&gt;真實IC!L$26,1,0)</f>
        <v>0</v>
      </c>
      <c r="M20" s="9">
        <f>IF(真實IC!M20&gt;真實IC!M$26,1,0)</f>
        <v>0</v>
      </c>
      <c r="N20" s="9">
        <f>IF(真實IC!N20&gt;真實IC!N$26,1,0)</f>
        <v>1</v>
      </c>
      <c r="O20" s="9">
        <f>IF(真實IC!O20&gt;真實IC!O$26,1,0)</f>
        <v>1</v>
      </c>
      <c r="P20" s="9">
        <f>IF(真實IC!P20&gt;真實IC!P$26,1,0)</f>
        <v>1</v>
      </c>
      <c r="Q20" s="9">
        <f>IF(真實IC!Q20&gt;真實IC!Q$26,1,0)</f>
        <v>1</v>
      </c>
      <c r="R20" s="9">
        <f>IF(真實IC!R20&gt;真實IC!R$26,1,0)</f>
        <v>0</v>
      </c>
      <c r="S20" s="9">
        <f>IF(真實IC!S20&gt;真實IC!S$26,1,0)</f>
        <v>1</v>
      </c>
      <c r="T20" s="9">
        <f>IF(真實IC!T20&gt;真實IC!T$26,1,0)</f>
        <v>1</v>
      </c>
      <c r="U20" s="9">
        <f>IF(真實IC!U20&gt;真實IC!U$26,1,0)</f>
        <v>1</v>
      </c>
      <c r="V20" s="9">
        <f>IF(真實IC!V20&gt;真實IC!V$26,1,0)</f>
        <v>1</v>
      </c>
      <c r="W20" s="9">
        <f>IF(真實IC!W20&gt;真實IC!W$26,1,0)</f>
        <v>1</v>
      </c>
      <c r="X20" s="9">
        <f>IF(真實IC!X20&gt;真實IC!X$26,1,0)</f>
        <v>1</v>
      </c>
      <c r="Y20" s="9">
        <f>IF(真實IC!Y20&gt;真實IC!Y$26,1,0)</f>
        <v>0</v>
      </c>
      <c r="Z20" s="9">
        <f>IF(真實IC!Z20&gt;真實IC!Z$26,1,0)</f>
        <v>1</v>
      </c>
      <c r="AA20" s="9">
        <f>IF(真實IC!AA20&gt;真實IC!AA$26,1,0)</f>
        <v>1</v>
      </c>
      <c r="AB20" s="9">
        <f>IF(真實IC!AB20&gt;真實IC!AB$26,1,0)</f>
        <v>1</v>
      </c>
      <c r="AC20" s="9">
        <f>IF(真實IC!AC20&gt;真實IC!AC$26,1,0)</f>
        <v>1</v>
      </c>
      <c r="AD20" s="9">
        <f>IF(真實IC!AD20&gt;真實IC!AD$26,1,0)</f>
        <v>1</v>
      </c>
      <c r="AE20" s="9">
        <f>IF(真實IC!AE20&gt;真實IC!AE$26,1,0)</f>
        <v>1</v>
      </c>
      <c r="AF20" s="9">
        <f>IF(真實IC!AF20&gt;真實IC!AF$26,1,0)</f>
        <v>1</v>
      </c>
      <c r="AG20" s="9">
        <f>IF(真實IC!AG20&gt;真實IC!AG$26,1,0)</f>
        <v>0</v>
      </c>
      <c r="AH20" s="9">
        <f>IF(真實IC!AH20&gt;真實IC!AH$26,1,0)</f>
        <v>0</v>
      </c>
      <c r="AI20" s="9">
        <f>IF(真實IC!AI20&gt;真實IC!AI$26,1,0)</f>
        <v>1</v>
      </c>
      <c r="AJ20" s="9">
        <f>IF(真實IC!AJ20&gt;真實IC!AJ$26,1,0)</f>
        <v>0</v>
      </c>
      <c r="AK20" s="9">
        <f>IF(真實IC!AK20&gt;真實IC!AK$26,1,0)</f>
        <v>0</v>
      </c>
      <c r="AL20" s="9">
        <f>IF(真實IC!AL20&gt;真實IC!AL$26,1,0)</f>
        <v>0</v>
      </c>
      <c r="AM20" s="9">
        <f>IF(真實IC!AM20&gt;真實IC!AM$26,1,0)</f>
        <v>1</v>
      </c>
      <c r="AN20" s="9">
        <f>IF(真實IC!AN20&gt;真實IC!AN$26,1,0)</f>
        <v>1</v>
      </c>
      <c r="AO20" s="9">
        <f>IF(真實IC!AO20&gt;真實IC!AO$26,1,0)</f>
        <v>1</v>
      </c>
      <c r="AP20" s="9">
        <f>IF(真實IC!AP20&gt;真實IC!AP$26,1,0)</f>
        <v>1</v>
      </c>
      <c r="AQ20" s="9">
        <f>IF(真實IC!AQ20&gt;真實IC!AQ$26,1,0)</f>
        <v>1</v>
      </c>
      <c r="AR20" s="9">
        <f>IF(真實IC!AR20&gt;真實IC!AR$26,1,0)</f>
        <v>0</v>
      </c>
      <c r="AS20" s="9">
        <f>IF(真實IC!AS20&gt;真實IC!AS$26,1,0)</f>
        <v>0</v>
      </c>
      <c r="AT20" s="9">
        <f>IF(真實IC!AT20&gt;真實IC!AT$26,1,0)</f>
        <v>1</v>
      </c>
      <c r="AU20" s="9">
        <f>IF(真實IC!AU20&gt;真實IC!AU$26,1,0)</f>
        <v>1</v>
      </c>
      <c r="AV20" s="9">
        <f>IF(真實IC!AV20&gt;真實IC!AV$26,1,0)</f>
        <v>0</v>
      </c>
      <c r="AW20" s="9">
        <f>IF(真實IC!AW20&gt;真實IC!AW$26,1,0)</f>
        <v>1</v>
      </c>
      <c r="AX20" s="9">
        <f>IF(真實IC!AX20&gt;真實IC!AX$26,1,0)</f>
        <v>1</v>
      </c>
      <c r="AY20" s="9">
        <f>IF(真實IC!AY20&gt;真實IC!AY$26,1,0)</f>
        <v>0</v>
      </c>
      <c r="AZ20" s="9">
        <f>IF(真實IC!AZ20&gt;真實IC!AZ$26,1,0)</f>
        <v>1</v>
      </c>
      <c r="BA20" s="9">
        <f>IF(真實IC!BA20&gt;真實IC!BA$26,1,0)</f>
        <v>1</v>
      </c>
      <c r="BB20" s="9">
        <f>IF(真實IC!BB20&gt;真實IC!BB$26,1,0)</f>
        <v>1</v>
      </c>
      <c r="BC20" s="9">
        <f>IF(真實IC!BC20&gt;真實IC!BC$26,1,0)</f>
        <v>1</v>
      </c>
      <c r="BD20" s="9">
        <f>IF(真實IC!BD20&gt;真實IC!BD$26,1,0)</f>
        <v>1</v>
      </c>
      <c r="BE20" s="9">
        <f>IF(真實IC!BE20&gt;真實IC!BE$26,1,0)</f>
        <v>1</v>
      </c>
      <c r="BF20" s="9">
        <f>IF(真實IC!BF20&gt;真實IC!BF$26,1,0)</f>
        <v>1</v>
      </c>
      <c r="BG20" s="9">
        <f>IF(真實IC!BG20&gt;真實IC!BG$26,1,0)</f>
        <v>1</v>
      </c>
      <c r="BH20" s="9">
        <f>IF(真實IC!BH20&gt;真實IC!BH$26,1,0)</f>
        <v>1</v>
      </c>
      <c r="BI20" s="9">
        <f>IF(真實IC!BI20&gt;真實IC!BI$26,1,0)</f>
        <v>1</v>
      </c>
      <c r="BJ20" s="9">
        <f>IF(真實IC!BJ20&gt;真實IC!BJ$26,1,0)</f>
        <v>1</v>
      </c>
      <c r="BK20" s="9">
        <f>IF(真實IC!BK20&gt;真實IC!BK$26,1,0)</f>
        <v>0</v>
      </c>
      <c r="BL20" s="9">
        <f>IF(真實IC!BL20&gt;真實IC!BL$26,1,0)</f>
        <v>1</v>
      </c>
      <c r="BM20" s="9">
        <f>IF(真實IC!BM20&gt;真實IC!BM$26,1,0)</f>
        <v>1</v>
      </c>
      <c r="BN20" s="9">
        <f>IF(真實IC!BN20&gt;真實IC!BN$26,1,0)</f>
        <v>0</v>
      </c>
      <c r="BO20" s="9">
        <f>IF(真實IC!BO20&gt;真實IC!BO$26,1,0)</f>
        <v>1</v>
      </c>
      <c r="BP20" s="9">
        <f>IF(真實IC!BP20&gt;真實IC!BP$26,1,0)</f>
        <v>0</v>
      </c>
      <c r="BQ20" s="9">
        <f>IF(真實IC!BQ20&gt;真實IC!BQ$26,1,0)</f>
        <v>1</v>
      </c>
      <c r="BR20" s="9">
        <f>IF(真實IC!BR20&gt;真實IC!BR$26,1,0)</f>
        <v>1</v>
      </c>
      <c r="BS20" s="9">
        <f>IF(真實IC!BS20&gt;真實IC!BS$26,1,0)</f>
        <v>0</v>
      </c>
      <c r="BT20" s="9">
        <f>IF(真實IC!BT20&gt;真實IC!BT$26,1,0)</f>
        <v>0</v>
      </c>
      <c r="BU20" s="9">
        <f>IF(真實IC!BU20&gt;真實IC!BU$26,1,0)</f>
        <v>1</v>
      </c>
      <c r="BV20" s="9">
        <f>IF(真實IC!BV20&gt;真實IC!BV$26,1,0)</f>
        <v>0</v>
      </c>
      <c r="BW20" s="9">
        <f>IF(真實IC!BW20&gt;真實IC!BW$26,1,0)</f>
        <v>1</v>
      </c>
      <c r="BX20" s="9">
        <f>IF(真實IC!BX20&gt;真實IC!BX$26,1,0)</f>
        <v>0</v>
      </c>
      <c r="BY20" s="9">
        <f>IF(真實IC!BY20&gt;真實IC!BY$26,1,0)</f>
        <v>1</v>
      </c>
      <c r="BZ20" s="9">
        <f>IF(真實IC!BZ20&gt;真實IC!BZ$26,1,0)</f>
        <v>0</v>
      </c>
      <c r="CA20" s="9">
        <f>IF(真實IC!CA20&gt;真實IC!CA$26,1,0)</f>
        <v>1</v>
      </c>
      <c r="CB20" s="9">
        <f>IF(真實IC!CB20&gt;真實IC!CB$26,1,0)</f>
        <v>1</v>
      </c>
      <c r="CC20" s="9">
        <f>IF(真實IC!CC20&gt;真實IC!CC$26,1,0)</f>
        <v>0</v>
      </c>
      <c r="CD20" s="9">
        <f>IF(真實IC!CD20&gt;真實IC!CD$26,1,0)</f>
        <v>1</v>
      </c>
      <c r="CE20" s="9">
        <f>IF(真實IC!CE20&gt;真實IC!CE$26,1,0)</f>
        <v>1</v>
      </c>
      <c r="CF20" s="9">
        <f>IF(真實IC!CF20&gt;真實IC!CF$26,1,0)</f>
        <v>1</v>
      </c>
      <c r="CG20" s="9">
        <f>IF(真實IC!CG20&gt;真實IC!CG$26,1,0)</f>
        <v>0</v>
      </c>
      <c r="CH20" s="9">
        <f>IF(真實IC!CH20&gt;真實IC!CH$26,1,0)</f>
        <v>1</v>
      </c>
      <c r="CI20" s="9">
        <f>IF(真實IC!CI20&gt;真實IC!CI$26,1,0)</f>
        <v>1</v>
      </c>
      <c r="CJ20" s="9">
        <f>IF(真實IC!CJ20&gt;真實IC!CJ$26,1,0)</f>
        <v>0</v>
      </c>
      <c r="CK20" s="9">
        <f>IF(真實IC!CK20&gt;真實IC!CK$26,1,0)</f>
        <v>1</v>
      </c>
      <c r="CL20" s="9">
        <f>IF(真實IC!CL20&gt;真實IC!CL$26,1,0)</f>
        <v>0</v>
      </c>
      <c r="CM20" s="9">
        <f>IF(真實IC!CM20&gt;真實IC!CM$26,1,0)</f>
        <v>1</v>
      </c>
      <c r="CN20" s="9">
        <f>IF(真實IC!CN20&gt;真實IC!CN$26,1,0)</f>
        <v>1</v>
      </c>
      <c r="CO20" s="9">
        <f>IF(真實IC!CO20&gt;真實IC!CO$26,1,0)</f>
        <v>1</v>
      </c>
      <c r="CP20" s="9">
        <f>IF(真實IC!CP20&gt;真實IC!CP$26,1,0)</f>
        <v>1</v>
      </c>
      <c r="CQ20" s="9">
        <f>IF(真實IC!CQ20&gt;真實IC!CQ$26,1,0)</f>
        <v>1</v>
      </c>
      <c r="CR20" s="9">
        <f>IF(真實IC!CR20&gt;真實IC!CR$26,1,0)</f>
        <v>1</v>
      </c>
      <c r="CS20" s="9">
        <f>IF(真實IC!CS20&gt;真實IC!CS$26,1,0)</f>
        <v>1</v>
      </c>
      <c r="CT20" s="9">
        <f>IF(真實IC!CT20&gt;真實IC!CT$26,1,0)</f>
        <v>0</v>
      </c>
      <c r="CU20" s="9">
        <f>IF(真實IC!CU20&gt;真實IC!CU$26,1,0)</f>
        <v>1</v>
      </c>
      <c r="CV20" s="9">
        <f>IF(真實IC!CV20&gt;真實IC!CV$26,1,0)</f>
        <v>1</v>
      </c>
      <c r="CW20" s="9">
        <f>IF(真實IC!CW20&gt;真實IC!CW$26,1,0)</f>
        <v>1</v>
      </c>
      <c r="CX20" s="9">
        <f>IF(真實IC!CX20&gt;真實IC!CX$26,1,0)</f>
        <v>1</v>
      </c>
      <c r="CY20" s="9">
        <f>IF(真實IC!CY20&gt;真實IC!CY$26,1,0)</f>
        <v>1</v>
      </c>
      <c r="CZ20" s="9">
        <f>IF(真實IC!CZ20&gt;真實IC!CZ$26,1,0)</f>
        <v>1</v>
      </c>
      <c r="DA20" s="9">
        <f>IF(真實IC!DA20&gt;真實IC!DA$26,1,0)</f>
        <v>1</v>
      </c>
      <c r="DB20" s="9">
        <f>IF(真實IC!DB20&gt;真實IC!DB$26,1,0)</f>
        <v>1</v>
      </c>
      <c r="DC20" s="9">
        <f>IF(真實IC!DC20&gt;真實IC!DC$26,1,0)</f>
        <v>1</v>
      </c>
      <c r="DD20" s="9">
        <f>IF(真實IC!DD20&gt;真實IC!DD$26,1,0)</f>
        <v>1</v>
      </c>
      <c r="DE20" s="9">
        <f>IF(真實IC!DE20&gt;真實IC!DE$26,1,0)</f>
        <v>0</v>
      </c>
      <c r="DF20" s="9">
        <f>IF(真實IC!DF20&gt;真實IC!DF$26,1,0)</f>
        <v>1</v>
      </c>
      <c r="DG20" s="9">
        <f>IF(真實IC!DG20&gt;真實IC!DG$26,1,0)</f>
        <v>0</v>
      </c>
      <c r="DH20" s="9">
        <f>IF(真實IC!DH20&gt;真實IC!DH$26,1,0)</f>
        <v>1</v>
      </c>
      <c r="DI20" s="9">
        <f>IF(真實IC!DI20&gt;真實IC!DI$26,1,0)</f>
        <v>1</v>
      </c>
      <c r="DJ20" s="9">
        <f>IF(真實IC!DJ20&gt;真實IC!DJ$26,1,0)</f>
        <v>1</v>
      </c>
      <c r="DK20" s="9">
        <f>IF(真實IC!DK20&gt;真實IC!DK$26,1,0)</f>
        <v>1</v>
      </c>
      <c r="DL20" s="9">
        <f>IF(真實IC!DL20&gt;真實IC!DL$26,1,0)</f>
        <v>0</v>
      </c>
      <c r="DM20" s="9">
        <f>IF(真實IC!DM20&gt;真實IC!DM$26,1,0)</f>
        <v>0</v>
      </c>
      <c r="DN20" s="9">
        <f>IF(真實IC!DN20&gt;真實IC!DN$26,1,0)</f>
        <v>1</v>
      </c>
      <c r="DO20" s="9">
        <f>IF(真實IC!DO20&gt;真實IC!DO$26,1,0)</f>
        <v>1</v>
      </c>
      <c r="DP20" s="9">
        <f>IF(真實IC!DP20&gt;真實IC!DP$26,1,0)</f>
        <v>1</v>
      </c>
      <c r="DQ20" s="9">
        <f>IF(真實IC!DQ20&gt;真實IC!DQ$26,1,0)</f>
        <v>0</v>
      </c>
      <c r="DR20" s="9">
        <f>IF(真實IC!DR20&gt;真實IC!DR$26,1,0)</f>
        <v>1</v>
      </c>
      <c r="DS20" s="9">
        <f>IF(真實IC!DS20&gt;真實IC!DS$26,1,0)</f>
        <v>0</v>
      </c>
      <c r="DT20" s="9">
        <f>IF(真實IC!DT20&gt;真實IC!DT$26,1,0)</f>
        <v>0</v>
      </c>
      <c r="DU20" s="9">
        <f>IF(真實IC!DU20&gt;真實IC!DU$26,1,0)</f>
        <v>1</v>
      </c>
      <c r="DV20" s="9">
        <f>IF(真實IC!DV20&gt;真實IC!DV$26,1,0)</f>
        <v>1</v>
      </c>
      <c r="DW20" s="9">
        <f>IF(真實IC!DW20&gt;真實IC!DW$26,1,0)</f>
        <v>0</v>
      </c>
      <c r="DX20" s="9">
        <f>IF(真實IC!DX20&gt;真實IC!DX$26,1,0)</f>
        <v>1</v>
      </c>
      <c r="DY20" s="9">
        <f>IF(真實IC!DY20&gt;真實IC!DY$26,1,0)</f>
        <v>1</v>
      </c>
      <c r="DZ20" s="9">
        <f>IF(真實IC!DZ20&gt;真實IC!DZ$26,1,0)</f>
        <v>1</v>
      </c>
      <c r="EA20" s="9">
        <f>IF(真實IC!EA20&gt;真實IC!EA$26,1,0)</f>
        <v>0</v>
      </c>
      <c r="EB20" s="9">
        <f>IF(真實IC!EB20&gt;真實IC!EB$26,1,0)</f>
        <v>1</v>
      </c>
      <c r="EC20" s="9">
        <f>IF(真實IC!EC20&gt;真實IC!EC$26,1,0)</f>
        <v>1</v>
      </c>
      <c r="ED20" s="9">
        <f>IF(真實IC!ED20&gt;真實IC!ED$26,1,0)</f>
        <v>1</v>
      </c>
      <c r="EE20" s="9">
        <f>IF(真實IC!EE20&gt;真實IC!EE$26,1,0)</f>
        <v>0</v>
      </c>
      <c r="EF20" s="9">
        <f>IF(真實IC!EH20&gt;真實IC!EF$26,1,0)</f>
        <v>1</v>
      </c>
      <c r="EG20" s="15">
        <f t="shared" si="10"/>
        <v>97</v>
      </c>
      <c r="EH20" s="14">
        <f t="shared" si="11"/>
        <v>0.72388059701492535</v>
      </c>
    </row>
    <row r="21" spans="1:138">
      <c r="A21" s="7">
        <v>241</v>
      </c>
      <c r="B21" s="7">
        <v>4</v>
      </c>
      <c r="C21" s="9">
        <f>IF(真實IC!C21&gt;真實IC!C$26,1,0)</f>
        <v>1</v>
      </c>
      <c r="D21" s="9">
        <f>IF(真實IC!D21&gt;真實IC!D$26,1,0)</f>
        <v>1</v>
      </c>
      <c r="E21" s="9">
        <f>IF(真實IC!E21&gt;真實IC!E$26,1,0)</f>
        <v>0</v>
      </c>
      <c r="F21" s="9">
        <f>IF(真實IC!F21&gt;真實IC!F$26,1,0)</f>
        <v>0</v>
      </c>
      <c r="G21" s="9">
        <f>IF(真實IC!G21&gt;真實IC!G$26,1,0)</f>
        <v>1</v>
      </c>
      <c r="H21" s="9">
        <f>IF(真實IC!H21&gt;真實IC!H$26,1,0)</f>
        <v>1</v>
      </c>
      <c r="I21" s="9">
        <f>IF(真實IC!I21&gt;真實IC!I$26,1,0)</f>
        <v>1</v>
      </c>
      <c r="J21" s="9">
        <f>IF(真實IC!J21&gt;真實IC!J$26,1,0)</f>
        <v>1</v>
      </c>
      <c r="K21" s="9">
        <f>IF(真實IC!K21&gt;真實IC!K$26,1,0)</f>
        <v>1</v>
      </c>
      <c r="L21" s="9">
        <f>IF(真實IC!L21&gt;真實IC!L$26,1,0)</f>
        <v>1</v>
      </c>
      <c r="M21" s="9">
        <f>IF(真實IC!M21&gt;真實IC!M$26,1,0)</f>
        <v>0</v>
      </c>
      <c r="N21" s="9">
        <f>IF(真實IC!N21&gt;真實IC!N$26,1,0)</f>
        <v>1</v>
      </c>
      <c r="O21" s="9">
        <f>IF(真實IC!O21&gt;真實IC!O$26,1,0)</f>
        <v>1</v>
      </c>
      <c r="P21" s="9">
        <f>IF(真實IC!P21&gt;真實IC!P$26,1,0)</f>
        <v>1</v>
      </c>
      <c r="Q21" s="9">
        <f>IF(真實IC!Q21&gt;真實IC!Q$26,1,0)</f>
        <v>1</v>
      </c>
      <c r="R21" s="9">
        <f>IF(真實IC!R21&gt;真實IC!R$26,1,0)</f>
        <v>0</v>
      </c>
      <c r="S21" s="9">
        <f>IF(真實IC!S21&gt;真實IC!S$26,1,0)</f>
        <v>1</v>
      </c>
      <c r="T21" s="9">
        <f>IF(真實IC!T21&gt;真實IC!T$26,1,0)</f>
        <v>1</v>
      </c>
      <c r="U21" s="9">
        <f>IF(真實IC!U21&gt;真實IC!U$26,1,0)</f>
        <v>1</v>
      </c>
      <c r="V21" s="9">
        <f>IF(真實IC!V21&gt;真實IC!V$26,1,0)</f>
        <v>1</v>
      </c>
      <c r="W21" s="9">
        <f>IF(真實IC!W21&gt;真實IC!W$26,1,0)</f>
        <v>1</v>
      </c>
      <c r="X21" s="9">
        <f>IF(真實IC!X21&gt;真實IC!X$26,1,0)</f>
        <v>1</v>
      </c>
      <c r="Y21" s="9">
        <f>IF(真實IC!Y21&gt;真實IC!Y$26,1,0)</f>
        <v>1</v>
      </c>
      <c r="Z21" s="9">
        <f>IF(真實IC!Z21&gt;真實IC!Z$26,1,0)</f>
        <v>1</v>
      </c>
      <c r="AA21" s="9">
        <f>IF(真實IC!AA21&gt;真實IC!AA$26,1,0)</f>
        <v>1</v>
      </c>
      <c r="AB21" s="9">
        <f>IF(真實IC!AB21&gt;真實IC!AB$26,1,0)</f>
        <v>1</v>
      </c>
      <c r="AC21" s="9">
        <f>IF(真實IC!AC21&gt;真實IC!AC$26,1,0)</f>
        <v>0</v>
      </c>
      <c r="AD21" s="9">
        <f>IF(真實IC!AD21&gt;真實IC!AD$26,1,0)</f>
        <v>1</v>
      </c>
      <c r="AE21" s="9">
        <f>IF(真實IC!AE21&gt;真實IC!AE$26,1,0)</f>
        <v>1</v>
      </c>
      <c r="AF21" s="9">
        <f>IF(真實IC!AF21&gt;真實IC!AF$26,1,0)</f>
        <v>1</v>
      </c>
      <c r="AG21" s="9">
        <f>IF(真實IC!AG21&gt;真實IC!AG$26,1,0)</f>
        <v>1</v>
      </c>
      <c r="AH21" s="9">
        <f>IF(真實IC!AH21&gt;真實IC!AH$26,1,0)</f>
        <v>0</v>
      </c>
      <c r="AI21" s="9">
        <f>IF(真實IC!AI21&gt;真實IC!AI$26,1,0)</f>
        <v>1</v>
      </c>
      <c r="AJ21" s="9">
        <f>IF(真實IC!AJ21&gt;真實IC!AJ$26,1,0)</f>
        <v>0</v>
      </c>
      <c r="AK21" s="9">
        <f>IF(真實IC!AK21&gt;真實IC!AK$26,1,0)</f>
        <v>0</v>
      </c>
      <c r="AL21" s="9">
        <f>IF(真實IC!AL21&gt;真實IC!AL$26,1,0)</f>
        <v>1</v>
      </c>
      <c r="AM21" s="9">
        <f>IF(真實IC!AM21&gt;真實IC!AM$26,1,0)</f>
        <v>1</v>
      </c>
      <c r="AN21" s="9">
        <f>IF(真實IC!AN21&gt;真實IC!AN$26,1,0)</f>
        <v>1</v>
      </c>
      <c r="AO21" s="9">
        <f>IF(真實IC!AO21&gt;真實IC!AO$26,1,0)</f>
        <v>1</v>
      </c>
      <c r="AP21" s="9">
        <f>IF(真實IC!AP21&gt;真實IC!AP$26,1,0)</f>
        <v>1</v>
      </c>
      <c r="AQ21" s="9">
        <f>IF(真實IC!AQ21&gt;真實IC!AQ$26,1,0)</f>
        <v>1</v>
      </c>
      <c r="AR21" s="9">
        <f>IF(真實IC!AR21&gt;真實IC!AR$26,1,0)</f>
        <v>1</v>
      </c>
      <c r="AS21" s="9">
        <f>IF(真實IC!AS21&gt;真實IC!AS$26,1,0)</f>
        <v>0</v>
      </c>
      <c r="AT21" s="9">
        <f>IF(真實IC!AT21&gt;真實IC!AT$26,1,0)</f>
        <v>1</v>
      </c>
      <c r="AU21" s="9">
        <f>IF(真實IC!AU21&gt;真實IC!AU$26,1,0)</f>
        <v>1</v>
      </c>
      <c r="AV21" s="9">
        <f>IF(真實IC!AV21&gt;真實IC!AV$26,1,0)</f>
        <v>0</v>
      </c>
      <c r="AW21" s="9">
        <f>IF(真實IC!AW21&gt;真實IC!AW$26,1,0)</f>
        <v>1</v>
      </c>
      <c r="AX21" s="9">
        <f>IF(真實IC!AX21&gt;真實IC!AX$26,1,0)</f>
        <v>1</v>
      </c>
      <c r="AY21" s="9">
        <f>IF(真實IC!AY21&gt;真實IC!AY$26,1,0)</f>
        <v>1</v>
      </c>
      <c r="AZ21" s="9">
        <f>IF(真實IC!AZ21&gt;真實IC!AZ$26,1,0)</f>
        <v>1</v>
      </c>
      <c r="BA21" s="9">
        <f>IF(真實IC!BA21&gt;真實IC!BA$26,1,0)</f>
        <v>1</v>
      </c>
      <c r="BB21" s="9">
        <f>IF(真實IC!BB21&gt;真實IC!BB$26,1,0)</f>
        <v>1</v>
      </c>
      <c r="BC21" s="9">
        <f>IF(真實IC!BC21&gt;真實IC!BC$26,1,0)</f>
        <v>1</v>
      </c>
      <c r="BD21" s="9">
        <f>IF(真實IC!BD21&gt;真實IC!BD$26,1,0)</f>
        <v>1</v>
      </c>
      <c r="BE21" s="9">
        <f>IF(真實IC!BE21&gt;真實IC!BE$26,1,0)</f>
        <v>1</v>
      </c>
      <c r="BF21" s="9">
        <f>IF(真實IC!BF21&gt;真實IC!BF$26,1,0)</f>
        <v>1</v>
      </c>
      <c r="BG21" s="9">
        <f>IF(真實IC!BG21&gt;真實IC!BG$26,1,0)</f>
        <v>1</v>
      </c>
      <c r="BH21" s="9">
        <f>IF(真實IC!BH21&gt;真實IC!BH$26,1,0)</f>
        <v>1</v>
      </c>
      <c r="BI21" s="9">
        <f>IF(真實IC!BI21&gt;真實IC!BI$26,1,0)</f>
        <v>1</v>
      </c>
      <c r="BJ21" s="9">
        <f>IF(真實IC!BJ21&gt;真實IC!BJ$26,1,0)</f>
        <v>1</v>
      </c>
      <c r="BK21" s="9">
        <f>IF(真實IC!BK21&gt;真實IC!BK$26,1,0)</f>
        <v>0</v>
      </c>
      <c r="BL21" s="9">
        <f>IF(真實IC!BL21&gt;真實IC!BL$26,1,0)</f>
        <v>1</v>
      </c>
      <c r="BM21" s="9">
        <f>IF(真實IC!BM21&gt;真實IC!BM$26,1,0)</f>
        <v>1</v>
      </c>
      <c r="BN21" s="9">
        <f>IF(真實IC!BN21&gt;真實IC!BN$26,1,0)</f>
        <v>0</v>
      </c>
      <c r="BO21" s="9">
        <f>IF(真實IC!BO21&gt;真實IC!BO$26,1,0)</f>
        <v>0</v>
      </c>
      <c r="BP21" s="9">
        <f>IF(真實IC!BP21&gt;真實IC!BP$26,1,0)</f>
        <v>0</v>
      </c>
      <c r="BQ21" s="9">
        <f>IF(真實IC!BQ21&gt;真實IC!BQ$26,1,0)</f>
        <v>1</v>
      </c>
      <c r="BR21" s="9">
        <f>IF(真實IC!BR21&gt;真實IC!BR$26,1,0)</f>
        <v>1</v>
      </c>
      <c r="BS21" s="9">
        <f>IF(真實IC!BS21&gt;真實IC!BS$26,1,0)</f>
        <v>0</v>
      </c>
      <c r="BT21" s="9">
        <f>IF(真實IC!BT21&gt;真實IC!BT$26,1,0)</f>
        <v>0</v>
      </c>
      <c r="BU21" s="9">
        <f>IF(真實IC!BU21&gt;真實IC!BU$26,1,0)</f>
        <v>1</v>
      </c>
      <c r="BV21" s="9">
        <f>IF(真實IC!BV21&gt;真實IC!BV$26,1,0)</f>
        <v>0</v>
      </c>
      <c r="BW21" s="9">
        <f>IF(真實IC!BW21&gt;真實IC!BW$26,1,0)</f>
        <v>1</v>
      </c>
      <c r="BX21" s="9">
        <f>IF(真實IC!BX21&gt;真實IC!BX$26,1,0)</f>
        <v>0</v>
      </c>
      <c r="BY21" s="9">
        <f>IF(真實IC!BY21&gt;真實IC!BY$26,1,0)</f>
        <v>1</v>
      </c>
      <c r="BZ21" s="9">
        <f>IF(真實IC!BZ21&gt;真實IC!BZ$26,1,0)</f>
        <v>0</v>
      </c>
      <c r="CA21" s="9">
        <f>IF(真實IC!CA21&gt;真實IC!CA$26,1,0)</f>
        <v>1</v>
      </c>
      <c r="CB21" s="9">
        <f>IF(真實IC!CB21&gt;真實IC!CB$26,1,0)</f>
        <v>1</v>
      </c>
      <c r="CC21" s="9">
        <f>IF(真實IC!CC21&gt;真實IC!CC$26,1,0)</f>
        <v>0</v>
      </c>
      <c r="CD21" s="9">
        <f>IF(真實IC!CD21&gt;真實IC!CD$26,1,0)</f>
        <v>1</v>
      </c>
      <c r="CE21" s="9">
        <f>IF(真實IC!CE21&gt;真實IC!CE$26,1,0)</f>
        <v>1</v>
      </c>
      <c r="CF21" s="9">
        <f>IF(真實IC!CF21&gt;真實IC!CF$26,1,0)</f>
        <v>1</v>
      </c>
      <c r="CG21" s="9">
        <f>IF(真實IC!CG21&gt;真實IC!CG$26,1,0)</f>
        <v>0</v>
      </c>
      <c r="CH21" s="9">
        <f>IF(真實IC!CH21&gt;真實IC!CH$26,1,0)</f>
        <v>1</v>
      </c>
      <c r="CI21" s="9">
        <f>IF(真實IC!CI21&gt;真實IC!CI$26,1,0)</f>
        <v>1</v>
      </c>
      <c r="CJ21" s="9">
        <f>IF(真實IC!CJ21&gt;真實IC!CJ$26,1,0)</f>
        <v>0</v>
      </c>
      <c r="CK21" s="9">
        <f>IF(真實IC!CK21&gt;真實IC!CK$26,1,0)</f>
        <v>1</v>
      </c>
      <c r="CL21" s="9">
        <f>IF(真實IC!CL21&gt;真實IC!CL$26,1,0)</f>
        <v>0</v>
      </c>
      <c r="CM21" s="9">
        <f>IF(真實IC!CM21&gt;真實IC!CM$26,1,0)</f>
        <v>1</v>
      </c>
      <c r="CN21" s="9">
        <f>IF(真實IC!CN21&gt;真實IC!CN$26,1,0)</f>
        <v>1</v>
      </c>
      <c r="CO21" s="9">
        <f>IF(真實IC!CO21&gt;真實IC!CO$26,1,0)</f>
        <v>1</v>
      </c>
      <c r="CP21" s="9">
        <f>IF(真實IC!CP21&gt;真實IC!CP$26,1,0)</f>
        <v>1</v>
      </c>
      <c r="CQ21" s="9">
        <f>IF(真實IC!CQ21&gt;真實IC!CQ$26,1,0)</f>
        <v>1</v>
      </c>
      <c r="CR21" s="9">
        <f>IF(真實IC!CR21&gt;真實IC!CR$26,1,0)</f>
        <v>1</v>
      </c>
      <c r="CS21" s="9">
        <f>IF(真實IC!CS21&gt;真實IC!CS$26,1,0)</f>
        <v>1</v>
      </c>
      <c r="CT21" s="9">
        <f>IF(真實IC!CT21&gt;真實IC!CT$26,1,0)</f>
        <v>1</v>
      </c>
      <c r="CU21" s="9">
        <f>IF(真實IC!CU21&gt;真實IC!CU$26,1,0)</f>
        <v>1</v>
      </c>
      <c r="CV21" s="9">
        <f>IF(真實IC!CV21&gt;真實IC!CV$26,1,0)</f>
        <v>1</v>
      </c>
      <c r="CW21" s="9">
        <f>IF(真實IC!CW21&gt;真實IC!CW$26,1,0)</f>
        <v>1</v>
      </c>
      <c r="CX21" s="9">
        <f>IF(真實IC!CX21&gt;真實IC!CX$26,1,0)</f>
        <v>1</v>
      </c>
      <c r="CY21" s="9">
        <f>IF(真實IC!CY21&gt;真實IC!CY$26,1,0)</f>
        <v>1</v>
      </c>
      <c r="CZ21" s="9">
        <f>IF(真實IC!CZ21&gt;真實IC!CZ$26,1,0)</f>
        <v>1</v>
      </c>
      <c r="DA21" s="9">
        <f>IF(真實IC!DA21&gt;真實IC!DA$26,1,0)</f>
        <v>1</v>
      </c>
      <c r="DB21" s="9">
        <f>IF(真實IC!DB21&gt;真實IC!DB$26,1,0)</f>
        <v>1</v>
      </c>
      <c r="DC21" s="9">
        <f>IF(真實IC!DC21&gt;真實IC!DC$26,1,0)</f>
        <v>1</v>
      </c>
      <c r="DD21" s="9">
        <f>IF(真實IC!DD21&gt;真實IC!DD$26,1,0)</f>
        <v>1</v>
      </c>
      <c r="DE21" s="9">
        <f>IF(真實IC!DE21&gt;真實IC!DE$26,1,0)</f>
        <v>0</v>
      </c>
      <c r="DF21" s="9">
        <f>IF(真實IC!DF21&gt;真實IC!DF$26,1,0)</f>
        <v>1</v>
      </c>
      <c r="DG21" s="9">
        <f>IF(真實IC!DG21&gt;真實IC!DG$26,1,0)</f>
        <v>0</v>
      </c>
      <c r="DH21" s="9">
        <f>IF(真實IC!DH21&gt;真實IC!DH$26,1,0)</f>
        <v>1</v>
      </c>
      <c r="DI21" s="9">
        <f>IF(真實IC!DI21&gt;真實IC!DI$26,1,0)</f>
        <v>1</v>
      </c>
      <c r="DJ21" s="9">
        <f>IF(真實IC!DJ21&gt;真實IC!DJ$26,1,0)</f>
        <v>1</v>
      </c>
      <c r="DK21" s="9">
        <f>IF(真實IC!DK21&gt;真實IC!DK$26,1,0)</f>
        <v>1</v>
      </c>
      <c r="DL21" s="9">
        <f>IF(真實IC!DL21&gt;真實IC!DL$26,1,0)</f>
        <v>0</v>
      </c>
      <c r="DM21" s="9">
        <f>IF(真實IC!DM21&gt;真實IC!DM$26,1,0)</f>
        <v>0</v>
      </c>
      <c r="DN21" s="9">
        <f>IF(真實IC!DN21&gt;真實IC!DN$26,1,0)</f>
        <v>1</v>
      </c>
      <c r="DO21" s="9">
        <f>IF(真實IC!DO21&gt;真實IC!DO$26,1,0)</f>
        <v>1</v>
      </c>
      <c r="DP21" s="9">
        <f>IF(真實IC!DP21&gt;真實IC!DP$26,1,0)</f>
        <v>1</v>
      </c>
      <c r="DQ21" s="9">
        <f>IF(真實IC!DQ21&gt;真實IC!DQ$26,1,0)</f>
        <v>0</v>
      </c>
      <c r="DR21" s="9">
        <f>IF(真實IC!DR21&gt;真實IC!DR$26,1,0)</f>
        <v>1</v>
      </c>
      <c r="DS21" s="9">
        <f>IF(真實IC!DS21&gt;真實IC!DS$26,1,0)</f>
        <v>1</v>
      </c>
      <c r="DT21" s="9">
        <f>IF(真實IC!DT21&gt;真實IC!DT$26,1,0)</f>
        <v>0</v>
      </c>
      <c r="DU21" s="9">
        <f>IF(真實IC!DU21&gt;真實IC!DU$26,1,0)</f>
        <v>1</v>
      </c>
      <c r="DV21" s="9">
        <f>IF(真實IC!DV21&gt;真實IC!DV$26,1,0)</f>
        <v>1</v>
      </c>
      <c r="DW21" s="9">
        <f>IF(真實IC!DW21&gt;真實IC!DW$26,1,0)</f>
        <v>0</v>
      </c>
      <c r="DX21" s="9">
        <f>IF(真實IC!DX21&gt;真實IC!DX$26,1,0)</f>
        <v>1</v>
      </c>
      <c r="DY21" s="9">
        <f>IF(真實IC!DY21&gt;真實IC!DY$26,1,0)</f>
        <v>1</v>
      </c>
      <c r="DZ21" s="9">
        <f>IF(真實IC!DZ21&gt;真實IC!DZ$26,1,0)</f>
        <v>1</v>
      </c>
      <c r="EA21" s="9">
        <f>IF(真實IC!EA21&gt;真實IC!EA$26,1,0)</f>
        <v>0</v>
      </c>
      <c r="EB21" s="9">
        <f>IF(真實IC!EB21&gt;真實IC!EB$26,1,0)</f>
        <v>0</v>
      </c>
      <c r="EC21" s="9">
        <f>IF(真實IC!EC21&gt;真實IC!EC$26,1,0)</f>
        <v>1</v>
      </c>
      <c r="ED21" s="9">
        <f>IF(真實IC!ED21&gt;真實IC!ED$26,1,0)</f>
        <v>1</v>
      </c>
      <c r="EE21" s="9">
        <f>IF(真實IC!EE21&gt;真實IC!EE$26,1,0)</f>
        <v>1</v>
      </c>
      <c r="EF21" s="9">
        <f>IF(真實IC!EH21&gt;真實IC!EF$26,1,0)</f>
        <v>1</v>
      </c>
      <c r="EG21" s="15">
        <f t="shared" si="10"/>
        <v>102</v>
      </c>
      <c r="EH21" s="14">
        <f t="shared" si="11"/>
        <v>0.76119402985074625</v>
      </c>
    </row>
    <row r="22" spans="1:138">
      <c r="A22" s="7">
        <v>321</v>
      </c>
      <c r="B22" s="7">
        <v>3</v>
      </c>
      <c r="C22" s="9">
        <f>IF(真實IC!C22&gt;真實IC!C$26,1,0)</f>
        <v>1</v>
      </c>
      <c r="D22" s="9">
        <f>IF(真實IC!D22&gt;真實IC!D$26,1,0)</f>
        <v>1</v>
      </c>
      <c r="E22" s="9">
        <f>IF(真實IC!E22&gt;真實IC!E$26,1,0)</f>
        <v>0</v>
      </c>
      <c r="F22" s="9">
        <f>IF(真實IC!F22&gt;真實IC!F$26,1,0)</f>
        <v>0</v>
      </c>
      <c r="G22" s="9">
        <f>IF(真實IC!G22&gt;真實IC!G$26,1,0)</f>
        <v>1</v>
      </c>
      <c r="H22" s="9">
        <f>IF(真實IC!H22&gt;真實IC!H$26,1,0)</f>
        <v>1</v>
      </c>
      <c r="I22" s="9">
        <f>IF(真實IC!I22&gt;真實IC!I$26,1,0)</f>
        <v>1</v>
      </c>
      <c r="J22" s="9">
        <f>IF(真實IC!J22&gt;真實IC!J$26,1,0)</f>
        <v>1</v>
      </c>
      <c r="K22" s="9">
        <f>IF(真實IC!K22&gt;真實IC!K$26,1,0)</f>
        <v>1</v>
      </c>
      <c r="L22" s="9">
        <f>IF(真實IC!L22&gt;真實IC!L$26,1,0)</f>
        <v>0</v>
      </c>
      <c r="M22" s="9">
        <f>IF(真實IC!M22&gt;真實IC!M$26,1,0)</f>
        <v>0</v>
      </c>
      <c r="N22" s="9">
        <f>IF(真實IC!N22&gt;真實IC!N$26,1,0)</f>
        <v>1</v>
      </c>
      <c r="O22" s="9">
        <f>IF(真實IC!O22&gt;真實IC!O$26,1,0)</f>
        <v>0</v>
      </c>
      <c r="P22" s="9">
        <f>IF(真實IC!P22&gt;真實IC!P$26,1,0)</f>
        <v>1</v>
      </c>
      <c r="Q22" s="9">
        <f>IF(真實IC!Q22&gt;真實IC!Q$26,1,0)</f>
        <v>1</v>
      </c>
      <c r="R22" s="9">
        <f>IF(真實IC!R22&gt;真實IC!R$26,1,0)</f>
        <v>0</v>
      </c>
      <c r="S22" s="9">
        <f>IF(真實IC!S22&gt;真實IC!S$26,1,0)</f>
        <v>1</v>
      </c>
      <c r="T22" s="9">
        <f>IF(真實IC!T22&gt;真實IC!T$26,1,0)</f>
        <v>1</v>
      </c>
      <c r="U22" s="9">
        <f>IF(真實IC!U22&gt;真實IC!U$26,1,0)</f>
        <v>1</v>
      </c>
      <c r="V22" s="9">
        <f>IF(真實IC!V22&gt;真實IC!V$26,1,0)</f>
        <v>1</v>
      </c>
      <c r="W22" s="9">
        <f>IF(真實IC!W22&gt;真實IC!W$26,1,0)</f>
        <v>1</v>
      </c>
      <c r="X22" s="9">
        <f>IF(真實IC!X22&gt;真實IC!X$26,1,0)</f>
        <v>1</v>
      </c>
      <c r="Y22" s="9">
        <f>IF(真實IC!Y22&gt;真實IC!Y$26,1,0)</f>
        <v>1</v>
      </c>
      <c r="Z22" s="9">
        <f>IF(真實IC!Z22&gt;真實IC!Z$26,1,0)</f>
        <v>1</v>
      </c>
      <c r="AA22" s="9">
        <f>IF(真實IC!AA22&gt;真實IC!AA$26,1,0)</f>
        <v>1</v>
      </c>
      <c r="AB22" s="9">
        <f>IF(真實IC!AB22&gt;真實IC!AB$26,1,0)</f>
        <v>1</v>
      </c>
      <c r="AC22" s="9">
        <f>IF(真實IC!AC22&gt;真實IC!AC$26,1,0)</f>
        <v>1</v>
      </c>
      <c r="AD22" s="9">
        <f>IF(真實IC!AD22&gt;真實IC!AD$26,1,0)</f>
        <v>1</v>
      </c>
      <c r="AE22" s="9">
        <f>IF(真實IC!AE22&gt;真實IC!AE$26,1,0)</f>
        <v>1</v>
      </c>
      <c r="AF22" s="9">
        <f>IF(真實IC!AF22&gt;真實IC!AF$26,1,0)</f>
        <v>1</v>
      </c>
      <c r="AG22" s="9">
        <f>IF(真實IC!AG22&gt;真實IC!AG$26,1,0)</f>
        <v>1</v>
      </c>
      <c r="AH22" s="9">
        <f>IF(真實IC!AH22&gt;真實IC!AH$26,1,0)</f>
        <v>0</v>
      </c>
      <c r="AI22" s="9">
        <f>IF(真實IC!AI22&gt;真實IC!AI$26,1,0)</f>
        <v>1</v>
      </c>
      <c r="AJ22" s="9">
        <f>IF(真實IC!AJ22&gt;真實IC!AJ$26,1,0)</f>
        <v>0</v>
      </c>
      <c r="AK22" s="9">
        <f>IF(真實IC!AK22&gt;真實IC!AK$26,1,0)</f>
        <v>1</v>
      </c>
      <c r="AL22" s="9">
        <f>IF(真實IC!AL22&gt;真實IC!AL$26,1,0)</f>
        <v>0</v>
      </c>
      <c r="AM22" s="9">
        <f>IF(真實IC!AM22&gt;真實IC!AM$26,1,0)</f>
        <v>1</v>
      </c>
      <c r="AN22" s="9">
        <f>IF(真實IC!AN22&gt;真實IC!AN$26,1,0)</f>
        <v>1</v>
      </c>
      <c r="AO22" s="9">
        <f>IF(真實IC!AO22&gt;真實IC!AO$26,1,0)</f>
        <v>1</v>
      </c>
      <c r="AP22" s="9">
        <f>IF(真實IC!AP22&gt;真實IC!AP$26,1,0)</f>
        <v>1</v>
      </c>
      <c r="AQ22" s="9">
        <f>IF(真實IC!AQ22&gt;真實IC!AQ$26,1,0)</f>
        <v>1</v>
      </c>
      <c r="AR22" s="9">
        <f>IF(真實IC!AR22&gt;真實IC!AR$26,1,0)</f>
        <v>1</v>
      </c>
      <c r="AS22" s="9">
        <f>IF(真實IC!AS22&gt;真實IC!AS$26,1,0)</f>
        <v>1</v>
      </c>
      <c r="AT22" s="9">
        <f>IF(真實IC!AT22&gt;真實IC!AT$26,1,0)</f>
        <v>1</v>
      </c>
      <c r="AU22" s="9">
        <f>IF(真實IC!AU22&gt;真實IC!AU$26,1,0)</f>
        <v>1</v>
      </c>
      <c r="AV22" s="9">
        <f>IF(真實IC!AV22&gt;真實IC!AV$26,1,0)</f>
        <v>0</v>
      </c>
      <c r="AW22" s="9">
        <f>IF(真實IC!AW22&gt;真實IC!AW$26,1,0)</f>
        <v>1</v>
      </c>
      <c r="AX22" s="9">
        <f>IF(真實IC!AX22&gt;真實IC!AX$26,1,0)</f>
        <v>0</v>
      </c>
      <c r="AY22" s="9">
        <f>IF(真實IC!AY22&gt;真實IC!AY$26,1,0)</f>
        <v>1</v>
      </c>
      <c r="AZ22" s="9">
        <f>IF(真實IC!AZ22&gt;真實IC!AZ$26,1,0)</f>
        <v>1</v>
      </c>
      <c r="BA22" s="9">
        <f>IF(真實IC!BA22&gt;真實IC!BA$26,1,0)</f>
        <v>1</v>
      </c>
      <c r="BB22" s="9">
        <f>IF(真實IC!BB22&gt;真實IC!BB$26,1,0)</f>
        <v>1</v>
      </c>
      <c r="BC22" s="9">
        <f>IF(真實IC!BC22&gt;真實IC!BC$26,1,0)</f>
        <v>1</v>
      </c>
      <c r="BD22" s="9">
        <f>IF(真實IC!BD22&gt;真實IC!BD$26,1,0)</f>
        <v>1</v>
      </c>
      <c r="BE22" s="9">
        <f>IF(真實IC!BE22&gt;真實IC!BE$26,1,0)</f>
        <v>1</v>
      </c>
      <c r="BF22" s="9">
        <f>IF(真實IC!BF22&gt;真實IC!BF$26,1,0)</f>
        <v>1</v>
      </c>
      <c r="BG22" s="9">
        <f>IF(真實IC!BG22&gt;真實IC!BG$26,1,0)</f>
        <v>0</v>
      </c>
      <c r="BH22" s="9">
        <f>IF(真實IC!BH22&gt;真實IC!BH$26,1,0)</f>
        <v>1</v>
      </c>
      <c r="BI22" s="9">
        <f>IF(真實IC!BI22&gt;真實IC!BI$26,1,0)</f>
        <v>1</v>
      </c>
      <c r="BJ22" s="9">
        <f>IF(真實IC!BJ22&gt;真實IC!BJ$26,1,0)</f>
        <v>1</v>
      </c>
      <c r="BK22" s="9">
        <f>IF(真實IC!BK22&gt;真實IC!BK$26,1,0)</f>
        <v>0</v>
      </c>
      <c r="BL22" s="9">
        <f>IF(真實IC!BL22&gt;真實IC!BL$26,1,0)</f>
        <v>1</v>
      </c>
      <c r="BM22" s="9">
        <f>IF(真實IC!BM22&gt;真實IC!BM$26,1,0)</f>
        <v>0</v>
      </c>
      <c r="BN22" s="9">
        <f>IF(真實IC!BN22&gt;真實IC!BN$26,1,0)</f>
        <v>1</v>
      </c>
      <c r="BO22" s="9">
        <f>IF(真實IC!BO22&gt;真實IC!BO$26,1,0)</f>
        <v>0</v>
      </c>
      <c r="BP22" s="9">
        <f>IF(真實IC!BP22&gt;真實IC!BP$26,1,0)</f>
        <v>0</v>
      </c>
      <c r="BQ22" s="9">
        <f>IF(真實IC!BQ22&gt;真實IC!BQ$26,1,0)</f>
        <v>1</v>
      </c>
      <c r="BR22" s="9">
        <f>IF(真實IC!BR22&gt;真實IC!BR$26,1,0)</f>
        <v>1</v>
      </c>
      <c r="BS22" s="9">
        <f>IF(真實IC!BS22&gt;真實IC!BS$26,1,0)</f>
        <v>0</v>
      </c>
      <c r="BT22" s="9">
        <f>IF(真實IC!BT22&gt;真實IC!BT$26,1,0)</f>
        <v>1</v>
      </c>
      <c r="BU22" s="9">
        <f>IF(真實IC!BU22&gt;真實IC!BU$26,1,0)</f>
        <v>1</v>
      </c>
      <c r="BV22" s="9">
        <f>IF(真實IC!BV22&gt;真實IC!BV$26,1,0)</f>
        <v>0</v>
      </c>
      <c r="BW22" s="9">
        <f>IF(真實IC!BW22&gt;真實IC!BW$26,1,0)</f>
        <v>1</v>
      </c>
      <c r="BX22" s="9">
        <f>IF(真實IC!BX22&gt;真實IC!BX$26,1,0)</f>
        <v>0</v>
      </c>
      <c r="BY22" s="9">
        <f>IF(真實IC!BY22&gt;真實IC!BY$26,1,0)</f>
        <v>1</v>
      </c>
      <c r="BZ22" s="9">
        <f>IF(真實IC!BZ22&gt;真實IC!BZ$26,1,0)</f>
        <v>0</v>
      </c>
      <c r="CA22" s="9">
        <f>IF(真實IC!CA22&gt;真實IC!CA$26,1,0)</f>
        <v>1</v>
      </c>
      <c r="CB22" s="9">
        <f>IF(真實IC!CB22&gt;真實IC!CB$26,1,0)</f>
        <v>1</v>
      </c>
      <c r="CC22" s="9">
        <f>IF(真實IC!CC22&gt;真實IC!CC$26,1,0)</f>
        <v>0</v>
      </c>
      <c r="CD22" s="9">
        <f>IF(真實IC!CD22&gt;真實IC!CD$26,1,0)</f>
        <v>1</v>
      </c>
      <c r="CE22" s="9">
        <f>IF(真實IC!CE22&gt;真實IC!CE$26,1,0)</f>
        <v>1</v>
      </c>
      <c r="CF22" s="9">
        <f>IF(真實IC!CF22&gt;真實IC!CF$26,1,0)</f>
        <v>1</v>
      </c>
      <c r="CG22" s="9">
        <f>IF(真實IC!CG22&gt;真實IC!CG$26,1,0)</f>
        <v>1</v>
      </c>
      <c r="CH22" s="9">
        <f>IF(真實IC!CH22&gt;真實IC!CH$26,1,0)</f>
        <v>1</v>
      </c>
      <c r="CI22" s="9">
        <f>IF(真實IC!CI22&gt;真實IC!CI$26,1,0)</f>
        <v>1</v>
      </c>
      <c r="CJ22" s="9">
        <f>IF(真實IC!CJ22&gt;真實IC!CJ$26,1,0)</f>
        <v>0</v>
      </c>
      <c r="CK22" s="9">
        <f>IF(真實IC!CK22&gt;真實IC!CK$26,1,0)</f>
        <v>1</v>
      </c>
      <c r="CL22" s="9">
        <f>IF(真實IC!CL22&gt;真實IC!CL$26,1,0)</f>
        <v>0</v>
      </c>
      <c r="CM22" s="9">
        <f>IF(真實IC!CM22&gt;真實IC!CM$26,1,0)</f>
        <v>1</v>
      </c>
      <c r="CN22" s="9">
        <f>IF(真實IC!CN22&gt;真實IC!CN$26,1,0)</f>
        <v>1</v>
      </c>
      <c r="CO22" s="9">
        <f>IF(真實IC!CO22&gt;真實IC!CO$26,1,0)</f>
        <v>1</v>
      </c>
      <c r="CP22" s="9">
        <f>IF(真實IC!CP22&gt;真實IC!CP$26,1,0)</f>
        <v>1</v>
      </c>
      <c r="CQ22" s="9">
        <f>IF(真實IC!CQ22&gt;真實IC!CQ$26,1,0)</f>
        <v>1</v>
      </c>
      <c r="CR22" s="9">
        <f>IF(真實IC!CR22&gt;真實IC!CR$26,1,0)</f>
        <v>1</v>
      </c>
      <c r="CS22" s="9">
        <f>IF(真實IC!CS22&gt;真實IC!CS$26,1,0)</f>
        <v>1</v>
      </c>
      <c r="CT22" s="9">
        <f>IF(真實IC!CT22&gt;真實IC!CT$26,1,0)</f>
        <v>0</v>
      </c>
      <c r="CU22" s="9">
        <f>IF(真實IC!CU22&gt;真實IC!CU$26,1,0)</f>
        <v>1</v>
      </c>
      <c r="CV22" s="9">
        <f>IF(真實IC!CV22&gt;真實IC!CV$26,1,0)</f>
        <v>1</v>
      </c>
      <c r="CW22" s="9">
        <f>IF(真實IC!CW22&gt;真實IC!CW$26,1,0)</f>
        <v>1</v>
      </c>
      <c r="CX22" s="9">
        <f>IF(真實IC!CX22&gt;真實IC!CX$26,1,0)</f>
        <v>1</v>
      </c>
      <c r="CY22" s="9">
        <f>IF(真實IC!CY22&gt;真實IC!CY$26,1,0)</f>
        <v>1</v>
      </c>
      <c r="CZ22" s="9">
        <f>IF(真實IC!CZ22&gt;真實IC!CZ$26,1,0)</f>
        <v>1</v>
      </c>
      <c r="DA22" s="9">
        <f>IF(真實IC!DA22&gt;真實IC!DA$26,1,0)</f>
        <v>1</v>
      </c>
      <c r="DB22" s="9">
        <f>IF(真實IC!DB22&gt;真實IC!DB$26,1,0)</f>
        <v>1</v>
      </c>
      <c r="DC22" s="9">
        <f>IF(真實IC!DC22&gt;真實IC!DC$26,1,0)</f>
        <v>1</v>
      </c>
      <c r="DD22" s="9">
        <f>IF(真實IC!DD22&gt;真實IC!DD$26,1,0)</f>
        <v>1</v>
      </c>
      <c r="DE22" s="9">
        <f>IF(真實IC!DE22&gt;真實IC!DE$26,1,0)</f>
        <v>0</v>
      </c>
      <c r="DF22" s="9">
        <f>IF(真實IC!DF22&gt;真實IC!DF$26,1,0)</f>
        <v>1</v>
      </c>
      <c r="DG22" s="9">
        <f>IF(真實IC!DG22&gt;真實IC!DG$26,1,0)</f>
        <v>0</v>
      </c>
      <c r="DH22" s="9">
        <f>IF(真實IC!DH22&gt;真實IC!DH$26,1,0)</f>
        <v>1</v>
      </c>
      <c r="DI22" s="9">
        <f>IF(真實IC!DI22&gt;真實IC!DI$26,1,0)</f>
        <v>1</v>
      </c>
      <c r="DJ22" s="9">
        <f>IF(真實IC!DJ22&gt;真實IC!DJ$26,1,0)</f>
        <v>1</v>
      </c>
      <c r="DK22" s="9">
        <f>IF(真實IC!DK22&gt;真實IC!DK$26,1,0)</f>
        <v>1</v>
      </c>
      <c r="DL22" s="9">
        <f>IF(真實IC!DL22&gt;真實IC!DL$26,1,0)</f>
        <v>0</v>
      </c>
      <c r="DM22" s="9">
        <f>IF(真實IC!DM22&gt;真實IC!DM$26,1,0)</f>
        <v>0</v>
      </c>
      <c r="DN22" s="9">
        <f>IF(真實IC!DN22&gt;真實IC!DN$26,1,0)</f>
        <v>1</v>
      </c>
      <c r="DO22" s="9">
        <f>IF(真實IC!DO22&gt;真實IC!DO$26,1,0)</f>
        <v>1</v>
      </c>
      <c r="DP22" s="9">
        <f>IF(真實IC!DP22&gt;真實IC!DP$26,1,0)</f>
        <v>1</v>
      </c>
      <c r="DQ22" s="9">
        <f>IF(真實IC!DQ22&gt;真實IC!DQ$26,1,0)</f>
        <v>1</v>
      </c>
      <c r="DR22" s="9">
        <f>IF(真實IC!DR22&gt;真實IC!DR$26,1,0)</f>
        <v>0</v>
      </c>
      <c r="DS22" s="9">
        <f>IF(真實IC!DS22&gt;真實IC!DS$26,1,0)</f>
        <v>0</v>
      </c>
      <c r="DT22" s="9">
        <f>IF(真實IC!DT22&gt;真實IC!DT$26,1,0)</f>
        <v>0</v>
      </c>
      <c r="DU22" s="9">
        <f>IF(真實IC!DU22&gt;真實IC!DU$26,1,0)</f>
        <v>1</v>
      </c>
      <c r="DV22" s="9">
        <f>IF(真實IC!DV22&gt;真實IC!DV$26,1,0)</f>
        <v>1</v>
      </c>
      <c r="DW22" s="9">
        <f>IF(真實IC!DW22&gt;真實IC!DW$26,1,0)</f>
        <v>0</v>
      </c>
      <c r="DX22" s="9">
        <f>IF(真實IC!DX22&gt;真實IC!DX$26,1,0)</f>
        <v>1</v>
      </c>
      <c r="DY22" s="9">
        <f>IF(真實IC!DY22&gt;真實IC!DY$26,1,0)</f>
        <v>1</v>
      </c>
      <c r="DZ22" s="9">
        <f>IF(真實IC!DZ22&gt;真實IC!DZ$26,1,0)</f>
        <v>1</v>
      </c>
      <c r="EA22" s="9">
        <f>IF(真實IC!EA22&gt;真實IC!EA$26,1,0)</f>
        <v>0</v>
      </c>
      <c r="EB22" s="9">
        <f>IF(真實IC!EB22&gt;真實IC!EB$26,1,0)</f>
        <v>1</v>
      </c>
      <c r="EC22" s="9">
        <f>IF(真實IC!EC22&gt;真實IC!EC$26,1,0)</f>
        <v>1</v>
      </c>
      <c r="ED22" s="9">
        <f>IF(真實IC!ED22&gt;真實IC!ED$26,1,0)</f>
        <v>1</v>
      </c>
      <c r="EE22" s="9">
        <f>IF(真實IC!EE22&gt;真實IC!EE$26,1,0)</f>
        <v>1</v>
      </c>
      <c r="EF22" s="9">
        <f>IF(真實IC!EH22&gt;真實IC!EF$26,1,0)</f>
        <v>1</v>
      </c>
      <c r="EG22" s="15">
        <f t="shared" si="10"/>
        <v>101</v>
      </c>
      <c r="EH22" s="14">
        <f t="shared" si="11"/>
        <v>0.75373134328358204</v>
      </c>
    </row>
    <row r="23" spans="1:138">
      <c r="A23" s="7">
        <v>482</v>
      </c>
      <c r="B23" s="7">
        <v>2</v>
      </c>
      <c r="C23" s="9">
        <f>IF(真實IC!C23&gt;真實IC!C$26,1,0)</f>
        <v>1</v>
      </c>
      <c r="D23" s="9">
        <f>IF(真實IC!D23&gt;真實IC!D$26,1,0)</f>
        <v>1</v>
      </c>
      <c r="E23" s="9">
        <f>IF(真實IC!E23&gt;真實IC!E$26,1,0)</f>
        <v>1</v>
      </c>
      <c r="F23" s="9">
        <f>IF(真實IC!F23&gt;真實IC!F$26,1,0)</f>
        <v>0</v>
      </c>
      <c r="G23" s="9">
        <f>IF(真實IC!G23&gt;真實IC!G$26,1,0)</f>
        <v>0</v>
      </c>
      <c r="H23" s="9">
        <f>IF(真實IC!H23&gt;真實IC!H$26,1,0)</f>
        <v>0</v>
      </c>
      <c r="I23" s="9">
        <f>IF(真實IC!I23&gt;真實IC!I$26,1,0)</f>
        <v>1</v>
      </c>
      <c r="J23" s="9">
        <f>IF(真實IC!J23&gt;真實IC!J$26,1,0)</f>
        <v>0</v>
      </c>
      <c r="K23" s="9">
        <f>IF(真實IC!K23&gt;真實IC!K$26,1,0)</f>
        <v>1</v>
      </c>
      <c r="L23" s="9">
        <f>IF(真實IC!L23&gt;真實IC!L$26,1,0)</f>
        <v>0</v>
      </c>
      <c r="M23" s="9">
        <f>IF(真實IC!M23&gt;真實IC!M$26,1,0)</f>
        <v>0</v>
      </c>
      <c r="N23" s="9">
        <f>IF(真實IC!N23&gt;真實IC!N$26,1,0)</f>
        <v>1</v>
      </c>
      <c r="O23" s="9">
        <f>IF(真實IC!O23&gt;真實IC!O$26,1,0)</f>
        <v>0</v>
      </c>
      <c r="P23" s="9">
        <f>IF(真實IC!P23&gt;真實IC!P$26,1,0)</f>
        <v>1</v>
      </c>
      <c r="Q23" s="9">
        <f>IF(真實IC!Q23&gt;真實IC!Q$26,1,0)</f>
        <v>0</v>
      </c>
      <c r="R23" s="9">
        <f>IF(真實IC!R23&gt;真實IC!R$26,1,0)</f>
        <v>0</v>
      </c>
      <c r="S23" s="9">
        <f>IF(真實IC!S23&gt;真實IC!S$26,1,0)</f>
        <v>1</v>
      </c>
      <c r="T23" s="9">
        <f>IF(真實IC!T23&gt;真實IC!T$26,1,0)</f>
        <v>1</v>
      </c>
      <c r="U23" s="9">
        <f>IF(真實IC!U23&gt;真實IC!U$26,1,0)</f>
        <v>1</v>
      </c>
      <c r="V23" s="9">
        <f>IF(真實IC!V23&gt;真實IC!V$26,1,0)</f>
        <v>1</v>
      </c>
      <c r="W23" s="9">
        <f>IF(真實IC!W23&gt;真實IC!W$26,1,0)</f>
        <v>1</v>
      </c>
      <c r="X23" s="9">
        <f>IF(真實IC!X23&gt;真實IC!X$26,1,0)</f>
        <v>1</v>
      </c>
      <c r="Y23" s="9">
        <f>IF(真實IC!Y23&gt;真實IC!Y$26,1,0)</f>
        <v>1</v>
      </c>
      <c r="Z23" s="9">
        <f>IF(真實IC!Z23&gt;真實IC!Z$26,1,0)</f>
        <v>1</v>
      </c>
      <c r="AA23" s="9">
        <f>IF(真實IC!AA23&gt;真實IC!AA$26,1,0)</f>
        <v>0</v>
      </c>
      <c r="AB23" s="9">
        <f>IF(真實IC!AB23&gt;真實IC!AB$26,1,0)</f>
        <v>1</v>
      </c>
      <c r="AC23" s="9">
        <f>IF(真實IC!AC23&gt;真實IC!AC$26,1,0)</f>
        <v>1</v>
      </c>
      <c r="AD23" s="9">
        <f>IF(真實IC!AD23&gt;真實IC!AD$26,1,0)</f>
        <v>1</v>
      </c>
      <c r="AE23" s="9">
        <f>IF(真實IC!AE23&gt;真實IC!AE$26,1,0)</f>
        <v>1</v>
      </c>
      <c r="AF23" s="9">
        <f>IF(真實IC!AF23&gt;真實IC!AF$26,1,0)</f>
        <v>1</v>
      </c>
      <c r="AG23" s="9">
        <f>IF(真實IC!AG23&gt;真實IC!AG$26,1,0)</f>
        <v>1</v>
      </c>
      <c r="AH23" s="9">
        <f>IF(真實IC!AH23&gt;真實IC!AH$26,1,0)</f>
        <v>0</v>
      </c>
      <c r="AI23" s="9">
        <f>IF(真實IC!AI23&gt;真實IC!AI$26,1,0)</f>
        <v>1</v>
      </c>
      <c r="AJ23" s="9">
        <f>IF(真實IC!AJ23&gt;真實IC!AJ$26,1,0)</f>
        <v>0</v>
      </c>
      <c r="AK23" s="9">
        <f>IF(真實IC!AK23&gt;真實IC!AK$26,1,0)</f>
        <v>1</v>
      </c>
      <c r="AL23" s="9">
        <f>IF(真實IC!AL23&gt;真實IC!AL$26,1,0)</f>
        <v>0</v>
      </c>
      <c r="AM23" s="9">
        <f>IF(真實IC!AM23&gt;真實IC!AM$26,1,0)</f>
        <v>0</v>
      </c>
      <c r="AN23" s="9">
        <f>IF(真實IC!AN23&gt;真實IC!AN$26,1,0)</f>
        <v>1</v>
      </c>
      <c r="AO23" s="9">
        <f>IF(真實IC!AO23&gt;真實IC!AO$26,1,0)</f>
        <v>1</v>
      </c>
      <c r="AP23" s="9">
        <f>IF(真實IC!AP23&gt;真實IC!AP$26,1,0)</f>
        <v>0</v>
      </c>
      <c r="AQ23" s="9">
        <f>IF(真實IC!AQ23&gt;真實IC!AQ$26,1,0)</f>
        <v>1</v>
      </c>
      <c r="AR23" s="9">
        <f>IF(真實IC!AR23&gt;真實IC!AR$26,1,0)</f>
        <v>1</v>
      </c>
      <c r="AS23" s="9">
        <f>IF(真實IC!AS23&gt;真實IC!AS$26,1,0)</f>
        <v>1</v>
      </c>
      <c r="AT23" s="9">
        <f>IF(真實IC!AT23&gt;真實IC!AT$26,1,0)</f>
        <v>1</v>
      </c>
      <c r="AU23" s="9">
        <f>IF(真實IC!AU23&gt;真實IC!AU$26,1,0)</f>
        <v>1</v>
      </c>
      <c r="AV23" s="9">
        <f>IF(真實IC!AV23&gt;真實IC!AV$26,1,0)</f>
        <v>0</v>
      </c>
      <c r="AW23" s="9">
        <f>IF(真實IC!AW23&gt;真實IC!AW$26,1,0)</f>
        <v>1</v>
      </c>
      <c r="AX23" s="9">
        <f>IF(真實IC!AX23&gt;真實IC!AX$26,1,0)</f>
        <v>0</v>
      </c>
      <c r="AY23" s="9">
        <f>IF(真實IC!AY23&gt;真實IC!AY$26,1,0)</f>
        <v>1</v>
      </c>
      <c r="AZ23" s="9">
        <f>IF(真實IC!AZ23&gt;真實IC!AZ$26,1,0)</f>
        <v>1</v>
      </c>
      <c r="BA23" s="9">
        <f>IF(真實IC!BA23&gt;真實IC!BA$26,1,0)</f>
        <v>1</v>
      </c>
      <c r="BB23" s="9">
        <f>IF(真實IC!BB23&gt;真實IC!BB$26,1,0)</f>
        <v>1</v>
      </c>
      <c r="BC23" s="9">
        <f>IF(真實IC!BC23&gt;真實IC!BC$26,1,0)</f>
        <v>1</v>
      </c>
      <c r="BD23" s="9">
        <f>IF(真實IC!BD23&gt;真實IC!BD$26,1,0)</f>
        <v>1</v>
      </c>
      <c r="BE23" s="9">
        <f>IF(真實IC!BE23&gt;真實IC!BE$26,1,0)</f>
        <v>1</v>
      </c>
      <c r="BF23" s="9">
        <f>IF(真實IC!BF23&gt;真實IC!BF$26,1,0)</f>
        <v>1</v>
      </c>
      <c r="BG23" s="9">
        <f>IF(真實IC!BG23&gt;真實IC!BG$26,1,0)</f>
        <v>1</v>
      </c>
      <c r="BH23" s="9">
        <f>IF(真實IC!BH23&gt;真實IC!BH$26,1,0)</f>
        <v>1</v>
      </c>
      <c r="BI23" s="9">
        <f>IF(真實IC!BI23&gt;真實IC!BI$26,1,0)</f>
        <v>1</v>
      </c>
      <c r="BJ23" s="9">
        <f>IF(真實IC!BJ23&gt;真實IC!BJ$26,1,0)</f>
        <v>1</v>
      </c>
      <c r="BK23" s="9">
        <f>IF(真實IC!BK23&gt;真實IC!BK$26,1,0)</f>
        <v>0</v>
      </c>
      <c r="BL23" s="9">
        <f>IF(真實IC!BL23&gt;真實IC!BL$26,1,0)</f>
        <v>1</v>
      </c>
      <c r="BM23" s="9">
        <f>IF(真實IC!BM23&gt;真實IC!BM$26,1,0)</f>
        <v>0</v>
      </c>
      <c r="BN23" s="9">
        <f>IF(真實IC!BN23&gt;真實IC!BN$26,1,0)</f>
        <v>1</v>
      </c>
      <c r="BO23" s="9">
        <f>IF(真實IC!BO23&gt;真實IC!BO$26,1,0)</f>
        <v>1</v>
      </c>
      <c r="BP23" s="9">
        <f>IF(真實IC!BP23&gt;真實IC!BP$26,1,0)</f>
        <v>0</v>
      </c>
      <c r="BQ23" s="9">
        <f>IF(真實IC!BQ23&gt;真實IC!BQ$26,1,0)</f>
        <v>1</v>
      </c>
      <c r="BR23" s="9">
        <f>IF(真實IC!BR23&gt;真實IC!BR$26,1,0)</f>
        <v>1</v>
      </c>
      <c r="BS23" s="9">
        <f>IF(真實IC!BS23&gt;真實IC!BS$26,1,0)</f>
        <v>0</v>
      </c>
      <c r="BT23" s="9">
        <f>IF(真實IC!BT23&gt;真實IC!BT$26,1,0)</f>
        <v>1</v>
      </c>
      <c r="BU23" s="9">
        <f>IF(真實IC!BU23&gt;真實IC!BU$26,1,0)</f>
        <v>1</v>
      </c>
      <c r="BV23" s="9">
        <f>IF(真實IC!BV23&gt;真實IC!BV$26,1,0)</f>
        <v>0</v>
      </c>
      <c r="BW23" s="9">
        <f>IF(真實IC!BW23&gt;真實IC!BW$26,1,0)</f>
        <v>1</v>
      </c>
      <c r="BX23" s="9">
        <f>IF(真實IC!BX23&gt;真實IC!BX$26,1,0)</f>
        <v>0</v>
      </c>
      <c r="BY23" s="9">
        <f>IF(真實IC!BY23&gt;真實IC!BY$26,1,0)</f>
        <v>1</v>
      </c>
      <c r="BZ23" s="9">
        <f>IF(真實IC!BZ23&gt;真實IC!BZ$26,1,0)</f>
        <v>0</v>
      </c>
      <c r="CA23" s="9">
        <f>IF(真實IC!CA23&gt;真實IC!CA$26,1,0)</f>
        <v>1</v>
      </c>
      <c r="CB23" s="9">
        <f>IF(真實IC!CB23&gt;真實IC!CB$26,1,0)</f>
        <v>1</v>
      </c>
      <c r="CC23" s="9">
        <f>IF(真實IC!CC23&gt;真實IC!CC$26,1,0)</f>
        <v>0</v>
      </c>
      <c r="CD23" s="9">
        <f>IF(真實IC!CD23&gt;真實IC!CD$26,1,0)</f>
        <v>1</v>
      </c>
      <c r="CE23" s="9">
        <f>IF(真實IC!CE23&gt;真實IC!CE$26,1,0)</f>
        <v>1</v>
      </c>
      <c r="CF23" s="9">
        <f>IF(真實IC!CF23&gt;真實IC!CF$26,1,0)</f>
        <v>1</v>
      </c>
      <c r="CG23" s="9">
        <f>IF(真實IC!CG23&gt;真實IC!CG$26,1,0)</f>
        <v>1</v>
      </c>
      <c r="CH23" s="9">
        <f>IF(真實IC!CH23&gt;真實IC!CH$26,1,0)</f>
        <v>1</v>
      </c>
      <c r="CI23" s="9">
        <f>IF(真實IC!CI23&gt;真實IC!CI$26,1,0)</f>
        <v>1</v>
      </c>
      <c r="CJ23" s="9">
        <f>IF(真實IC!CJ23&gt;真實IC!CJ$26,1,0)</f>
        <v>0</v>
      </c>
      <c r="CK23" s="9">
        <f>IF(真實IC!CK23&gt;真實IC!CK$26,1,0)</f>
        <v>1</v>
      </c>
      <c r="CL23" s="9">
        <f>IF(真實IC!CL23&gt;真實IC!CL$26,1,0)</f>
        <v>0</v>
      </c>
      <c r="CM23" s="9">
        <f>IF(真實IC!CM23&gt;真實IC!CM$26,1,0)</f>
        <v>1</v>
      </c>
      <c r="CN23" s="9">
        <f>IF(真實IC!CN23&gt;真實IC!CN$26,1,0)</f>
        <v>1</v>
      </c>
      <c r="CO23" s="9">
        <f>IF(真實IC!CO23&gt;真實IC!CO$26,1,0)</f>
        <v>1</v>
      </c>
      <c r="CP23" s="9">
        <f>IF(真實IC!CP23&gt;真實IC!CP$26,1,0)</f>
        <v>1</v>
      </c>
      <c r="CQ23" s="9">
        <f>IF(真實IC!CQ23&gt;真實IC!CQ$26,1,0)</f>
        <v>1</v>
      </c>
      <c r="CR23" s="9">
        <f>IF(真實IC!CR23&gt;真實IC!CR$26,1,0)</f>
        <v>1</v>
      </c>
      <c r="CS23" s="9">
        <f>IF(真實IC!CS23&gt;真實IC!CS$26,1,0)</f>
        <v>1</v>
      </c>
      <c r="CT23" s="9">
        <f>IF(真實IC!CT23&gt;真實IC!CT$26,1,0)</f>
        <v>1</v>
      </c>
      <c r="CU23" s="9">
        <f>IF(真實IC!CU23&gt;真實IC!CU$26,1,0)</f>
        <v>1</v>
      </c>
      <c r="CV23" s="9">
        <f>IF(真實IC!CV23&gt;真實IC!CV$26,1,0)</f>
        <v>1</v>
      </c>
      <c r="CW23" s="9">
        <f>IF(真實IC!CW23&gt;真實IC!CW$26,1,0)</f>
        <v>0</v>
      </c>
      <c r="CX23" s="9">
        <f>IF(真實IC!CX23&gt;真實IC!CX$26,1,0)</f>
        <v>0</v>
      </c>
      <c r="CY23" s="9">
        <f>IF(真實IC!CY23&gt;真實IC!CY$26,1,0)</f>
        <v>1</v>
      </c>
      <c r="CZ23" s="9">
        <f>IF(真實IC!CZ23&gt;真實IC!CZ$26,1,0)</f>
        <v>1</v>
      </c>
      <c r="DA23" s="9">
        <f>IF(真實IC!DA23&gt;真實IC!DA$26,1,0)</f>
        <v>1</v>
      </c>
      <c r="DB23" s="9">
        <f>IF(真實IC!DB23&gt;真實IC!DB$26,1,0)</f>
        <v>1</v>
      </c>
      <c r="DC23" s="9">
        <f>IF(真實IC!DC23&gt;真實IC!DC$26,1,0)</f>
        <v>1</v>
      </c>
      <c r="DD23" s="9">
        <f>IF(真實IC!DD23&gt;真實IC!DD$26,1,0)</f>
        <v>1</v>
      </c>
      <c r="DE23" s="9">
        <f>IF(真實IC!DE23&gt;真實IC!DE$26,1,0)</f>
        <v>0</v>
      </c>
      <c r="DF23" s="9">
        <f>IF(真實IC!DF23&gt;真實IC!DF$26,1,0)</f>
        <v>1</v>
      </c>
      <c r="DG23" s="9">
        <f>IF(真實IC!DG23&gt;真實IC!DG$26,1,0)</f>
        <v>0</v>
      </c>
      <c r="DH23" s="9">
        <f>IF(真實IC!DH23&gt;真實IC!DH$26,1,0)</f>
        <v>1</v>
      </c>
      <c r="DI23" s="9">
        <f>IF(真實IC!DI23&gt;真實IC!DI$26,1,0)</f>
        <v>1</v>
      </c>
      <c r="DJ23" s="9">
        <f>IF(真實IC!DJ23&gt;真實IC!DJ$26,1,0)</f>
        <v>1</v>
      </c>
      <c r="DK23" s="9">
        <f>IF(真實IC!DK23&gt;真實IC!DK$26,1,0)</f>
        <v>1</v>
      </c>
      <c r="DL23" s="9">
        <f>IF(真實IC!DL23&gt;真實IC!DL$26,1,0)</f>
        <v>1</v>
      </c>
      <c r="DM23" s="9">
        <f>IF(真實IC!DM23&gt;真實IC!DM$26,1,0)</f>
        <v>0</v>
      </c>
      <c r="DN23" s="9">
        <f>IF(真實IC!DN23&gt;真實IC!DN$26,1,0)</f>
        <v>1</v>
      </c>
      <c r="DO23" s="9">
        <f>IF(真實IC!DO23&gt;真實IC!DO$26,1,0)</f>
        <v>1</v>
      </c>
      <c r="DP23" s="9">
        <f>IF(真實IC!DP23&gt;真實IC!DP$26,1,0)</f>
        <v>1</v>
      </c>
      <c r="DQ23" s="9">
        <f>IF(真實IC!DQ23&gt;真實IC!DQ$26,1,0)</f>
        <v>1</v>
      </c>
      <c r="DR23" s="9">
        <f>IF(真實IC!DR23&gt;真實IC!DR$26,1,0)</f>
        <v>0</v>
      </c>
      <c r="DS23" s="9">
        <f>IF(真實IC!DS23&gt;真實IC!DS$26,1,0)</f>
        <v>0</v>
      </c>
      <c r="DT23" s="9">
        <f>IF(真實IC!DT23&gt;真實IC!DT$26,1,0)</f>
        <v>0</v>
      </c>
      <c r="DU23" s="9">
        <f>IF(真實IC!DU23&gt;真實IC!DU$26,1,0)</f>
        <v>0</v>
      </c>
      <c r="DV23" s="9">
        <f>IF(真實IC!DV23&gt;真實IC!DV$26,1,0)</f>
        <v>1</v>
      </c>
      <c r="DW23" s="9">
        <f>IF(真實IC!DW23&gt;真實IC!DW$26,1,0)</f>
        <v>0</v>
      </c>
      <c r="DX23" s="9">
        <f>IF(真實IC!DX23&gt;真實IC!DX$26,1,0)</f>
        <v>1</v>
      </c>
      <c r="DY23" s="9">
        <f>IF(真實IC!DY23&gt;真實IC!DY$26,1,0)</f>
        <v>0</v>
      </c>
      <c r="DZ23" s="9">
        <f>IF(真實IC!DZ23&gt;真實IC!DZ$26,1,0)</f>
        <v>0</v>
      </c>
      <c r="EA23" s="9">
        <f>IF(真實IC!EA23&gt;真實IC!EA$26,1,0)</f>
        <v>0</v>
      </c>
      <c r="EB23" s="9">
        <f>IF(真實IC!EB23&gt;真實IC!EB$26,1,0)</f>
        <v>1</v>
      </c>
      <c r="EC23" s="9">
        <f>IF(真實IC!EC23&gt;真實IC!EC$26,1,0)</f>
        <v>0</v>
      </c>
      <c r="ED23" s="9">
        <f>IF(真實IC!ED23&gt;真實IC!ED$26,1,0)</f>
        <v>1</v>
      </c>
      <c r="EE23" s="9">
        <f>IF(真實IC!EE23&gt;真實IC!EE$26,1,0)</f>
        <v>1</v>
      </c>
      <c r="EF23" s="9">
        <f>IF(真實IC!EH23&gt;真實IC!EF$26,1,0)</f>
        <v>1</v>
      </c>
      <c r="EG23" s="15">
        <f t="shared" si="10"/>
        <v>93</v>
      </c>
      <c r="EH23" s="14">
        <f t="shared" si="11"/>
        <v>0.69402985074626866</v>
      </c>
    </row>
    <row r="24" spans="1:138">
      <c r="A24" s="7">
        <v>964</v>
      </c>
      <c r="B24" s="7">
        <v>1</v>
      </c>
      <c r="C24" s="9">
        <f>IF(真實IC!C24&gt;真實IC!C$26,1,0)</f>
        <v>1</v>
      </c>
      <c r="D24" s="9">
        <f>IF(真實IC!D24&gt;真實IC!D$26,1,0)</f>
        <v>1</v>
      </c>
      <c r="E24" s="9">
        <f>IF(真實IC!E24&gt;真實IC!E$26,1,0)</f>
        <v>1</v>
      </c>
      <c r="F24" s="9">
        <f>IF(真實IC!F24&gt;真實IC!F$26,1,0)</f>
        <v>0</v>
      </c>
      <c r="G24" s="9">
        <f>IF(真實IC!G24&gt;真實IC!G$26,1,0)</f>
        <v>0</v>
      </c>
      <c r="H24" s="9">
        <f>IF(真實IC!H24&gt;真實IC!H$26,1,0)</f>
        <v>1</v>
      </c>
      <c r="I24" s="9">
        <f>IF(真實IC!I24&gt;真實IC!I$26,1,0)</f>
        <v>1</v>
      </c>
      <c r="J24" s="9">
        <f>IF(真實IC!J24&gt;真實IC!J$26,1,0)</f>
        <v>0</v>
      </c>
      <c r="K24" s="9">
        <f>IF(真實IC!K24&gt;真實IC!K$26,1,0)</f>
        <v>1</v>
      </c>
      <c r="L24" s="9">
        <f>IF(真實IC!L24&gt;真實IC!L$26,1,0)</f>
        <v>0</v>
      </c>
      <c r="M24" s="9">
        <f>IF(真實IC!M24&gt;真實IC!M$26,1,0)</f>
        <v>0</v>
      </c>
      <c r="N24" s="9">
        <f>IF(真實IC!N24&gt;真實IC!N$26,1,0)</f>
        <v>1</v>
      </c>
      <c r="O24" s="9">
        <f>IF(真實IC!O24&gt;真實IC!O$26,1,0)</f>
        <v>1</v>
      </c>
      <c r="P24" s="9">
        <f>IF(真實IC!P24&gt;真實IC!P$26,1,0)</f>
        <v>1</v>
      </c>
      <c r="Q24" s="9">
        <f>IF(真實IC!Q24&gt;真實IC!Q$26,1,0)</f>
        <v>0</v>
      </c>
      <c r="R24" s="9">
        <f>IF(真實IC!R24&gt;真實IC!R$26,1,0)</f>
        <v>0</v>
      </c>
      <c r="S24" s="9">
        <f>IF(真實IC!S24&gt;真實IC!S$26,1,0)</f>
        <v>1</v>
      </c>
      <c r="T24" s="9">
        <f>IF(真實IC!T24&gt;真實IC!T$26,1,0)</f>
        <v>0</v>
      </c>
      <c r="U24" s="9">
        <f>IF(真實IC!U24&gt;真實IC!U$26,1,0)</f>
        <v>1</v>
      </c>
      <c r="V24" s="9">
        <f>IF(真實IC!V24&gt;真實IC!V$26,1,0)</f>
        <v>0</v>
      </c>
      <c r="W24" s="9">
        <f>IF(真實IC!W24&gt;真實IC!W$26,1,0)</f>
        <v>0</v>
      </c>
      <c r="X24" s="9">
        <f>IF(真實IC!X24&gt;真實IC!X$26,1,0)</f>
        <v>0</v>
      </c>
      <c r="Y24" s="9">
        <f>IF(真實IC!Y24&gt;真實IC!Y$26,1,0)</f>
        <v>1</v>
      </c>
      <c r="Z24" s="9">
        <f>IF(真實IC!Z24&gt;真實IC!Z$26,1,0)</f>
        <v>1</v>
      </c>
      <c r="AA24" s="9">
        <f>IF(真實IC!AA24&gt;真實IC!AA$26,1,0)</f>
        <v>1</v>
      </c>
      <c r="AB24" s="9">
        <f>IF(真實IC!AB24&gt;真實IC!AB$26,1,0)</f>
        <v>1</v>
      </c>
      <c r="AC24" s="9">
        <f>IF(真實IC!AC24&gt;真實IC!AC$26,1,0)</f>
        <v>1</v>
      </c>
      <c r="AD24" s="9">
        <f>IF(真實IC!AD24&gt;真實IC!AD$26,1,0)</f>
        <v>1</v>
      </c>
      <c r="AE24" s="9">
        <f>IF(真實IC!AE24&gt;真實IC!AE$26,1,0)</f>
        <v>1</v>
      </c>
      <c r="AF24" s="9">
        <f>IF(真實IC!AF24&gt;真實IC!AF$26,1,0)</f>
        <v>1</v>
      </c>
      <c r="AG24" s="9">
        <f>IF(真實IC!AG24&gt;真實IC!AG$26,1,0)</f>
        <v>1</v>
      </c>
      <c r="AH24" s="9">
        <f>IF(真實IC!AH24&gt;真實IC!AH$26,1,0)</f>
        <v>0</v>
      </c>
      <c r="AI24" s="9">
        <f>IF(真實IC!AI24&gt;真實IC!AI$26,1,0)</f>
        <v>1</v>
      </c>
      <c r="AJ24" s="9">
        <f>IF(真實IC!AJ24&gt;真實IC!AJ$26,1,0)</f>
        <v>0</v>
      </c>
      <c r="AK24" s="9">
        <f>IF(真實IC!AK24&gt;真實IC!AK$26,1,0)</f>
        <v>1</v>
      </c>
      <c r="AL24" s="9">
        <f>IF(真實IC!AL24&gt;真實IC!AL$26,1,0)</f>
        <v>1</v>
      </c>
      <c r="AM24" s="9">
        <f>IF(真實IC!AM24&gt;真實IC!AM$26,1,0)</f>
        <v>0</v>
      </c>
      <c r="AN24" s="9">
        <f>IF(真實IC!AN24&gt;真實IC!AN$26,1,0)</f>
        <v>1</v>
      </c>
      <c r="AO24" s="9">
        <f>IF(真實IC!AO24&gt;真實IC!AO$26,1,0)</f>
        <v>1</v>
      </c>
      <c r="AP24" s="9">
        <f>IF(真實IC!AP24&gt;真實IC!AP$26,1,0)</f>
        <v>1</v>
      </c>
      <c r="AQ24" s="9">
        <f>IF(真實IC!AQ24&gt;真實IC!AQ$26,1,0)</f>
        <v>1</v>
      </c>
      <c r="AR24" s="9">
        <f>IF(真實IC!AR24&gt;真實IC!AR$26,1,0)</f>
        <v>1</v>
      </c>
      <c r="AS24" s="9">
        <f>IF(真實IC!AS24&gt;真實IC!AS$26,1,0)</f>
        <v>1</v>
      </c>
      <c r="AT24" s="9">
        <f>IF(真實IC!AT24&gt;真實IC!AT$26,1,0)</f>
        <v>1</v>
      </c>
      <c r="AU24" s="9">
        <f>IF(真實IC!AU24&gt;真實IC!AU$26,1,0)</f>
        <v>1</v>
      </c>
      <c r="AV24" s="9">
        <f>IF(真實IC!AV24&gt;真實IC!AV$26,1,0)</f>
        <v>1</v>
      </c>
      <c r="AW24" s="9">
        <f>IF(真實IC!AW24&gt;真實IC!AW$26,1,0)</f>
        <v>0</v>
      </c>
      <c r="AX24" s="9">
        <f>IF(真實IC!AX24&gt;真實IC!AX$26,1,0)</f>
        <v>1</v>
      </c>
      <c r="AY24" s="9">
        <f>IF(真實IC!AY24&gt;真實IC!AY$26,1,0)</f>
        <v>1</v>
      </c>
      <c r="AZ24" s="9">
        <f>IF(真實IC!AZ24&gt;真實IC!AZ$26,1,0)</f>
        <v>1</v>
      </c>
      <c r="BA24" s="9">
        <f>IF(真實IC!BA24&gt;真實IC!BA$26,1,0)</f>
        <v>1</v>
      </c>
      <c r="BB24" s="9">
        <f>IF(真實IC!BB24&gt;真實IC!BB$26,1,0)</f>
        <v>1</v>
      </c>
      <c r="BC24" s="9">
        <f>IF(真實IC!BC24&gt;真實IC!BC$26,1,0)</f>
        <v>0</v>
      </c>
      <c r="BD24" s="9">
        <f>IF(真實IC!BD24&gt;真實IC!BD$26,1,0)</f>
        <v>1</v>
      </c>
      <c r="BE24" s="9">
        <f>IF(真實IC!BE24&gt;真實IC!BE$26,1,0)</f>
        <v>0</v>
      </c>
      <c r="BF24" s="9">
        <f>IF(真實IC!BF24&gt;真實IC!BF$26,1,0)</f>
        <v>0</v>
      </c>
      <c r="BG24" s="9">
        <f>IF(真實IC!BG24&gt;真實IC!BG$26,1,0)</f>
        <v>0</v>
      </c>
      <c r="BH24" s="9">
        <f>IF(真實IC!BH24&gt;真實IC!BH$26,1,0)</f>
        <v>1</v>
      </c>
      <c r="BI24" s="9">
        <f>IF(真實IC!BI24&gt;真實IC!BI$26,1,0)</f>
        <v>1</v>
      </c>
      <c r="BJ24" s="9">
        <f>IF(真實IC!BJ24&gt;真實IC!BJ$26,1,0)</f>
        <v>1</v>
      </c>
      <c r="BK24" s="9">
        <f>IF(真實IC!BK24&gt;真實IC!BK$26,1,0)</f>
        <v>0</v>
      </c>
      <c r="BL24" s="9">
        <f>IF(真實IC!BL24&gt;真實IC!BL$26,1,0)</f>
        <v>1</v>
      </c>
      <c r="BM24" s="9">
        <f>IF(真實IC!BM24&gt;真實IC!BM$26,1,0)</f>
        <v>1</v>
      </c>
      <c r="BN24" s="9">
        <f>IF(真實IC!BN24&gt;真實IC!BN$26,1,0)</f>
        <v>1</v>
      </c>
      <c r="BO24" s="9">
        <f>IF(真實IC!BO24&gt;真實IC!BO$26,1,0)</f>
        <v>0</v>
      </c>
      <c r="BP24" s="9">
        <f>IF(真實IC!BP24&gt;真實IC!BP$26,1,0)</f>
        <v>1</v>
      </c>
      <c r="BQ24" s="9">
        <f>IF(真實IC!BQ24&gt;真實IC!BQ$26,1,0)</f>
        <v>0</v>
      </c>
      <c r="BR24" s="9">
        <f>IF(真實IC!BR24&gt;真實IC!BR$26,1,0)</f>
        <v>1</v>
      </c>
      <c r="BS24" s="9">
        <f>IF(真實IC!BS24&gt;真實IC!BS$26,1,0)</f>
        <v>0</v>
      </c>
      <c r="BT24" s="9">
        <f>IF(真實IC!BT24&gt;真實IC!BT$26,1,0)</f>
        <v>1</v>
      </c>
      <c r="BU24" s="9">
        <f>IF(真實IC!BU24&gt;真實IC!BU$26,1,0)</f>
        <v>0</v>
      </c>
      <c r="BV24" s="9">
        <f>IF(真實IC!BV24&gt;真實IC!BV$26,1,0)</f>
        <v>0</v>
      </c>
      <c r="BW24" s="9">
        <f>IF(真實IC!BW24&gt;真實IC!BW$26,1,0)</f>
        <v>1</v>
      </c>
      <c r="BX24" s="9">
        <f>IF(真實IC!BX24&gt;真實IC!BX$26,1,0)</f>
        <v>0</v>
      </c>
      <c r="BY24" s="9">
        <f>IF(真實IC!BY24&gt;真實IC!BY$26,1,0)</f>
        <v>1</v>
      </c>
      <c r="BZ24" s="9">
        <f>IF(真實IC!BZ24&gt;真實IC!BZ$26,1,0)</f>
        <v>1</v>
      </c>
      <c r="CA24" s="9">
        <f>IF(真實IC!CA24&gt;真實IC!CA$26,1,0)</f>
        <v>1</v>
      </c>
      <c r="CB24" s="9">
        <f>IF(真實IC!CB24&gt;真實IC!CB$26,1,0)</f>
        <v>1</v>
      </c>
      <c r="CC24" s="9">
        <f>IF(真實IC!CC24&gt;真實IC!CC$26,1,0)</f>
        <v>0</v>
      </c>
      <c r="CD24" s="9">
        <f>IF(真實IC!CD24&gt;真實IC!CD$26,1,0)</f>
        <v>1</v>
      </c>
      <c r="CE24" s="9">
        <f>IF(真實IC!CE24&gt;真實IC!CE$26,1,0)</f>
        <v>1</v>
      </c>
      <c r="CF24" s="9">
        <f>IF(真實IC!CF24&gt;真實IC!CF$26,1,0)</f>
        <v>1</v>
      </c>
      <c r="CG24" s="9">
        <f>IF(真實IC!CG24&gt;真實IC!CG$26,1,0)</f>
        <v>1</v>
      </c>
      <c r="CH24" s="9">
        <f>IF(真實IC!CH24&gt;真實IC!CH$26,1,0)</f>
        <v>1</v>
      </c>
      <c r="CI24" s="9">
        <f>IF(真實IC!CI24&gt;真實IC!CI$26,1,0)</f>
        <v>0</v>
      </c>
      <c r="CJ24" s="9">
        <f>IF(真實IC!CJ24&gt;真實IC!CJ$26,1,0)</f>
        <v>0</v>
      </c>
      <c r="CK24" s="9">
        <f>IF(真實IC!CK24&gt;真實IC!CK$26,1,0)</f>
        <v>1</v>
      </c>
      <c r="CL24" s="9">
        <f>IF(真實IC!CL24&gt;真實IC!CL$26,1,0)</f>
        <v>1</v>
      </c>
      <c r="CM24" s="9">
        <f>IF(真實IC!CM24&gt;真實IC!CM$26,1,0)</f>
        <v>1</v>
      </c>
      <c r="CN24" s="9">
        <f>IF(真實IC!CN24&gt;真實IC!CN$26,1,0)</f>
        <v>1</v>
      </c>
      <c r="CO24" s="9">
        <f>IF(真實IC!CO24&gt;真實IC!CO$26,1,0)</f>
        <v>1</v>
      </c>
      <c r="CP24" s="9">
        <f>IF(真實IC!CP24&gt;真實IC!CP$26,1,0)</f>
        <v>1</v>
      </c>
      <c r="CQ24" s="9">
        <f>IF(真實IC!CQ24&gt;真實IC!CQ$26,1,0)</f>
        <v>0</v>
      </c>
      <c r="CR24" s="9">
        <f>IF(真實IC!CR24&gt;真實IC!CR$26,1,0)</f>
        <v>1</v>
      </c>
      <c r="CS24" s="9">
        <f>IF(真實IC!CS24&gt;真實IC!CS$26,1,0)</f>
        <v>1</v>
      </c>
      <c r="CT24" s="9">
        <f>IF(真實IC!CT24&gt;真實IC!CT$26,1,0)</f>
        <v>0</v>
      </c>
      <c r="CU24" s="9">
        <f>IF(真實IC!CU24&gt;真實IC!CU$26,1,0)</f>
        <v>1</v>
      </c>
      <c r="CV24" s="9">
        <f>IF(真實IC!CV24&gt;真實IC!CV$26,1,0)</f>
        <v>1</v>
      </c>
      <c r="CW24" s="9">
        <f>IF(真實IC!CW24&gt;真實IC!CW$26,1,0)</f>
        <v>0</v>
      </c>
      <c r="CX24" s="9">
        <f>IF(真實IC!CX24&gt;真實IC!CX$26,1,0)</f>
        <v>1</v>
      </c>
      <c r="CY24" s="9">
        <f>IF(真實IC!CY24&gt;真實IC!CY$26,1,0)</f>
        <v>1</v>
      </c>
      <c r="CZ24" s="9">
        <f>IF(真實IC!CZ24&gt;真實IC!CZ$26,1,0)</f>
        <v>1</v>
      </c>
      <c r="DA24" s="9">
        <f>IF(真實IC!DA24&gt;真實IC!DA$26,1,0)</f>
        <v>1</v>
      </c>
      <c r="DB24" s="9">
        <f>IF(真實IC!DB24&gt;真實IC!DB$26,1,0)</f>
        <v>0</v>
      </c>
      <c r="DC24" s="9">
        <f>IF(真實IC!DC24&gt;真實IC!DC$26,1,0)</f>
        <v>1</v>
      </c>
      <c r="DD24" s="9">
        <f>IF(真實IC!DD24&gt;真實IC!DD$26,1,0)</f>
        <v>0</v>
      </c>
      <c r="DE24" s="9">
        <f>IF(真實IC!DE24&gt;真實IC!DE$26,1,0)</f>
        <v>0</v>
      </c>
      <c r="DF24" s="9">
        <f>IF(真實IC!DF24&gt;真實IC!DF$26,1,0)</f>
        <v>1</v>
      </c>
      <c r="DG24" s="9">
        <f>IF(真實IC!DG24&gt;真實IC!DG$26,1,0)</f>
        <v>1</v>
      </c>
      <c r="DH24" s="9">
        <f>IF(真實IC!DH24&gt;真實IC!DH$26,1,0)</f>
        <v>1</v>
      </c>
      <c r="DI24" s="9">
        <f>IF(真實IC!DI24&gt;真實IC!DI$26,1,0)</f>
        <v>1</v>
      </c>
      <c r="DJ24" s="9">
        <f>IF(真實IC!DJ24&gt;真實IC!DJ$26,1,0)</f>
        <v>1</v>
      </c>
      <c r="DK24" s="9">
        <f>IF(真實IC!DK24&gt;真實IC!DK$26,1,0)</f>
        <v>1</v>
      </c>
      <c r="DL24" s="9">
        <f>IF(真實IC!DL24&gt;真實IC!DL$26,1,0)</f>
        <v>1</v>
      </c>
      <c r="DM24" s="9">
        <f>IF(真實IC!DM24&gt;真實IC!DM$26,1,0)</f>
        <v>0</v>
      </c>
      <c r="DN24" s="9">
        <f>IF(真實IC!DN24&gt;真實IC!DN$26,1,0)</f>
        <v>1</v>
      </c>
      <c r="DO24" s="9">
        <f>IF(真實IC!DO24&gt;真實IC!DO$26,1,0)</f>
        <v>1</v>
      </c>
      <c r="DP24" s="9">
        <f>IF(真實IC!DP24&gt;真實IC!DP$26,1,0)</f>
        <v>1</v>
      </c>
      <c r="DQ24" s="9">
        <f>IF(真實IC!DQ24&gt;真實IC!DQ$26,1,0)</f>
        <v>1</v>
      </c>
      <c r="DR24" s="9">
        <f>IF(真實IC!DR24&gt;真實IC!DR$26,1,0)</f>
        <v>0</v>
      </c>
      <c r="DS24" s="9">
        <f>IF(真實IC!DS24&gt;真實IC!DS$26,1,0)</f>
        <v>0</v>
      </c>
      <c r="DT24" s="9">
        <f>IF(真實IC!DT24&gt;真實IC!DT$26,1,0)</f>
        <v>0</v>
      </c>
      <c r="DU24" s="9">
        <f>IF(真實IC!DU24&gt;真實IC!DU$26,1,0)</f>
        <v>0</v>
      </c>
      <c r="DV24" s="9">
        <f>IF(真實IC!DV24&gt;真實IC!DV$26,1,0)</f>
        <v>1</v>
      </c>
      <c r="DW24" s="9">
        <f>IF(真實IC!DW24&gt;真實IC!DW$26,1,0)</f>
        <v>1</v>
      </c>
      <c r="DX24" s="9">
        <f>IF(真實IC!DX24&gt;真實IC!DX$26,1,0)</f>
        <v>1</v>
      </c>
      <c r="DY24" s="9">
        <f>IF(真實IC!DY24&gt;真實IC!DY$26,1,0)</f>
        <v>1</v>
      </c>
      <c r="DZ24" s="9">
        <f>IF(真實IC!DZ24&gt;真實IC!DZ$26,1,0)</f>
        <v>0</v>
      </c>
      <c r="EA24" s="9">
        <f>IF(真實IC!EA24&gt;真實IC!EA$26,1,0)</f>
        <v>0</v>
      </c>
      <c r="EB24" s="9">
        <f>IF(真實IC!EB24&gt;真實IC!EB$26,1,0)</f>
        <v>1</v>
      </c>
      <c r="EC24" s="9">
        <f>IF(真實IC!EC24&gt;真實IC!EC$26,1,0)</f>
        <v>1</v>
      </c>
      <c r="ED24" s="9">
        <f>IF(真實IC!ED24&gt;真實IC!ED$26,1,0)</f>
        <v>1</v>
      </c>
      <c r="EE24" s="9">
        <f>IF(真實IC!EE24&gt;真實IC!EE$26,1,0)</f>
        <v>1</v>
      </c>
      <c r="EF24" s="9">
        <f>IF(真實IC!EH24&gt;真實IC!EF$26,1,0)</f>
        <v>1</v>
      </c>
      <c r="EG24" s="15">
        <f t="shared" si="10"/>
        <v>92</v>
      </c>
      <c r="EH24" s="14">
        <f t="shared" si="11"/>
        <v>0.68656716417910446</v>
      </c>
    </row>
    <row r="25" spans="1:138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8">
      <c r="A26" s="4" t="s">
        <v>145</v>
      </c>
      <c r="B26" s="4" t="s">
        <v>146</v>
      </c>
      <c r="C26" s="3">
        <v>-1.745E-2</v>
      </c>
      <c r="D26" s="3">
        <v>2.0701000000000001E-2</v>
      </c>
      <c r="E26" s="3">
        <v>2.3982E-2</v>
      </c>
      <c r="F26" s="3">
        <v>-6.5599999999999999E-3</v>
      </c>
      <c r="G26" s="3">
        <v>3.1844999999999998E-2</v>
      </c>
      <c r="H26" s="3">
        <v>3.4348999999999998E-2</v>
      </c>
      <c r="I26" s="3">
        <v>-8.2500000000000004E-3</v>
      </c>
      <c r="J26" s="3">
        <v>1.2844E-2</v>
      </c>
      <c r="K26" s="3">
        <v>-5.1020000000000003E-2</v>
      </c>
      <c r="L26" s="3">
        <v>8.7399999999999999E-4</v>
      </c>
      <c r="M26" s="3">
        <v>2.3390000000000001E-2</v>
      </c>
      <c r="N26" s="3">
        <v>1.2989000000000001E-2</v>
      </c>
      <c r="O26" s="3">
        <v>5.855E-3</v>
      </c>
      <c r="P26" s="3">
        <v>2.7413E-2</v>
      </c>
      <c r="Q26" s="3">
        <v>-3.7100000000000002E-3</v>
      </c>
      <c r="R26" s="3">
        <v>2.4077000000000001E-2</v>
      </c>
      <c r="S26" s="3">
        <v>-1.2189999999999999E-2</v>
      </c>
      <c r="T26" s="3">
        <v>-3.9750000000000001E-2</v>
      </c>
      <c r="U26" s="3">
        <v>-7.3160000000000003E-2</v>
      </c>
      <c r="V26" s="3">
        <v>-5.8259999999999999E-2</v>
      </c>
      <c r="W26" s="3">
        <v>7.7300000000000003E-4</v>
      </c>
      <c r="X26" s="3">
        <v>4.4592E-2</v>
      </c>
      <c r="Y26" s="3">
        <v>-2.7699999999999999E-2</v>
      </c>
      <c r="Z26" s="3">
        <v>2.0950000000000001E-3</v>
      </c>
      <c r="AA26" s="3">
        <v>-2.3400000000000001E-2</v>
      </c>
      <c r="AB26" s="3">
        <v>3.2128999999999998E-2</v>
      </c>
      <c r="AC26" s="3">
        <v>3.8903E-2</v>
      </c>
      <c r="AD26" s="3">
        <v>-4.2869999999999998E-2</v>
      </c>
      <c r="AE26" s="3">
        <v>1.8647E-2</v>
      </c>
      <c r="AF26" s="3">
        <v>1.523E-2</v>
      </c>
      <c r="AG26" s="3">
        <v>3.6017E-2</v>
      </c>
      <c r="AH26" s="3">
        <v>9.3550000000000005E-3</v>
      </c>
      <c r="AI26" s="3">
        <v>1.0748000000000001E-2</v>
      </c>
      <c r="AJ26" s="3">
        <v>1.3358E-2</v>
      </c>
      <c r="AK26" s="3">
        <v>-5.3299999999999997E-3</v>
      </c>
      <c r="AL26" s="3">
        <v>1.3829999999999999E-3</v>
      </c>
      <c r="AM26" s="3">
        <v>2.0795999999999999E-2</v>
      </c>
      <c r="AN26" s="3">
        <v>3.1517999999999997E-2</v>
      </c>
      <c r="AO26" s="3">
        <v>6.2420000000000002E-3</v>
      </c>
      <c r="AP26" s="3">
        <v>6.1450000000000003E-3</v>
      </c>
      <c r="AQ26" s="3">
        <v>1.6945999999999999E-2</v>
      </c>
      <c r="AR26" s="3">
        <v>3.4682999999999999E-2</v>
      </c>
      <c r="AS26" s="3">
        <v>3.0990000000000002E-3</v>
      </c>
      <c r="AT26" s="3">
        <v>1.5081000000000001E-2</v>
      </c>
      <c r="AU26" s="3">
        <v>-1.925E-2</v>
      </c>
      <c r="AV26" s="3">
        <v>3.8712000000000003E-2</v>
      </c>
      <c r="AW26" s="3">
        <v>-2.1860000000000001E-2</v>
      </c>
      <c r="AX26" s="3">
        <v>7.7739999999999997E-3</v>
      </c>
      <c r="AY26" s="3">
        <v>4.2396999999999997E-2</v>
      </c>
      <c r="AZ26" s="3">
        <v>-2.631E-2</v>
      </c>
      <c r="BA26" s="3">
        <v>9.5720000000000006E-3</v>
      </c>
      <c r="BB26" s="3">
        <v>-2.4250000000000001E-2</v>
      </c>
      <c r="BC26" s="3">
        <v>2.0163E-2</v>
      </c>
      <c r="BD26" s="3">
        <v>-3.5000000000000001E-3</v>
      </c>
      <c r="BE26" s="3">
        <v>2.0152E-2</v>
      </c>
      <c r="BF26" s="3">
        <v>5.8100000000000003E-4</v>
      </c>
      <c r="BG26" s="3">
        <v>-5.2199999999999998E-3</v>
      </c>
      <c r="BH26" s="3">
        <v>-0.11587</v>
      </c>
      <c r="BI26" s="3">
        <v>8.7250000000000001E-3</v>
      </c>
      <c r="BJ26" s="3">
        <v>-1.6379999999999999E-2</v>
      </c>
      <c r="BK26" s="3">
        <v>2.0840000000000001E-2</v>
      </c>
      <c r="BL26" s="3">
        <v>4.4976000000000002E-2</v>
      </c>
      <c r="BM26" s="3">
        <v>2.3954E-2</v>
      </c>
      <c r="BN26" s="3">
        <v>3.0238999999999999E-2</v>
      </c>
      <c r="BO26" s="3">
        <v>-4.3729999999999998E-2</v>
      </c>
      <c r="BP26" s="3">
        <v>2.1888999999999999E-2</v>
      </c>
      <c r="BQ26" s="3">
        <v>8.6269999999999993E-3</v>
      </c>
      <c r="BR26" s="3">
        <v>-1.9189999999999999E-2</v>
      </c>
      <c r="BS26" s="3">
        <v>1.9734999999999999E-2</v>
      </c>
      <c r="BT26" s="3">
        <v>4.7694E-2</v>
      </c>
      <c r="BU26" s="3">
        <v>1.1455E-2</v>
      </c>
      <c r="BV26" s="3">
        <v>4.3228999999999997E-2</v>
      </c>
      <c r="BW26" s="3">
        <v>-4.2750000000000003E-2</v>
      </c>
      <c r="BX26" s="3">
        <v>-1.7809999999999999E-2</v>
      </c>
      <c r="BY26" s="3">
        <v>-0.15115000000000001</v>
      </c>
      <c r="BZ26" s="3">
        <v>0.124224</v>
      </c>
      <c r="CA26" s="3">
        <v>-4.5599999999999998E-3</v>
      </c>
      <c r="CB26" s="3">
        <v>6.0211000000000001E-2</v>
      </c>
      <c r="CC26" s="3">
        <v>8.5991999999999999E-2</v>
      </c>
      <c r="CD26" s="3">
        <v>-5.8100000000000001E-3</v>
      </c>
      <c r="CE26" s="3">
        <v>-6.0400000000000002E-3</v>
      </c>
      <c r="CF26" s="3">
        <v>2.4520000000000002E-3</v>
      </c>
      <c r="CG26" s="3">
        <v>8.9635999999999993E-2</v>
      </c>
      <c r="CH26" s="3">
        <v>7.0993000000000001E-2</v>
      </c>
      <c r="CI26" s="3">
        <v>2.7171000000000001E-2</v>
      </c>
      <c r="CJ26" s="3">
        <v>5.2468000000000001E-2</v>
      </c>
      <c r="CK26" s="3">
        <v>2.9481E-2</v>
      </c>
      <c r="CL26" s="3">
        <v>6.6824999999999996E-2</v>
      </c>
      <c r="CM26" s="3">
        <v>-2.877E-2</v>
      </c>
      <c r="CN26" s="3">
        <v>3.9462999999999998E-2</v>
      </c>
      <c r="CO26" s="3">
        <v>-2.903E-2</v>
      </c>
      <c r="CP26" s="3">
        <v>1.3984E-2</v>
      </c>
      <c r="CQ26" s="3">
        <v>-3.2280000000000003E-2</v>
      </c>
      <c r="CR26" s="3">
        <v>3.104E-3</v>
      </c>
      <c r="CS26" s="3">
        <v>2.5592E-2</v>
      </c>
      <c r="CT26" s="3">
        <v>4.4392000000000001E-2</v>
      </c>
      <c r="CU26" s="3">
        <v>-3.0339999999999999E-2</v>
      </c>
      <c r="CV26" s="3">
        <v>-1.2600000000000001E-3</v>
      </c>
      <c r="CW26" s="3">
        <v>2.336E-3</v>
      </c>
      <c r="CX26" s="3">
        <v>-6.4259999999999998E-2</v>
      </c>
      <c r="CY26" s="3">
        <v>1.291E-2</v>
      </c>
      <c r="CZ26" s="3">
        <v>-0.12548000000000001</v>
      </c>
      <c r="DA26" s="3">
        <v>1.1691E-2</v>
      </c>
      <c r="DB26" s="3">
        <v>6.3379999999999999E-3</v>
      </c>
      <c r="DC26" s="3">
        <v>-0.11731</v>
      </c>
      <c r="DD26" s="3">
        <v>-3.601E-2</v>
      </c>
      <c r="DE26" s="3">
        <v>0.13891100000000001</v>
      </c>
      <c r="DF26" s="3">
        <v>-5.1139999999999998E-2</v>
      </c>
      <c r="DG26" s="3">
        <v>7.6730999999999994E-2</v>
      </c>
      <c r="DH26" s="3">
        <v>1.5509E-2</v>
      </c>
      <c r="DI26" s="3">
        <v>2.3224000000000002E-2</v>
      </c>
      <c r="DJ26" s="3">
        <v>-1.8370000000000001E-2</v>
      </c>
      <c r="DK26" s="3">
        <v>6.2198999999999997E-2</v>
      </c>
      <c r="DL26" s="3">
        <v>2.0098000000000001E-2</v>
      </c>
      <c r="DM26" s="3">
        <v>1.3499000000000001E-2</v>
      </c>
      <c r="DN26" s="3">
        <v>-3.0249999999999999E-2</v>
      </c>
      <c r="DO26" s="3">
        <v>-1.702E-2</v>
      </c>
      <c r="DP26" s="3">
        <v>-2.179E-2</v>
      </c>
      <c r="DQ26" s="3">
        <v>8.5746000000000003E-2</v>
      </c>
      <c r="DR26" s="3">
        <v>2.8107E-2</v>
      </c>
      <c r="DS26" s="3">
        <v>-2.3E-3</v>
      </c>
      <c r="DT26" s="3">
        <v>5.8471000000000002E-2</v>
      </c>
      <c r="DU26" s="3">
        <v>6.7658999999999997E-2</v>
      </c>
      <c r="DV26" s="3">
        <v>5.0210000000000003E-3</v>
      </c>
      <c r="DW26" s="3">
        <v>3.7415999999999998E-2</v>
      </c>
      <c r="DX26" s="3">
        <v>8.4111000000000005E-2</v>
      </c>
      <c r="DY26" s="3">
        <v>-3.6830000000000002E-2</v>
      </c>
      <c r="DZ26" s="3">
        <v>3.0920000000000001E-3</v>
      </c>
      <c r="EA26" s="3">
        <v>-1.9599999999999999E-3</v>
      </c>
      <c r="EB26" s="3">
        <v>2.6459E-2</v>
      </c>
      <c r="EC26" s="3">
        <v>-2.4750000000000001E-2</v>
      </c>
      <c r="ED26" s="3">
        <v>3.4114999999999999E-2</v>
      </c>
      <c r="EE26" s="3">
        <v>2.1062000000000001E-2</v>
      </c>
      <c r="EF26" s="2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E88E-341B-854B-A100-E1C4107A978E}">
  <dimension ref="A1:EF25"/>
  <sheetViews>
    <sheetView tabSelected="1" topLeftCell="A6" zoomScale="180" zoomScaleNormal="100" workbookViewId="0">
      <selection activeCell="E26" sqref="E26"/>
    </sheetView>
  </sheetViews>
  <sheetFormatPr baseColWidth="10" defaultRowHeight="15"/>
  <sheetData>
    <row r="1" spans="1:1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A3" s="1"/>
      <c r="B3" s="7" t="s">
        <v>136</v>
      </c>
      <c r="C3" s="26">
        <v>0.10910583</v>
      </c>
      <c r="D3" s="26">
        <v>1.457658E-2</v>
      </c>
      <c r="E3" s="26">
        <v>-3.6154400000000003E-2</v>
      </c>
      <c r="F3" s="26">
        <v>-4.7425999999999996E-3</v>
      </c>
      <c r="G3" s="26">
        <v>-5.7478E-3</v>
      </c>
      <c r="H3" s="26">
        <v>4.9378020000000002E-2</v>
      </c>
      <c r="I3" s="26">
        <v>0.18325177000000001</v>
      </c>
      <c r="J3" s="26">
        <v>0.11648631</v>
      </c>
      <c r="K3" s="26">
        <v>-3.0594900000000001E-2</v>
      </c>
      <c r="L3" s="26">
        <v>1.982805E-2</v>
      </c>
      <c r="M3" s="26">
        <v>-2.0999E-2</v>
      </c>
      <c r="N3" s="26">
        <v>0.14977942</v>
      </c>
      <c r="O3" s="26">
        <v>1.546341E-2</v>
      </c>
      <c r="P3" s="26">
        <v>-9.1792299999999993E-2</v>
      </c>
      <c r="Q3" s="26">
        <v>-7.7409000000000006E-2</v>
      </c>
      <c r="R3" s="26">
        <v>5.4776600000000002E-2</v>
      </c>
      <c r="S3" s="26">
        <v>-0.12533440000000001</v>
      </c>
      <c r="T3" s="26">
        <v>-0.1190534</v>
      </c>
      <c r="U3" s="26">
        <v>-3.7770100000000001E-2</v>
      </c>
      <c r="V3" s="26">
        <v>8.1183820000000004E-2</v>
      </c>
      <c r="W3" s="26">
        <v>8.4008970000000002E-2</v>
      </c>
      <c r="X3" s="26">
        <v>0.14701136000000001</v>
      </c>
      <c r="Y3" s="26">
        <v>-0.12536050000000001</v>
      </c>
      <c r="Z3" s="26">
        <v>0.19195355</v>
      </c>
      <c r="AA3" s="26">
        <v>-8.4370799999999996E-2</v>
      </c>
      <c r="AB3" s="26">
        <v>7.2897610000000002E-2</v>
      </c>
      <c r="AC3" s="26">
        <v>0.10260456</v>
      </c>
      <c r="AD3" s="26">
        <v>1.577017E-2</v>
      </c>
      <c r="AE3" s="26">
        <v>-0.15200720000000001</v>
      </c>
      <c r="AF3" s="26">
        <v>5.9250249999999997E-2</v>
      </c>
      <c r="AG3" s="26">
        <v>0.13005884000000001</v>
      </c>
      <c r="AH3" s="26">
        <v>0.11525639999999999</v>
      </c>
      <c r="AI3" s="26">
        <v>3.2606620000000003E-2</v>
      </c>
      <c r="AJ3" s="26">
        <v>2.7999110000000001E-2</v>
      </c>
      <c r="AK3" s="26">
        <v>0.14657042000000001</v>
      </c>
      <c r="AL3" s="26">
        <v>4.0841919999999997E-2</v>
      </c>
      <c r="AM3" s="26">
        <v>0.13137636999999999</v>
      </c>
      <c r="AN3" s="26">
        <v>0.22143296000000001</v>
      </c>
      <c r="AO3" s="26">
        <v>-2.0941000000000001E-2</v>
      </c>
      <c r="AP3" s="26">
        <v>-0.13716</v>
      </c>
      <c r="AQ3" s="26">
        <v>-2.4882899999999999E-2</v>
      </c>
      <c r="AR3" s="26">
        <v>1.551397E-2</v>
      </c>
      <c r="AS3" s="26">
        <v>3.4373040000000001E-2</v>
      </c>
      <c r="AT3" s="26">
        <v>6.3095689999999996E-2</v>
      </c>
      <c r="AU3" s="26">
        <v>4.3237699999999997E-2</v>
      </c>
      <c r="AV3" s="26">
        <v>-7.4230400000000002E-2</v>
      </c>
      <c r="AW3" s="26">
        <v>2.7994829999999998E-2</v>
      </c>
      <c r="AX3" s="26">
        <v>0.11986442</v>
      </c>
      <c r="AY3" s="26">
        <v>7.6559569999999993E-2</v>
      </c>
      <c r="AZ3" s="26">
        <v>-2.17304E-2</v>
      </c>
      <c r="BA3" s="26">
        <v>-1.2465E-3</v>
      </c>
      <c r="BB3" s="26">
        <v>0.10099582</v>
      </c>
      <c r="BC3" s="26">
        <v>2.9826930000000001E-2</v>
      </c>
      <c r="BD3" s="26">
        <v>8.6757699999999993E-3</v>
      </c>
      <c r="BE3" s="26">
        <v>6.8557209999999993E-2</v>
      </c>
      <c r="BF3" s="26">
        <v>0.15691260000000001</v>
      </c>
      <c r="BG3" s="26">
        <v>0.15920372999999999</v>
      </c>
      <c r="BH3" s="26">
        <v>6.1121670000000003E-2</v>
      </c>
      <c r="BI3" s="26">
        <v>9.6912849999999995E-2</v>
      </c>
      <c r="BJ3" s="26">
        <v>-5.4746200000000002E-2</v>
      </c>
      <c r="BK3" s="26">
        <v>-8.7493000000000001E-2</v>
      </c>
      <c r="BL3" s="26">
        <v>9.4426750000000004E-2</v>
      </c>
      <c r="BM3" s="26">
        <v>-2.2191099999999998E-2</v>
      </c>
      <c r="BN3" s="26">
        <v>1.5628610000000001E-2</v>
      </c>
      <c r="BO3" s="26">
        <v>8.1418240000000003E-2</v>
      </c>
      <c r="BP3" s="26">
        <v>-1.8508899999999998E-2</v>
      </c>
      <c r="BQ3" s="26">
        <v>6.8729570000000004E-2</v>
      </c>
      <c r="BR3" s="26">
        <v>3.1023600000000002E-3</v>
      </c>
      <c r="BS3" s="26">
        <v>7.4964420000000004E-2</v>
      </c>
      <c r="BT3" s="26">
        <v>4.520159E-2</v>
      </c>
      <c r="BU3" s="26">
        <v>2.5677330000000002E-2</v>
      </c>
      <c r="BV3" s="26">
        <v>9.1804029999999995E-2</v>
      </c>
      <c r="BW3" s="26">
        <v>-2.6353999999999999E-2</v>
      </c>
      <c r="BX3" s="26">
        <v>1.9394829999999998E-2</v>
      </c>
      <c r="BY3" s="26">
        <v>-7.6838900000000002E-2</v>
      </c>
      <c r="BZ3" s="26">
        <v>0.11330931</v>
      </c>
      <c r="CA3" s="26">
        <v>-0.1073549</v>
      </c>
      <c r="CB3" s="26">
        <v>4.0844789999999999E-2</v>
      </c>
      <c r="CC3" s="26">
        <v>-1.9801699999999998E-2</v>
      </c>
      <c r="CD3" s="26">
        <v>0.18837709</v>
      </c>
      <c r="CE3" s="26">
        <v>5.5574909999999998E-2</v>
      </c>
      <c r="CF3" s="26">
        <v>7.4872069999999999E-2</v>
      </c>
      <c r="CG3" s="26">
        <v>0.10000019</v>
      </c>
      <c r="CH3" s="26">
        <v>0.13602172000000001</v>
      </c>
      <c r="CI3" s="26">
        <v>-9.3741000000000005E-2</v>
      </c>
      <c r="CJ3" s="26">
        <v>3.9306000000000002E-3</v>
      </c>
      <c r="CK3" s="26">
        <v>5.6507780000000001E-2</v>
      </c>
      <c r="CL3" s="26">
        <v>0.26354578000000001</v>
      </c>
      <c r="CM3" s="26">
        <v>-9.5554000000000004E-3</v>
      </c>
      <c r="CN3" s="26">
        <v>-3.1511900000000002E-2</v>
      </c>
      <c r="CO3" s="26">
        <v>-2.2619E-2</v>
      </c>
      <c r="CP3" s="26">
        <v>0.13265561000000001</v>
      </c>
      <c r="CQ3" s="26">
        <v>0.13307278</v>
      </c>
      <c r="CR3" s="26">
        <v>-1.49564E-2</v>
      </c>
      <c r="CS3" s="26">
        <v>-3.3419900000000002E-2</v>
      </c>
      <c r="CT3" s="26">
        <v>1.2281210000000001E-2</v>
      </c>
      <c r="CU3" s="26">
        <v>0.11681498</v>
      </c>
      <c r="CV3" s="26">
        <v>-3.1589000000000001E-3</v>
      </c>
      <c r="CW3" s="26">
        <v>3.8217760000000003E-2</v>
      </c>
      <c r="CX3" s="26">
        <v>0.13917409</v>
      </c>
      <c r="CY3" s="26">
        <v>-2.3712299999999999E-2</v>
      </c>
      <c r="CZ3" s="26">
        <v>0.21835291000000001</v>
      </c>
      <c r="DA3" s="26">
        <v>-5.7967400000000002E-2</v>
      </c>
      <c r="DB3" s="26">
        <v>-1.4104200000000001E-2</v>
      </c>
      <c r="DC3" s="26">
        <v>0.11395608</v>
      </c>
      <c r="DD3" s="26">
        <v>7.4472259999999998E-2</v>
      </c>
      <c r="DE3" s="26">
        <v>-8.9970000000000002E-4</v>
      </c>
      <c r="DF3" s="26">
        <v>9.7707000000000002E-4</v>
      </c>
      <c r="DG3" s="26">
        <v>-7.2980100000000006E-2</v>
      </c>
      <c r="DH3" s="26">
        <v>-2.38453E-2</v>
      </c>
      <c r="DI3" s="26">
        <v>-0.1015307</v>
      </c>
      <c r="DJ3" s="26">
        <v>2.7692540000000002E-2</v>
      </c>
      <c r="DK3" s="26">
        <v>-4.9335200000000003E-2</v>
      </c>
      <c r="DL3" s="26">
        <v>-5.6994000000000003E-3</v>
      </c>
      <c r="DM3" s="26">
        <v>-3.6981800000000002E-2</v>
      </c>
      <c r="DN3" s="26">
        <v>0.10981299</v>
      </c>
      <c r="DO3" s="26">
        <v>4.2036829999999997E-2</v>
      </c>
      <c r="DP3" s="26">
        <v>8.4566669999999997E-2</v>
      </c>
      <c r="DQ3" s="26">
        <v>-0.1102798</v>
      </c>
      <c r="DR3" s="26">
        <v>9.4328709999999996E-2</v>
      </c>
      <c r="DS3" s="26">
        <v>-7.1906899999999996E-2</v>
      </c>
      <c r="DT3" s="26">
        <v>-9.62364E-2</v>
      </c>
      <c r="DU3" s="26">
        <v>2.3455500000000001E-3</v>
      </c>
      <c r="DV3" s="26">
        <v>0.13401742</v>
      </c>
      <c r="DW3" s="26">
        <v>9.4732520000000001E-2</v>
      </c>
      <c r="DX3" s="26">
        <v>-0.1037732</v>
      </c>
      <c r="DY3" s="26">
        <v>7.576215E-2</v>
      </c>
      <c r="DZ3" s="26">
        <v>-3.1829700000000002E-2</v>
      </c>
      <c r="EA3" s="26">
        <v>0.16130802</v>
      </c>
      <c r="EB3" s="26">
        <v>1.0203530000000001E-2</v>
      </c>
      <c r="EC3" s="26">
        <v>7.3988429999999994E-2</v>
      </c>
      <c r="ED3" s="26">
        <v>-0.15737689999999999</v>
      </c>
      <c r="EE3" s="26">
        <v>7.9137550000000001E-2</v>
      </c>
      <c r="EF3" s="26">
        <v>7.2528549999999997E-2</v>
      </c>
    </row>
    <row r="4" spans="1:136">
      <c r="A4" s="1"/>
      <c r="B4" s="7" t="s">
        <v>137</v>
      </c>
      <c r="C4" s="26">
        <v>-0.24758869999999999</v>
      </c>
      <c r="D4" s="26">
        <v>-0.27469329999999997</v>
      </c>
      <c r="E4" s="26">
        <v>-8.4648399999999999E-2</v>
      </c>
      <c r="F4" s="26">
        <v>2.2644629999999999E-2</v>
      </c>
      <c r="G4" s="26">
        <v>-4.9680000000000002E-2</v>
      </c>
      <c r="H4" s="26">
        <v>-0.1007596</v>
      </c>
      <c r="I4" s="26">
        <v>-1.2522699999999999E-2</v>
      </c>
      <c r="J4" s="26">
        <v>7.8736539999999994E-2</v>
      </c>
      <c r="K4" s="26">
        <v>-3.4185100000000003E-2</v>
      </c>
      <c r="L4" s="26">
        <v>8.8406789999999999E-2</v>
      </c>
      <c r="M4" s="26">
        <v>-3.0634999999999998E-3</v>
      </c>
      <c r="N4" s="26">
        <v>-0.21221799999999999</v>
      </c>
      <c r="O4" s="26">
        <v>-3.6805400000000002E-2</v>
      </c>
      <c r="P4" s="26">
        <v>7.1033120000000005E-2</v>
      </c>
      <c r="Q4" s="26">
        <v>-7.1261099999999994E-2</v>
      </c>
      <c r="R4" s="26">
        <v>2.1560449999999998E-2</v>
      </c>
      <c r="S4" s="26">
        <v>0.10111125999999999</v>
      </c>
      <c r="T4" s="26">
        <v>4.3224730000000003E-2</v>
      </c>
      <c r="U4" s="26">
        <v>1.488195E-2</v>
      </c>
      <c r="V4" s="26">
        <v>6.3260199999999999E-3</v>
      </c>
      <c r="W4" s="26">
        <v>-0.14355299999999999</v>
      </c>
      <c r="X4" s="26">
        <v>-6.4282199999999998E-2</v>
      </c>
      <c r="Y4" s="26">
        <v>-1.9034200000000001E-2</v>
      </c>
      <c r="Z4" s="26">
        <v>-2.0644599999999999E-2</v>
      </c>
      <c r="AA4" s="26">
        <v>3.3059529999999997E-2</v>
      </c>
      <c r="AB4" s="26">
        <v>-1.94182E-2</v>
      </c>
      <c r="AC4" s="26">
        <v>-6.3126799999999997E-2</v>
      </c>
      <c r="AD4" s="26">
        <v>-6.5629699999999999E-2</v>
      </c>
      <c r="AE4" s="26">
        <v>0.13799568000000001</v>
      </c>
      <c r="AF4" s="26">
        <v>-0.1005679</v>
      </c>
      <c r="AG4" s="26">
        <v>-3.7969099999999999E-2</v>
      </c>
      <c r="AH4" s="26">
        <v>-4.5839499999999998E-2</v>
      </c>
      <c r="AI4" s="26">
        <v>-5.1034099999999999E-2</v>
      </c>
      <c r="AJ4" s="26">
        <v>-3.2204E-3</v>
      </c>
      <c r="AK4" s="26">
        <v>4.8952000000000002E-4</v>
      </c>
      <c r="AL4" s="26">
        <v>-0.10644670000000001</v>
      </c>
      <c r="AM4" s="26">
        <v>-1.3724E-2</v>
      </c>
      <c r="AN4" s="26">
        <v>-0.1219647</v>
      </c>
      <c r="AO4" s="26">
        <v>-4.85897E-2</v>
      </c>
      <c r="AP4" s="26">
        <v>-1.9032000000000001E-3</v>
      </c>
      <c r="AQ4" s="26">
        <v>2.9067490000000001E-2</v>
      </c>
      <c r="AR4" s="26">
        <v>5.2635769999999998E-2</v>
      </c>
      <c r="AS4" s="26">
        <v>-1.28933E-2</v>
      </c>
      <c r="AT4" s="26">
        <v>-2.1310999999999999E-3</v>
      </c>
      <c r="AU4" s="26">
        <v>-0.15538440000000001</v>
      </c>
      <c r="AV4" s="26">
        <v>1.268178E-2</v>
      </c>
      <c r="AW4" s="26">
        <v>-1.1942299999999999E-2</v>
      </c>
      <c r="AX4" s="26">
        <v>-4.2538000000000003E-3</v>
      </c>
      <c r="AY4" s="26">
        <v>2.930087E-2</v>
      </c>
      <c r="AZ4" s="26">
        <v>-0.13412750000000001</v>
      </c>
      <c r="BA4" s="26">
        <v>-0.1371115</v>
      </c>
      <c r="BB4" s="26">
        <v>1.7546599999999999E-3</v>
      </c>
      <c r="BC4" s="26">
        <v>2.511712E-2</v>
      </c>
      <c r="BD4" s="26">
        <v>-0.1196019</v>
      </c>
      <c r="BE4" s="26">
        <v>0.13576165000000001</v>
      </c>
      <c r="BF4" s="26">
        <v>4.7091170000000002E-2</v>
      </c>
      <c r="BG4" s="26">
        <v>-2.60501E-2</v>
      </c>
      <c r="BH4" s="26">
        <v>4.3752760000000002E-2</v>
      </c>
      <c r="BI4" s="26">
        <v>-8.13918E-2</v>
      </c>
      <c r="BJ4" s="26">
        <v>-0.1006008</v>
      </c>
      <c r="BK4" s="26">
        <v>9.0490070000000006E-2</v>
      </c>
      <c r="BL4" s="26">
        <v>-3.0898499999999999E-2</v>
      </c>
      <c r="BM4" s="26">
        <v>5.8814169999999999E-2</v>
      </c>
      <c r="BN4" s="26">
        <v>8.1345630000000002E-2</v>
      </c>
      <c r="BO4" s="26">
        <v>-7.7164E-3</v>
      </c>
      <c r="BP4" s="26">
        <v>0.10673487</v>
      </c>
      <c r="BQ4" s="26">
        <v>-2.7156300000000001E-2</v>
      </c>
      <c r="BR4" s="26">
        <v>-5.4431E-2</v>
      </c>
      <c r="BS4" s="26">
        <v>-6.8229300000000007E-2</v>
      </c>
      <c r="BT4" s="26">
        <v>9.861222E-2</v>
      </c>
      <c r="BU4" s="26">
        <v>0.12839854000000001</v>
      </c>
      <c r="BV4" s="26">
        <v>-7.84025E-2</v>
      </c>
      <c r="BW4" s="26">
        <v>-0.1191337</v>
      </c>
      <c r="BX4" s="26">
        <v>-4.6890099999999997E-2</v>
      </c>
      <c r="BY4" s="26">
        <v>0.10169835000000001</v>
      </c>
      <c r="BZ4" s="26">
        <v>-2.5680100000000001E-2</v>
      </c>
      <c r="CA4" s="26">
        <v>-8.3301799999999995E-2</v>
      </c>
      <c r="CB4" s="26">
        <v>-0.15782760000000001</v>
      </c>
      <c r="CC4" s="26">
        <v>-7.1052599999999994E-2</v>
      </c>
      <c r="CD4" s="26">
        <v>-7.3875499999999997E-2</v>
      </c>
      <c r="CE4" s="26">
        <v>-0.23678650000000001</v>
      </c>
      <c r="CF4" s="26">
        <v>3.2627709999999997E-2</v>
      </c>
      <c r="CG4" s="26">
        <v>1.342309E-2</v>
      </c>
      <c r="CH4" s="26">
        <v>-2.7967000000000001E-3</v>
      </c>
      <c r="CI4" s="26">
        <v>4.7925700000000002E-2</v>
      </c>
      <c r="CJ4" s="26">
        <v>-3.2520000000000001E-3</v>
      </c>
      <c r="CK4" s="26">
        <v>-7.5708200000000003E-2</v>
      </c>
      <c r="CL4" s="26">
        <v>-4.4397300000000001E-2</v>
      </c>
      <c r="CM4" s="26">
        <v>0.17898859</v>
      </c>
      <c r="CN4" s="26">
        <v>5.7994270000000001E-2</v>
      </c>
      <c r="CO4" s="26">
        <v>-0.13939019999999999</v>
      </c>
      <c r="CP4" s="26">
        <v>6.4714670000000002E-2</v>
      </c>
      <c r="CQ4" s="26">
        <v>-0.18118790000000001</v>
      </c>
      <c r="CR4" s="26">
        <v>-8.8633500000000004E-2</v>
      </c>
      <c r="CS4" s="26">
        <v>-2.5321799999999998E-2</v>
      </c>
      <c r="CT4" s="26">
        <v>-0.1130791</v>
      </c>
      <c r="CU4" s="26">
        <v>8.0959599999999993E-3</v>
      </c>
      <c r="CV4" s="26">
        <v>-4.5200200000000003E-2</v>
      </c>
      <c r="CW4" s="26">
        <v>-5.8941199999999999E-2</v>
      </c>
      <c r="CX4" s="26">
        <v>-0.1077283</v>
      </c>
      <c r="CY4" s="26">
        <v>-9.6503500000000006E-2</v>
      </c>
      <c r="CZ4" s="26">
        <v>-0.21035429999999999</v>
      </c>
      <c r="DA4" s="26">
        <v>-0.10996110000000001</v>
      </c>
      <c r="DB4" s="26">
        <v>-0.1908205</v>
      </c>
      <c r="DC4" s="26">
        <v>-2.0727300000000001E-2</v>
      </c>
      <c r="DD4" s="26">
        <v>8.7029090000000003E-2</v>
      </c>
      <c r="DE4" s="26">
        <v>8.2024589999999994E-2</v>
      </c>
      <c r="DF4" s="26">
        <v>-0.16687669999999999</v>
      </c>
      <c r="DG4" s="26">
        <v>0.22243809</v>
      </c>
      <c r="DH4" s="26">
        <v>-0.1442978</v>
      </c>
      <c r="DI4" s="26">
        <v>-0.1196199</v>
      </c>
      <c r="DJ4" s="26">
        <v>-0.1015928</v>
      </c>
      <c r="DK4" s="26">
        <v>9.2855060000000003E-2</v>
      </c>
      <c r="DL4" s="26">
        <v>-4.2630500000000002E-2</v>
      </c>
      <c r="DM4" s="26">
        <v>8.2732070000000005E-2</v>
      </c>
      <c r="DN4" s="26">
        <v>-3.1049500000000001E-2</v>
      </c>
      <c r="DO4" s="26">
        <v>-9.8141999999999993E-2</v>
      </c>
      <c r="DP4" s="26">
        <v>-0.13058890000000001</v>
      </c>
      <c r="DQ4" s="26">
        <v>4.865572E-2</v>
      </c>
      <c r="DR4" s="26">
        <v>-3.9251899999999999E-2</v>
      </c>
      <c r="DS4" s="26">
        <v>-0.16103020000000001</v>
      </c>
      <c r="DT4" s="26">
        <v>-7.8883999999999996E-2</v>
      </c>
      <c r="DU4" s="26">
        <v>0.16407715</v>
      </c>
      <c r="DV4" s="26">
        <v>7.5052599999999997E-3</v>
      </c>
      <c r="DW4" s="26">
        <v>-0.1016452</v>
      </c>
      <c r="DX4" s="26">
        <v>-5.6040300000000001E-2</v>
      </c>
      <c r="DY4" s="26">
        <v>-0.10665669999999999</v>
      </c>
      <c r="DZ4" s="26">
        <v>-6.9186600000000001E-2</v>
      </c>
      <c r="EA4" s="26">
        <v>-0.12618869999999999</v>
      </c>
      <c r="EB4" s="26">
        <v>-6.4737100000000006E-2</v>
      </c>
      <c r="EC4" s="26">
        <v>5.1426090000000001E-2</v>
      </c>
      <c r="ED4" s="26">
        <v>3.4496730000000003E-2</v>
      </c>
      <c r="EE4" s="26">
        <v>0.1576776</v>
      </c>
      <c r="EF4" s="26">
        <v>-0.12717999999999999</v>
      </c>
    </row>
    <row r="5" spans="1:136">
      <c r="A5" s="1"/>
      <c r="B5" s="7" t="s">
        <v>138</v>
      </c>
      <c r="C5" s="26">
        <v>-5.4239999999999997E-2</v>
      </c>
      <c r="D5" s="26">
        <v>4.5377000000000001E-2</v>
      </c>
      <c r="E5" s="26">
        <v>-1.7749999999999998E-2</v>
      </c>
      <c r="F5" s="26">
        <v>-8.7690000000000004E-2</v>
      </c>
      <c r="G5" s="26">
        <v>0.102759</v>
      </c>
      <c r="H5" s="26">
        <v>2.5110000000000002E-3</v>
      </c>
      <c r="I5" s="26">
        <v>-1.83E-2</v>
      </c>
      <c r="J5" s="26">
        <v>2.2110999999999999E-2</v>
      </c>
      <c r="K5" s="26">
        <v>7.7257999999999993E-2</v>
      </c>
      <c r="L5" s="26">
        <v>9.3439999999999999E-3</v>
      </c>
      <c r="M5" s="26">
        <v>5.3601999999999997E-2</v>
      </c>
      <c r="N5" s="26">
        <v>-6.7879999999999996E-2</v>
      </c>
      <c r="O5" s="26">
        <v>6.4930000000000002E-2</v>
      </c>
      <c r="P5" s="26">
        <v>4.8809999999999999E-3</v>
      </c>
      <c r="Q5" s="26">
        <v>1.9198E-2</v>
      </c>
      <c r="R5" s="26">
        <v>-5.47E-3</v>
      </c>
      <c r="S5" s="26">
        <v>3.6551E-2</v>
      </c>
      <c r="T5" s="26">
        <v>0.12918499999999999</v>
      </c>
      <c r="U5" s="26">
        <v>1.3691999999999999E-2</v>
      </c>
      <c r="V5" s="26">
        <v>1.5295E-2</v>
      </c>
      <c r="W5" s="26">
        <v>-0.10469000000000001</v>
      </c>
      <c r="X5" s="26">
        <v>-0.29385</v>
      </c>
      <c r="Y5" s="26">
        <v>5.9212000000000001E-2</v>
      </c>
      <c r="Z5" s="26">
        <v>-0.18495</v>
      </c>
      <c r="AA5" s="26">
        <v>9.8247000000000001E-2</v>
      </c>
      <c r="AB5" s="26">
        <v>-6.6E-4</v>
      </c>
      <c r="AC5" s="26">
        <v>-0.10369</v>
      </c>
      <c r="AD5" s="26">
        <v>3.545E-3</v>
      </c>
      <c r="AE5" s="26">
        <v>0.17560100000000001</v>
      </c>
      <c r="AF5" s="26">
        <v>-0.15503</v>
      </c>
      <c r="AG5" s="26">
        <v>-2.6329999999999999E-2</v>
      </c>
      <c r="AH5" s="26">
        <v>-5.0000000000000001E-3</v>
      </c>
      <c r="AI5" s="26">
        <v>2.8067999999999999E-2</v>
      </c>
      <c r="AJ5" s="26">
        <v>-2.2380000000000001E-2</v>
      </c>
      <c r="AK5" s="26">
        <v>-4.7019999999999999E-2</v>
      </c>
      <c r="AL5" s="26">
        <v>-0.10156</v>
      </c>
      <c r="AM5" s="26">
        <v>2.3525000000000001E-2</v>
      </c>
      <c r="AN5" s="26">
        <v>5.2525000000000002E-2</v>
      </c>
      <c r="AO5" s="26">
        <v>5.8502999999999999E-2</v>
      </c>
      <c r="AP5" s="26">
        <v>3.3446999999999998E-2</v>
      </c>
      <c r="AQ5" s="26">
        <v>1.43E-2</v>
      </c>
      <c r="AR5" s="26">
        <v>3.5903999999999998E-2</v>
      </c>
      <c r="AS5" s="26">
        <v>3.9781999999999998E-2</v>
      </c>
      <c r="AT5" s="26">
        <v>0.148456</v>
      </c>
      <c r="AU5" s="26">
        <v>-4.079E-2</v>
      </c>
      <c r="AV5" s="26">
        <v>0.138959</v>
      </c>
      <c r="AW5" s="26">
        <v>5.9863E-2</v>
      </c>
      <c r="AX5" s="26">
        <v>-0.14979000000000001</v>
      </c>
      <c r="AY5" s="26">
        <v>6.1595999999999998E-2</v>
      </c>
      <c r="AZ5" s="26">
        <v>-6.1949999999999998E-2</v>
      </c>
      <c r="BA5" s="26">
        <v>-2.3900000000000002E-3</v>
      </c>
      <c r="BB5" s="26">
        <v>-0.14887</v>
      </c>
      <c r="BC5" s="26">
        <v>6.0351000000000002E-2</v>
      </c>
      <c r="BD5" s="26">
        <v>-1.469E-2</v>
      </c>
      <c r="BE5" s="26">
        <v>-0.14652000000000001</v>
      </c>
      <c r="BF5" s="26">
        <v>-0.20876</v>
      </c>
      <c r="BG5" s="26">
        <v>-0.20144000000000001</v>
      </c>
      <c r="BH5" s="26">
        <v>-0.11805</v>
      </c>
      <c r="BI5" s="26">
        <v>-7.7030000000000001E-2</v>
      </c>
      <c r="BJ5" s="26">
        <v>-3.6220000000000002E-2</v>
      </c>
      <c r="BK5" s="26">
        <v>-1.891E-2</v>
      </c>
      <c r="BL5" s="26">
        <v>-0.17126</v>
      </c>
      <c r="BM5" s="26">
        <v>0.13291700000000001</v>
      </c>
      <c r="BN5" s="26">
        <v>-3.5909999999999997E-2</v>
      </c>
      <c r="BO5" s="26">
        <v>2.1344999999999999E-2</v>
      </c>
      <c r="BP5" s="26">
        <v>4.9634999999999999E-2</v>
      </c>
      <c r="BQ5" s="26">
        <v>-1.721E-2</v>
      </c>
      <c r="BR5" s="26">
        <v>0.189827</v>
      </c>
      <c r="BS5" s="26">
        <v>-9.7610000000000002E-2</v>
      </c>
      <c r="BT5" s="26">
        <v>3.7830999999999997E-2</v>
      </c>
      <c r="BU5" s="26">
        <v>5.6008000000000002E-2</v>
      </c>
      <c r="BV5" s="26">
        <v>-0.11674</v>
      </c>
      <c r="BW5" s="26">
        <v>-0.14132</v>
      </c>
      <c r="BX5" s="26">
        <v>-3.3800000000000002E-3</v>
      </c>
      <c r="BY5" s="26">
        <v>0.13033600000000001</v>
      </c>
      <c r="BZ5" s="26">
        <v>3.1697999999999997E-2</v>
      </c>
      <c r="CA5" s="26">
        <v>4.0555000000000001E-2</v>
      </c>
      <c r="CB5" s="26">
        <v>-4.2040000000000001E-2</v>
      </c>
      <c r="CC5" s="26">
        <v>5.0014000000000003E-2</v>
      </c>
      <c r="CD5" s="26">
        <v>-6.8459999999999993E-2</v>
      </c>
      <c r="CE5" s="26">
        <v>-8.0829999999999999E-2</v>
      </c>
      <c r="CF5" s="26">
        <v>-1.9499999999999999E-3</v>
      </c>
      <c r="CG5" s="26">
        <v>-0.11821</v>
      </c>
      <c r="CH5" s="26">
        <v>-3.6720000000000003E-2</v>
      </c>
      <c r="CI5" s="26">
        <v>-8.3330000000000001E-2</v>
      </c>
      <c r="CJ5" s="26">
        <v>0.23067299999999999</v>
      </c>
      <c r="CK5" s="26">
        <v>0.13277900000000001</v>
      </c>
      <c r="CL5" s="26">
        <v>0.141287</v>
      </c>
      <c r="CM5" s="26">
        <v>-0.11269</v>
      </c>
      <c r="CN5" s="26">
        <v>0.22348899999999999</v>
      </c>
      <c r="CO5" s="26">
        <v>-0.10442</v>
      </c>
      <c r="CP5" s="26">
        <v>-1.443E-2</v>
      </c>
      <c r="CQ5" s="26">
        <v>-0.20723</v>
      </c>
      <c r="CR5" s="26">
        <v>-0.13486000000000001</v>
      </c>
      <c r="CS5" s="26">
        <v>7.3008000000000003E-2</v>
      </c>
      <c r="CT5" s="26">
        <v>-3.022E-2</v>
      </c>
      <c r="CU5" s="26">
        <v>-0.28688999999999998</v>
      </c>
      <c r="CV5" s="26">
        <v>0.23073099999999999</v>
      </c>
      <c r="CW5" s="26">
        <v>9.1076000000000004E-2</v>
      </c>
      <c r="CX5" s="26">
        <v>-0.12249</v>
      </c>
      <c r="CY5" s="26">
        <v>7.8381999999999993E-2</v>
      </c>
      <c r="CZ5" s="26">
        <v>-4.5949999999999998E-2</v>
      </c>
      <c r="DA5" s="26">
        <v>8.2669999999999993E-2</v>
      </c>
      <c r="DB5" s="26">
        <v>0.14934900000000001</v>
      </c>
      <c r="DC5" s="26">
        <v>-4.7800000000000002E-2</v>
      </c>
      <c r="DD5" s="26">
        <v>-0.16450999999999999</v>
      </c>
      <c r="DE5" s="26">
        <v>-0.11057</v>
      </c>
      <c r="DF5" s="26">
        <v>5.7417000000000003E-2</v>
      </c>
      <c r="DG5" s="26">
        <v>-0.21489</v>
      </c>
      <c r="DH5" s="26">
        <v>6.2996999999999997E-2</v>
      </c>
      <c r="DI5" s="26">
        <v>6.7721000000000003E-2</v>
      </c>
      <c r="DJ5" s="26">
        <v>0.118802</v>
      </c>
      <c r="DK5" s="26">
        <v>7.2830000000000004E-3</v>
      </c>
      <c r="DL5" s="26">
        <v>7.1320999999999996E-2</v>
      </c>
      <c r="DM5" s="26">
        <v>2.1021999999999999E-2</v>
      </c>
      <c r="DN5" s="26">
        <v>-3.04E-2</v>
      </c>
      <c r="DO5" s="26">
        <v>-9.6949999999999995E-2</v>
      </c>
      <c r="DP5" s="26">
        <v>-0.23068</v>
      </c>
      <c r="DQ5" s="26">
        <v>0.23818400000000001</v>
      </c>
      <c r="DR5" s="26">
        <v>3.5750000000000001E-3</v>
      </c>
      <c r="DS5" s="26">
        <v>0.13395599999999999</v>
      </c>
      <c r="DT5" s="26">
        <v>0.115106</v>
      </c>
      <c r="DU5" s="26">
        <v>0.10408000000000001</v>
      </c>
      <c r="DV5" s="26">
        <v>-5.4609999999999999E-2</v>
      </c>
      <c r="DW5" s="26">
        <v>-3.329E-2</v>
      </c>
      <c r="DX5" s="26">
        <v>5.5094999999999998E-2</v>
      </c>
      <c r="DY5" s="26">
        <v>6.8793999999999994E-2</v>
      </c>
      <c r="DZ5" s="26">
        <v>1.4481000000000001E-2</v>
      </c>
      <c r="EA5" s="26">
        <v>-0.29314000000000001</v>
      </c>
      <c r="EB5" s="26">
        <v>-0.14097999999999999</v>
      </c>
      <c r="EC5" s="26">
        <v>-1.221E-2</v>
      </c>
      <c r="ED5" s="26">
        <v>5.8167999999999997E-2</v>
      </c>
      <c r="EE5" s="26">
        <v>-0.1444</v>
      </c>
      <c r="EF5" s="26">
        <v>-9.7009999999999999E-2</v>
      </c>
    </row>
    <row r="6" spans="1:136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BN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si="0"/>
        <v>size</v>
      </c>
      <c r="AJ7" s="11" t="str">
        <f t="shared" si="0"/>
        <v>bm</v>
      </c>
      <c r="AK7" s="11" t="str">
        <f t="shared" si="0"/>
        <v>bm</v>
      </c>
      <c r="AL7" s="11" t="str">
        <f t="shared" si="0"/>
        <v>size</v>
      </c>
      <c r="AM7" s="11" t="str">
        <f t="shared" si="0"/>
        <v>bm</v>
      </c>
      <c r="AN7" s="11" t="str">
        <f t="shared" si="0"/>
        <v>bm</v>
      </c>
      <c r="AO7" s="11" t="str">
        <f t="shared" si="0"/>
        <v>mom</v>
      </c>
      <c r="AP7" s="11" t="str">
        <f t="shared" si="0"/>
        <v>bm</v>
      </c>
      <c r="AQ7" s="11" t="str">
        <f t="shared" si="0"/>
        <v>size</v>
      </c>
      <c r="AR7" s="11" t="str">
        <f t="shared" si="0"/>
        <v>size</v>
      </c>
      <c r="AS7" s="11" t="str">
        <f t="shared" si="0"/>
        <v>mom</v>
      </c>
      <c r="AT7" s="11" t="str">
        <f t="shared" si="0"/>
        <v>mom</v>
      </c>
      <c r="AU7" s="11" t="str">
        <f t="shared" si="0"/>
        <v>size</v>
      </c>
      <c r="AV7" s="11" t="str">
        <f t="shared" si="0"/>
        <v>mom</v>
      </c>
      <c r="AW7" s="11" t="str">
        <f t="shared" si="0"/>
        <v>mom</v>
      </c>
      <c r="AX7" s="11" t="str">
        <f t="shared" si="0"/>
        <v>mom</v>
      </c>
      <c r="AY7" s="11" t="str">
        <f t="shared" si="0"/>
        <v>bm</v>
      </c>
      <c r="AZ7" s="11" t="str">
        <f t="shared" si="0"/>
        <v>size</v>
      </c>
      <c r="BA7" s="11" t="str">
        <f t="shared" si="0"/>
        <v>size</v>
      </c>
      <c r="BB7" s="11" t="str">
        <f t="shared" si="0"/>
        <v>mom</v>
      </c>
      <c r="BC7" s="11" t="str">
        <f t="shared" si="0"/>
        <v>mom</v>
      </c>
      <c r="BD7" s="11" t="str">
        <f t="shared" si="0"/>
        <v>size</v>
      </c>
      <c r="BE7" s="11" t="str">
        <f t="shared" si="0"/>
        <v>mom</v>
      </c>
      <c r="BF7" s="11" t="str">
        <f t="shared" si="0"/>
        <v>mom</v>
      </c>
      <c r="BG7" s="11" t="str">
        <f t="shared" si="0"/>
        <v>mom</v>
      </c>
      <c r="BH7" s="11" t="str">
        <f t="shared" si="0"/>
        <v>mom</v>
      </c>
      <c r="BI7" s="11" t="str">
        <f t="shared" si="0"/>
        <v>bm</v>
      </c>
      <c r="BJ7" s="11" t="str">
        <f t="shared" si="0"/>
        <v>size</v>
      </c>
      <c r="BK7" s="11" t="str">
        <f t="shared" si="0"/>
        <v>size</v>
      </c>
      <c r="BL7" s="11" t="str">
        <f t="shared" si="0"/>
        <v>mom</v>
      </c>
      <c r="BM7" s="11" t="str">
        <f t="shared" si="0"/>
        <v>mom</v>
      </c>
      <c r="BN7" s="11" t="str">
        <f t="shared" si="0"/>
        <v>size</v>
      </c>
      <c r="BO7" s="11" t="str">
        <f t="shared" ref="BO7:DZ7" si="1">IF(BO6=1,"bm",IF(BO6=2,"size",IF(BO6=3,"mom")))</f>
        <v>bm</v>
      </c>
      <c r="BP7" s="11" t="str">
        <f t="shared" si="1"/>
        <v>size</v>
      </c>
      <c r="BQ7" s="11" t="str">
        <f t="shared" si="1"/>
        <v>bm</v>
      </c>
      <c r="BR7" s="11" t="str">
        <f t="shared" si="1"/>
        <v>mom</v>
      </c>
      <c r="BS7" s="11" t="str">
        <f t="shared" si="1"/>
        <v>mom</v>
      </c>
      <c r="BT7" s="11" t="str">
        <f t="shared" si="1"/>
        <v>size</v>
      </c>
      <c r="BU7" s="11" t="str">
        <f t="shared" si="1"/>
        <v>size</v>
      </c>
      <c r="BV7" s="11" t="str">
        <f t="shared" si="1"/>
        <v>mom</v>
      </c>
      <c r="BW7" s="11" t="str">
        <f t="shared" si="1"/>
        <v>mom</v>
      </c>
      <c r="BX7" s="11" t="str">
        <f t="shared" si="1"/>
        <v>size</v>
      </c>
      <c r="BY7" s="11" t="str">
        <f t="shared" si="1"/>
        <v>mom</v>
      </c>
      <c r="BZ7" s="11" t="str">
        <f t="shared" si="1"/>
        <v>bm</v>
      </c>
      <c r="CA7" s="11" t="str">
        <f t="shared" si="1"/>
        <v>bm</v>
      </c>
      <c r="CB7" s="11" t="str">
        <f t="shared" si="1"/>
        <v>size</v>
      </c>
      <c r="CC7" s="11" t="str">
        <f t="shared" si="1"/>
        <v>size</v>
      </c>
      <c r="CD7" s="11" t="str">
        <f t="shared" si="1"/>
        <v>bm</v>
      </c>
      <c r="CE7" s="11" t="str">
        <f t="shared" si="1"/>
        <v>size</v>
      </c>
      <c r="CF7" s="11" t="str">
        <f t="shared" si="1"/>
        <v>bm</v>
      </c>
      <c r="CG7" s="11" t="str">
        <f t="shared" si="1"/>
        <v>mom</v>
      </c>
      <c r="CH7" s="11" t="str">
        <f t="shared" si="1"/>
        <v>bm</v>
      </c>
      <c r="CI7" s="11" t="str">
        <f t="shared" si="1"/>
        <v>bm</v>
      </c>
      <c r="CJ7" s="11" t="str">
        <f t="shared" si="1"/>
        <v>mom</v>
      </c>
      <c r="CK7" s="11" t="str">
        <f t="shared" si="1"/>
        <v>mom</v>
      </c>
      <c r="CL7" s="11" t="str">
        <f t="shared" si="1"/>
        <v>bm</v>
      </c>
      <c r="CM7" s="11" t="str">
        <f t="shared" si="1"/>
        <v>size</v>
      </c>
      <c r="CN7" s="11" t="str">
        <f t="shared" si="1"/>
        <v>mom</v>
      </c>
      <c r="CO7" s="11" t="str">
        <f t="shared" si="1"/>
        <v>size</v>
      </c>
      <c r="CP7" s="11" t="str">
        <f t="shared" si="1"/>
        <v>bm</v>
      </c>
      <c r="CQ7" s="11" t="str">
        <f t="shared" si="1"/>
        <v>mom</v>
      </c>
      <c r="CR7" s="11" t="str">
        <f t="shared" si="1"/>
        <v>mom</v>
      </c>
      <c r="CS7" s="11" t="str">
        <f t="shared" si="1"/>
        <v>mom</v>
      </c>
      <c r="CT7" s="11" t="str">
        <f t="shared" si="1"/>
        <v>size</v>
      </c>
      <c r="CU7" s="11" t="str">
        <f t="shared" si="1"/>
        <v>mom</v>
      </c>
      <c r="CV7" s="11" t="str">
        <f t="shared" si="1"/>
        <v>mom</v>
      </c>
      <c r="CW7" s="11" t="str">
        <f t="shared" si="1"/>
        <v>mom</v>
      </c>
      <c r="CX7" s="11" t="str">
        <f t="shared" si="1"/>
        <v>bm</v>
      </c>
      <c r="CY7" s="11" t="str">
        <f t="shared" si="1"/>
        <v>size</v>
      </c>
      <c r="CZ7" s="11" t="str">
        <f t="shared" si="1"/>
        <v>bm</v>
      </c>
      <c r="DA7" s="11" t="str">
        <f t="shared" si="1"/>
        <v>size</v>
      </c>
      <c r="DB7" s="11" t="str">
        <f t="shared" si="1"/>
        <v>size</v>
      </c>
      <c r="DC7" s="11" t="str">
        <f t="shared" si="1"/>
        <v>bm</v>
      </c>
      <c r="DD7" s="11" t="str">
        <f t="shared" si="1"/>
        <v>mom</v>
      </c>
      <c r="DE7" s="11" t="str">
        <f t="shared" si="1"/>
        <v>mom</v>
      </c>
      <c r="DF7" s="11" t="str">
        <f t="shared" si="1"/>
        <v>size</v>
      </c>
      <c r="DG7" s="11" t="str">
        <f t="shared" si="1"/>
        <v>size</v>
      </c>
      <c r="DH7" s="11" t="str">
        <f t="shared" si="1"/>
        <v>size</v>
      </c>
      <c r="DI7" s="11" t="str">
        <f t="shared" si="1"/>
        <v>size</v>
      </c>
      <c r="DJ7" s="11" t="str">
        <f t="shared" si="1"/>
        <v>mom</v>
      </c>
      <c r="DK7" s="11" t="str">
        <f t="shared" si="1"/>
        <v>size</v>
      </c>
      <c r="DL7" s="11" t="str">
        <f t="shared" si="1"/>
        <v>mom</v>
      </c>
      <c r="DM7" s="11" t="str">
        <f t="shared" si="1"/>
        <v>size</v>
      </c>
      <c r="DN7" s="11" t="str">
        <f t="shared" si="1"/>
        <v>bm</v>
      </c>
      <c r="DO7" s="11" t="str">
        <f t="shared" si="1"/>
        <v>size</v>
      </c>
      <c r="DP7" s="11" t="str">
        <f t="shared" si="1"/>
        <v>mom</v>
      </c>
      <c r="DQ7" s="11" t="str">
        <f t="shared" si="1"/>
        <v>mom</v>
      </c>
      <c r="DR7" s="11" t="str">
        <f t="shared" si="1"/>
        <v>bm</v>
      </c>
      <c r="DS7" s="11" t="str">
        <f t="shared" si="1"/>
        <v>size</v>
      </c>
      <c r="DT7" s="11" t="str">
        <f t="shared" si="1"/>
        <v>mom</v>
      </c>
      <c r="DU7" s="11" t="str">
        <f t="shared" si="1"/>
        <v>size</v>
      </c>
      <c r="DV7" s="11" t="str">
        <f t="shared" si="1"/>
        <v>bm</v>
      </c>
      <c r="DW7" s="11" t="str">
        <f t="shared" si="1"/>
        <v>size</v>
      </c>
      <c r="DX7" s="11" t="str">
        <f t="shared" si="1"/>
        <v>bm</v>
      </c>
      <c r="DY7" s="11" t="str">
        <f t="shared" si="1"/>
        <v>size</v>
      </c>
      <c r="DZ7" s="11" t="str">
        <f t="shared" si="1"/>
        <v>size</v>
      </c>
      <c r="EA7" s="11" t="str">
        <f t="shared" ref="EA7:EF7" si="2">IF(EA6=1,"bm",IF(EA6=2,"size",IF(EA6=3,"mom")))</f>
        <v>mom</v>
      </c>
      <c r="EB7" s="11" t="str">
        <f t="shared" si="2"/>
        <v>mom</v>
      </c>
      <c r="EC7" s="11" t="str">
        <f t="shared" si="2"/>
        <v>bm</v>
      </c>
      <c r="ED7" s="11" t="str">
        <f t="shared" si="2"/>
        <v>bm</v>
      </c>
      <c r="EE7" s="11" t="str">
        <f t="shared" si="2"/>
        <v>size</v>
      </c>
      <c r="EF7" s="11" t="str">
        <f t="shared" si="2"/>
        <v>size</v>
      </c>
    </row>
    <row r="8" spans="1:136">
      <c r="A8" s="4"/>
      <c r="B8" s="4"/>
      <c r="C8" s="11">
        <f t="shared" ref="C8:BN8" si="3">IF(C6=1,C3,IF(C6=2,C4,IF(C6=3,C5)))</f>
        <v>-0.24758869999999999</v>
      </c>
      <c r="D8" s="11">
        <f t="shared" si="3"/>
        <v>-0.27469329999999997</v>
      </c>
      <c r="E8" s="11">
        <f t="shared" si="3"/>
        <v>-8.4648399999999999E-2</v>
      </c>
      <c r="F8" s="11">
        <f t="shared" si="3"/>
        <v>-8.7690000000000004E-2</v>
      </c>
      <c r="G8" s="11">
        <f t="shared" si="3"/>
        <v>0.102759</v>
      </c>
      <c r="H8" s="11">
        <f t="shared" si="3"/>
        <v>-0.1007596</v>
      </c>
      <c r="I8" s="11">
        <f t="shared" si="3"/>
        <v>0.18325177000000001</v>
      </c>
      <c r="J8" s="11">
        <f t="shared" si="3"/>
        <v>0.11648631</v>
      </c>
      <c r="K8" s="11">
        <f t="shared" si="3"/>
        <v>7.7257999999999993E-2</v>
      </c>
      <c r="L8" s="11">
        <f t="shared" si="3"/>
        <v>8.8406789999999999E-2</v>
      </c>
      <c r="M8" s="11">
        <f t="shared" si="3"/>
        <v>5.3601999999999997E-2</v>
      </c>
      <c r="N8" s="11">
        <f t="shared" si="3"/>
        <v>-0.21221799999999999</v>
      </c>
      <c r="O8" s="11">
        <f t="shared" si="3"/>
        <v>6.4930000000000002E-2</v>
      </c>
      <c r="P8" s="11">
        <f t="shared" si="3"/>
        <v>-9.1792299999999993E-2</v>
      </c>
      <c r="Q8" s="11">
        <f t="shared" si="3"/>
        <v>-7.7409000000000006E-2</v>
      </c>
      <c r="R8" s="11">
        <f t="shared" si="3"/>
        <v>5.4776600000000002E-2</v>
      </c>
      <c r="S8" s="11">
        <f t="shared" si="3"/>
        <v>-0.12533440000000001</v>
      </c>
      <c r="T8" s="11">
        <f t="shared" si="3"/>
        <v>0.12918499999999999</v>
      </c>
      <c r="U8" s="11">
        <f t="shared" si="3"/>
        <v>-3.7770100000000001E-2</v>
      </c>
      <c r="V8" s="11">
        <f t="shared" si="3"/>
        <v>8.1183820000000004E-2</v>
      </c>
      <c r="W8" s="11">
        <f t="shared" si="3"/>
        <v>-0.14355299999999999</v>
      </c>
      <c r="X8" s="11">
        <f t="shared" si="3"/>
        <v>-0.29385</v>
      </c>
      <c r="Y8" s="11">
        <f t="shared" si="3"/>
        <v>-0.12536050000000001</v>
      </c>
      <c r="Z8" s="11">
        <f t="shared" si="3"/>
        <v>0.19195355</v>
      </c>
      <c r="AA8" s="11">
        <f t="shared" si="3"/>
        <v>9.8247000000000001E-2</v>
      </c>
      <c r="AB8" s="11">
        <f t="shared" si="3"/>
        <v>7.2897610000000002E-2</v>
      </c>
      <c r="AC8" s="11">
        <f t="shared" si="3"/>
        <v>-0.10369</v>
      </c>
      <c r="AD8" s="11">
        <f t="shared" si="3"/>
        <v>-6.5629699999999999E-2</v>
      </c>
      <c r="AE8" s="11">
        <f t="shared" si="3"/>
        <v>0.17560100000000001</v>
      </c>
      <c r="AF8" s="11">
        <f t="shared" si="3"/>
        <v>-0.15503</v>
      </c>
      <c r="AG8" s="11">
        <f t="shared" si="3"/>
        <v>0.13005884000000001</v>
      </c>
      <c r="AH8" s="11">
        <f t="shared" si="3"/>
        <v>0.11525639999999999</v>
      </c>
      <c r="AI8" s="11">
        <f t="shared" si="3"/>
        <v>-5.1034099999999999E-2</v>
      </c>
      <c r="AJ8" s="11">
        <f t="shared" si="3"/>
        <v>2.7999110000000001E-2</v>
      </c>
      <c r="AK8" s="11">
        <f t="shared" si="3"/>
        <v>0.14657042000000001</v>
      </c>
      <c r="AL8" s="11">
        <f t="shared" si="3"/>
        <v>-0.10644670000000001</v>
      </c>
      <c r="AM8" s="11">
        <f t="shared" si="3"/>
        <v>0.13137636999999999</v>
      </c>
      <c r="AN8" s="11">
        <f t="shared" si="3"/>
        <v>0.22143296000000001</v>
      </c>
      <c r="AO8" s="11">
        <f t="shared" si="3"/>
        <v>5.8502999999999999E-2</v>
      </c>
      <c r="AP8" s="11">
        <f t="shared" si="3"/>
        <v>-0.13716</v>
      </c>
      <c r="AQ8" s="11">
        <f t="shared" si="3"/>
        <v>2.9067490000000001E-2</v>
      </c>
      <c r="AR8" s="11">
        <f t="shared" si="3"/>
        <v>5.2635769999999998E-2</v>
      </c>
      <c r="AS8" s="11">
        <f t="shared" si="3"/>
        <v>3.9781999999999998E-2</v>
      </c>
      <c r="AT8" s="11">
        <f t="shared" si="3"/>
        <v>0.148456</v>
      </c>
      <c r="AU8" s="11">
        <f t="shared" si="3"/>
        <v>-0.15538440000000001</v>
      </c>
      <c r="AV8" s="11">
        <f t="shared" si="3"/>
        <v>0.138959</v>
      </c>
      <c r="AW8" s="11">
        <f t="shared" si="3"/>
        <v>5.9863E-2</v>
      </c>
      <c r="AX8" s="11">
        <f t="shared" si="3"/>
        <v>-0.14979000000000001</v>
      </c>
      <c r="AY8" s="11">
        <f t="shared" si="3"/>
        <v>7.6559569999999993E-2</v>
      </c>
      <c r="AZ8" s="11">
        <f t="shared" si="3"/>
        <v>-0.13412750000000001</v>
      </c>
      <c r="BA8" s="11">
        <f t="shared" si="3"/>
        <v>-0.1371115</v>
      </c>
      <c r="BB8" s="11">
        <f t="shared" si="3"/>
        <v>-0.14887</v>
      </c>
      <c r="BC8" s="11">
        <f t="shared" si="3"/>
        <v>6.0351000000000002E-2</v>
      </c>
      <c r="BD8" s="11">
        <f t="shared" si="3"/>
        <v>-0.1196019</v>
      </c>
      <c r="BE8" s="11">
        <f t="shared" si="3"/>
        <v>-0.14652000000000001</v>
      </c>
      <c r="BF8" s="11">
        <f t="shared" si="3"/>
        <v>-0.20876</v>
      </c>
      <c r="BG8" s="11">
        <f t="shared" si="3"/>
        <v>-0.20144000000000001</v>
      </c>
      <c r="BH8" s="11">
        <f t="shared" si="3"/>
        <v>-0.11805</v>
      </c>
      <c r="BI8" s="11">
        <f t="shared" si="3"/>
        <v>9.6912849999999995E-2</v>
      </c>
      <c r="BJ8" s="11">
        <f t="shared" si="3"/>
        <v>-0.1006008</v>
      </c>
      <c r="BK8" s="11">
        <f t="shared" si="3"/>
        <v>9.0490070000000006E-2</v>
      </c>
      <c r="BL8" s="11">
        <f t="shared" si="3"/>
        <v>-0.17126</v>
      </c>
      <c r="BM8" s="11">
        <f t="shared" si="3"/>
        <v>0.13291700000000001</v>
      </c>
      <c r="BN8" s="11">
        <f t="shared" si="3"/>
        <v>8.1345630000000002E-2</v>
      </c>
      <c r="BO8" s="11">
        <f t="shared" ref="BO8:DZ8" si="4">IF(BO6=1,BO3,IF(BO6=2,BO4,IF(BO6=3,BO5)))</f>
        <v>8.1418240000000003E-2</v>
      </c>
      <c r="BP8" s="11">
        <f t="shared" si="4"/>
        <v>0.10673487</v>
      </c>
      <c r="BQ8" s="11">
        <f t="shared" si="4"/>
        <v>6.8729570000000004E-2</v>
      </c>
      <c r="BR8" s="11">
        <f t="shared" si="4"/>
        <v>0.189827</v>
      </c>
      <c r="BS8" s="11">
        <f t="shared" si="4"/>
        <v>-9.7610000000000002E-2</v>
      </c>
      <c r="BT8" s="11">
        <f t="shared" si="4"/>
        <v>9.861222E-2</v>
      </c>
      <c r="BU8" s="11">
        <f t="shared" si="4"/>
        <v>0.12839854000000001</v>
      </c>
      <c r="BV8" s="11">
        <f t="shared" si="4"/>
        <v>-0.11674</v>
      </c>
      <c r="BW8" s="11">
        <f t="shared" si="4"/>
        <v>-0.14132</v>
      </c>
      <c r="BX8" s="11">
        <f t="shared" si="4"/>
        <v>-4.6890099999999997E-2</v>
      </c>
      <c r="BY8" s="11">
        <f t="shared" si="4"/>
        <v>0.13033600000000001</v>
      </c>
      <c r="BZ8" s="11">
        <f t="shared" si="4"/>
        <v>0.11330931</v>
      </c>
      <c r="CA8" s="11">
        <f t="shared" si="4"/>
        <v>-0.1073549</v>
      </c>
      <c r="CB8" s="11">
        <f t="shared" si="4"/>
        <v>-0.15782760000000001</v>
      </c>
      <c r="CC8" s="11">
        <f t="shared" si="4"/>
        <v>-7.1052599999999994E-2</v>
      </c>
      <c r="CD8" s="11">
        <f t="shared" si="4"/>
        <v>0.18837709</v>
      </c>
      <c r="CE8" s="11">
        <f t="shared" si="4"/>
        <v>-0.23678650000000001</v>
      </c>
      <c r="CF8" s="11">
        <f t="shared" si="4"/>
        <v>7.4872069999999999E-2</v>
      </c>
      <c r="CG8" s="11">
        <f t="shared" si="4"/>
        <v>-0.11821</v>
      </c>
      <c r="CH8" s="11">
        <f t="shared" si="4"/>
        <v>0.13602172000000001</v>
      </c>
      <c r="CI8" s="11">
        <f t="shared" si="4"/>
        <v>-9.3741000000000005E-2</v>
      </c>
      <c r="CJ8" s="11">
        <f t="shared" si="4"/>
        <v>0.23067299999999999</v>
      </c>
      <c r="CK8" s="11">
        <f t="shared" si="4"/>
        <v>0.13277900000000001</v>
      </c>
      <c r="CL8" s="11">
        <f t="shared" si="4"/>
        <v>0.26354578000000001</v>
      </c>
      <c r="CM8" s="11">
        <f t="shared" si="4"/>
        <v>0.17898859</v>
      </c>
      <c r="CN8" s="11">
        <f t="shared" si="4"/>
        <v>0.22348899999999999</v>
      </c>
      <c r="CO8" s="11">
        <f t="shared" si="4"/>
        <v>-0.13939019999999999</v>
      </c>
      <c r="CP8" s="11">
        <f t="shared" si="4"/>
        <v>0.13265561000000001</v>
      </c>
      <c r="CQ8" s="11">
        <f t="shared" si="4"/>
        <v>-0.20723</v>
      </c>
      <c r="CR8" s="11">
        <f t="shared" si="4"/>
        <v>-0.13486000000000001</v>
      </c>
      <c r="CS8" s="11">
        <f t="shared" si="4"/>
        <v>7.3008000000000003E-2</v>
      </c>
      <c r="CT8" s="11">
        <f t="shared" si="4"/>
        <v>-0.1130791</v>
      </c>
      <c r="CU8" s="11">
        <f t="shared" si="4"/>
        <v>-0.28688999999999998</v>
      </c>
      <c r="CV8" s="11">
        <f t="shared" si="4"/>
        <v>0.23073099999999999</v>
      </c>
      <c r="CW8" s="11">
        <f t="shared" si="4"/>
        <v>9.1076000000000004E-2</v>
      </c>
      <c r="CX8" s="11">
        <f t="shared" si="4"/>
        <v>0.13917409</v>
      </c>
      <c r="CY8" s="11">
        <f t="shared" si="4"/>
        <v>-9.6503500000000006E-2</v>
      </c>
      <c r="CZ8" s="11">
        <f t="shared" si="4"/>
        <v>0.21835291000000001</v>
      </c>
      <c r="DA8" s="11">
        <f t="shared" si="4"/>
        <v>-0.10996110000000001</v>
      </c>
      <c r="DB8" s="11">
        <f t="shared" si="4"/>
        <v>-0.1908205</v>
      </c>
      <c r="DC8" s="11">
        <f t="shared" si="4"/>
        <v>0.11395608</v>
      </c>
      <c r="DD8" s="11">
        <f t="shared" si="4"/>
        <v>-0.16450999999999999</v>
      </c>
      <c r="DE8" s="11">
        <f t="shared" si="4"/>
        <v>-0.11057</v>
      </c>
      <c r="DF8" s="11">
        <f t="shared" si="4"/>
        <v>-0.16687669999999999</v>
      </c>
      <c r="DG8" s="11">
        <f t="shared" si="4"/>
        <v>0.22243809</v>
      </c>
      <c r="DH8" s="11">
        <f t="shared" si="4"/>
        <v>-0.1442978</v>
      </c>
      <c r="DI8" s="11">
        <f t="shared" si="4"/>
        <v>-0.1196199</v>
      </c>
      <c r="DJ8" s="11">
        <f t="shared" si="4"/>
        <v>0.118802</v>
      </c>
      <c r="DK8" s="11">
        <f t="shared" si="4"/>
        <v>9.2855060000000003E-2</v>
      </c>
      <c r="DL8" s="11">
        <f t="shared" si="4"/>
        <v>7.1320999999999996E-2</v>
      </c>
      <c r="DM8" s="11">
        <f t="shared" si="4"/>
        <v>8.2732070000000005E-2</v>
      </c>
      <c r="DN8" s="11">
        <f t="shared" si="4"/>
        <v>0.10981299</v>
      </c>
      <c r="DO8" s="11">
        <f t="shared" si="4"/>
        <v>-9.8141999999999993E-2</v>
      </c>
      <c r="DP8" s="11">
        <f t="shared" si="4"/>
        <v>-0.23068</v>
      </c>
      <c r="DQ8" s="11">
        <f t="shared" si="4"/>
        <v>0.23818400000000001</v>
      </c>
      <c r="DR8" s="11">
        <f t="shared" si="4"/>
        <v>9.4328709999999996E-2</v>
      </c>
      <c r="DS8" s="11">
        <f t="shared" si="4"/>
        <v>-0.16103020000000001</v>
      </c>
      <c r="DT8" s="11">
        <f t="shared" si="4"/>
        <v>0.115106</v>
      </c>
      <c r="DU8" s="11">
        <f t="shared" si="4"/>
        <v>0.16407715</v>
      </c>
      <c r="DV8" s="11">
        <f t="shared" si="4"/>
        <v>0.13401742</v>
      </c>
      <c r="DW8" s="11">
        <f t="shared" si="4"/>
        <v>-0.1016452</v>
      </c>
      <c r="DX8" s="11">
        <f t="shared" si="4"/>
        <v>-0.1037732</v>
      </c>
      <c r="DY8" s="11">
        <f t="shared" si="4"/>
        <v>-0.10665669999999999</v>
      </c>
      <c r="DZ8" s="11">
        <f t="shared" si="4"/>
        <v>-6.9186600000000001E-2</v>
      </c>
      <c r="EA8" s="11">
        <f t="shared" ref="EA8:EF8" si="5">IF(EA6=1,EA3,IF(EA6=2,EA4,IF(EA6=3,EA5)))</f>
        <v>-0.29314000000000001</v>
      </c>
      <c r="EB8" s="11">
        <f t="shared" si="5"/>
        <v>-0.14097999999999999</v>
      </c>
      <c r="EC8" s="11">
        <f t="shared" si="5"/>
        <v>7.3988429999999994E-2</v>
      </c>
      <c r="ED8" s="11">
        <f t="shared" si="5"/>
        <v>-0.15737689999999999</v>
      </c>
      <c r="EE8" s="11">
        <f t="shared" si="5"/>
        <v>0.1576776</v>
      </c>
      <c r="EF8" s="11">
        <f t="shared" si="5"/>
        <v>-0.12717999999999999</v>
      </c>
    </row>
    <row r="9" spans="1:13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spans="1:136">
      <c r="A10" s="25" t="s">
        <v>140</v>
      </c>
      <c r="B10" s="24"/>
      <c r="C10" s="7" t="s">
        <v>141</v>
      </c>
      <c r="D10" s="10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 spans="1:136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>
      <c r="A12" s="7">
        <v>10</v>
      </c>
      <c r="B12" s="7">
        <v>96</v>
      </c>
      <c r="C12" s="9">
        <v>8.4653541666666707E-2</v>
      </c>
      <c r="D12" s="8">
        <v>0.11468851041666669</v>
      </c>
      <c r="E12" s="8">
        <v>4.8026281249999997E-2</v>
      </c>
      <c r="F12" s="8">
        <v>5.5959384784458728E-2</v>
      </c>
      <c r="G12" s="8">
        <v>3.1947448518630461E-2</v>
      </c>
      <c r="H12" s="8">
        <v>3.8530718750000012E-2</v>
      </c>
      <c r="I12" s="8">
        <v>3.6303936849052011E-2</v>
      </c>
      <c r="J12" s="8">
        <v>4.3784578744871523E-2</v>
      </c>
      <c r="K12" s="8">
        <v>2.918799813369918E-2</v>
      </c>
      <c r="L12" s="8">
        <v>4.1890635416666662E-2</v>
      </c>
      <c r="M12" s="8">
        <v>2.688917383320695E-2</v>
      </c>
      <c r="N12" s="8">
        <v>6.9326749999999965E-2</v>
      </c>
      <c r="O12" s="8">
        <v>2.7914759067240381E-2</v>
      </c>
      <c r="P12" s="8">
        <v>2.1420421204462348E-2</v>
      </c>
      <c r="Q12" s="8">
        <v>3.3792784120907728E-2</v>
      </c>
      <c r="R12" s="8">
        <v>1.3397506239935729E-2</v>
      </c>
      <c r="S12" s="8">
        <v>7.1053897094607049E-2</v>
      </c>
      <c r="T12" s="8">
        <v>4.7867716345524697E-2</v>
      </c>
      <c r="U12" s="8">
        <v>2.0367220553130991E-2</v>
      </c>
      <c r="V12" s="8">
        <v>4.5029990802848717E-2</v>
      </c>
      <c r="W12" s="8">
        <v>6.4039645833333325E-2</v>
      </c>
      <c r="X12" s="8">
        <v>0.10964075134733541</v>
      </c>
      <c r="Y12" s="8">
        <v>1.6788377251816099E-2</v>
      </c>
      <c r="Z12" s="8">
        <v>6.362368331557397E-2</v>
      </c>
      <c r="AA12" s="8">
        <v>2.691847942081162E-2</v>
      </c>
      <c r="AB12" s="8">
        <v>3.4689110551478157E-2</v>
      </c>
      <c r="AC12" s="8">
        <v>4.6772945626311249E-2</v>
      </c>
      <c r="AD12" s="8">
        <v>9.3919791666666787E-3</v>
      </c>
      <c r="AE12" s="8">
        <v>4.6437716666984021E-2</v>
      </c>
      <c r="AF12" s="8">
        <v>5.2012102776767682E-2</v>
      </c>
      <c r="AG12" s="8">
        <v>2.998214493272441E-2</v>
      </c>
      <c r="AH12" s="8">
        <v>1.3405804649633229E-2</v>
      </c>
      <c r="AI12" s="8">
        <v>2.3246958333333331E-2</v>
      </c>
      <c r="AJ12" s="8">
        <v>1.298374754605458E-2</v>
      </c>
      <c r="AK12" s="8">
        <v>4.8123704152134412E-2</v>
      </c>
      <c r="AL12" s="8">
        <v>3.4105260416666672E-2</v>
      </c>
      <c r="AM12" s="8">
        <v>3.0086115612597931E-2</v>
      </c>
      <c r="AN12" s="8">
        <v>6.9233234313428524E-2</v>
      </c>
      <c r="AO12" s="8">
        <v>1.499547084312732E-2</v>
      </c>
      <c r="AP12" s="8">
        <v>3.3718344781849152E-2</v>
      </c>
      <c r="AQ12" s="8">
        <v>6.6816458333333302E-3</v>
      </c>
      <c r="AR12" s="8">
        <v>7.5043645833333256E-3</v>
      </c>
      <c r="AS12" s="8">
        <v>1.9976272910371209E-2</v>
      </c>
      <c r="AT12" s="8">
        <v>7.2195382352435097E-2</v>
      </c>
      <c r="AU12" s="8">
        <v>6.3410187500000006E-2</v>
      </c>
      <c r="AV12" s="8">
        <v>5.3715630656719707E-2</v>
      </c>
      <c r="AW12" s="8">
        <v>1.7169704763403071E-2</v>
      </c>
      <c r="AX12" s="8">
        <v>4.4696011972897853E-2</v>
      </c>
      <c r="AY12" s="8">
        <v>2.4955293067673249E-2</v>
      </c>
      <c r="AZ12" s="8">
        <v>6.6564250000000019E-2</v>
      </c>
      <c r="BA12" s="8">
        <v>7.1276302083333326E-2</v>
      </c>
      <c r="BB12" s="8">
        <v>2.9036654569641791E-2</v>
      </c>
      <c r="BC12" s="8">
        <v>2.669096629233754E-2</v>
      </c>
      <c r="BD12" s="8">
        <v>4.9233947916666673E-2</v>
      </c>
      <c r="BE12" s="8">
        <v>3.5368545142518727E-2</v>
      </c>
      <c r="BF12" s="8">
        <v>6.7616949247695318E-2</v>
      </c>
      <c r="BG12" s="8">
        <v>4.6757753881283733E-2</v>
      </c>
      <c r="BH12" s="8">
        <v>3.5079589029917008E-2</v>
      </c>
      <c r="BI12" s="8">
        <v>5.002125303099076E-2</v>
      </c>
      <c r="BJ12" s="8">
        <v>4.3422968749999992E-2</v>
      </c>
      <c r="BK12" s="8">
        <v>2.0075822916666659E-2</v>
      </c>
      <c r="BL12" s="8">
        <v>3.2129098300494131E-2</v>
      </c>
      <c r="BM12" s="8">
        <v>5.030568452332447E-2</v>
      </c>
      <c r="BN12" s="8">
        <v>1.9502249999999999E-2</v>
      </c>
      <c r="BO12" s="8">
        <v>2.4246310256236889E-2</v>
      </c>
      <c r="BP12" s="8">
        <v>2.6422499999999991E-2</v>
      </c>
      <c r="BQ12" s="8">
        <v>1.3896749618746689E-2</v>
      </c>
      <c r="BR12" s="8">
        <v>6.8693615147113224E-2</v>
      </c>
      <c r="BS12" s="8">
        <v>3.2642854888392712E-2</v>
      </c>
      <c r="BT12" s="8">
        <v>2.1288177083333332E-2</v>
      </c>
      <c r="BU12" s="8">
        <v>4.808319791666666E-2</v>
      </c>
      <c r="BV12" s="8">
        <v>4.2282389085929989E-2</v>
      </c>
      <c r="BW12" s="8">
        <v>4.4477003891650199E-2</v>
      </c>
      <c r="BX12" s="8">
        <v>1.598431249999999E-2</v>
      </c>
      <c r="BY12" s="8">
        <v>5.8929916357564061E-2</v>
      </c>
      <c r="BZ12" s="8">
        <v>4.5356945691272972E-2</v>
      </c>
      <c r="CA12" s="8">
        <v>3.4400287440342493E-2</v>
      </c>
      <c r="CB12" s="8">
        <v>7.2475718750000029E-2</v>
      </c>
      <c r="CC12" s="8">
        <v>6.5566041666666686E-2</v>
      </c>
      <c r="CD12" s="8">
        <v>0.1109336335844525</v>
      </c>
      <c r="CE12" s="8">
        <v>0.15400715625000011</v>
      </c>
      <c r="CF12" s="8">
        <v>2.776758341377213E-2</v>
      </c>
      <c r="CG12" s="8">
        <v>4.9277959963080598E-2</v>
      </c>
      <c r="CH12" s="8">
        <v>6.3297372377959904E-2</v>
      </c>
      <c r="CI12" s="8">
        <v>3.4655912412205718E-2</v>
      </c>
      <c r="CJ12" s="8">
        <v>5.4120066914195013E-2</v>
      </c>
      <c r="CK12" s="8">
        <v>5.6101440647790157E-2</v>
      </c>
      <c r="CL12" s="8">
        <v>0.1180156076696104</v>
      </c>
      <c r="CM12" s="8">
        <v>7.1708562500000045E-2</v>
      </c>
      <c r="CN12" s="8">
        <v>7.8465204010806394E-2</v>
      </c>
      <c r="CO12" s="8">
        <v>7.1291854166666654E-2</v>
      </c>
      <c r="CP12" s="8">
        <v>4.5299021467493747E-2</v>
      </c>
      <c r="CQ12" s="8">
        <v>6.2684347003574781E-2</v>
      </c>
      <c r="CR12" s="8">
        <v>5.7159986521513537E-2</v>
      </c>
      <c r="CS12" s="8">
        <v>9.7857359485265666E-4</v>
      </c>
      <c r="CT12" s="8">
        <v>3.2113958333333317E-2</v>
      </c>
      <c r="CU12" s="8">
        <v>7.4779529281356727E-2</v>
      </c>
      <c r="CV12" s="8">
        <v>6.5033306495688795E-2</v>
      </c>
      <c r="CW12" s="8">
        <v>1.303666937857764E-2</v>
      </c>
      <c r="CX12" s="8">
        <v>6.098988253699178E-2</v>
      </c>
      <c r="CY12" s="8">
        <v>4.6072656250000003E-2</v>
      </c>
      <c r="CZ12" s="8">
        <v>7.7792327339500603E-2</v>
      </c>
      <c r="DA12" s="8">
        <v>3.6978520833333327E-2</v>
      </c>
      <c r="DB12" s="8">
        <v>8.8981854166666707E-2</v>
      </c>
      <c r="DC12" s="8">
        <v>3.3973202874774677E-2</v>
      </c>
      <c r="DD12" s="8">
        <v>6.9960545734343321E-2</v>
      </c>
      <c r="DE12" s="8">
        <v>2.473764441509502E-2</v>
      </c>
      <c r="DF12" s="8">
        <v>5.5486104166666647E-2</v>
      </c>
      <c r="DG12" s="8">
        <v>4.6409979166666671E-2</v>
      </c>
      <c r="DH12" s="8">
        <v>6.1195427083333309E-2</v>
      </c>
      <c r="DI12" s="8">
        <v>5.9749010416666679E-2</v>
      </c>
      <c r="DJ12" s="8">
        <v>4.1378042935671558E-2</v>
      </c>
      <c r="DK12" s="8">
        <v>3.1928208333333333E-2</v>
      </c>
      <c r="DL12" s="8">
        <v>1.8669833333803058E-2</v>
      </c>
      <c r="DM12" s="8">
        <v>1.923761458333334E-2</v>
      </c>
      <c r="DN12" s="8">
        <v>4.2410365386064831E-2</v>
      </c>
      <c r="DO12" s="8">
        <v>3.0557260416666669E-2</v>
      </c>
      <c r="DP12" s="8">
        <v>5.9408694556660431E-2</v>
      </c>
      <c r="DQ12" s="8">
        <v>7.454064748047276E-2</v>
      </c>
      <c r="DR12" s="8">
        <v>1.8778943279386909E-2</v>
      </c>
      <c r="DS12" s="8">
        <v>6.9651010416666673E-2</v>
      </c>
      <c r="DT12" s="8">
        <v>2.481384156258671E-2</v>
      </c>
      <c r="DU12" s="8">
        <v>5.7230229166666681E-2</v>
      </c>
      <c r="DV12" s="8">
        <v>4.8550824477530688E-2</v>
      </c>
      <c r="DW12" s="8">
        <v>4.4967552083333348E-2</v>
      </c>
      <c r="DX12" s="8">
        <v>5.0152080542361532E-2</v>
      </c>
      <c r="DY12" s="8">
        <v>5.3145312500000007E-2</v>
      </c>
      <c r="DZ12" s="8">
        <v>6.2268437500000041E-3</v>
      </c>
      <c r="EA12" s="8">
        <v>0.113127041749137</v>
      </c>
      <c r="EB12" s="8">
        <v>3.052577681784165E-2</v>
      </c>
      <c r="EC12" s="8">
        <v>2.6651509579665299E-2</v>
      </c>
      <c r="ED12" s="8">
        <v>6.050815280848415E-2</v>
      </c>
      <c r="EE12" s="8">
        <v>2.6506687500000001E-2</v>
      </c>
      <c r="EF12" s="8">
        <v>2.9233395833333311E-2</v>
      </c>
    </row>
    <row r="13" spans="1:136">
      <c r="A13" s="7">
        <v>20</v>
      </c>
      <c r="B13" s="7">
        <v>48</v>
      </c>
      <c r="C13" s="6">
        <v>0.10411314583333341</v>
      </c>
      <c r="D13" s="5">
        <v>0.12374510416666661</v>
      </c>
      <c r="E13" s="5">
        <v>6.9861291666666658E-2</v>
      </c>
      <c r="F13" s="5">
        <v>5.9986526692922967E-2</v>
      </c>
      <c r="G13" s="5">
        <v>1.2047404300105931E-2</v>
      </c>
      <c r="H13" s="5">
        <v>2.999035416666665E-2</v>
      </c>
      <c r="I13" s="5">
        <v>3.2682862984722338E-2</v>
      </c>
      <c r="J13" s="5">
        <v>3.4549891969644697E-2</v>
      </c>
      <c r="K13" s="5">
        <v>6.0326139227570137E-2</v>
      </c>
      <c r="L13" s="5">
        <v>6.0251041666666613E-3</v>
      </c>
      <c r="M13" s="5">
        <v>3.2797582260047169E-3</v>
      </c>
      <c r="N13" s="5">
        <v>9.9806729166666677E-2</v>
      </c>
      <c r="O13" s="5">
        <v>1.7422698810949939E-2</v>
      </c>
      <c r="P13" s="5">
        <v>2.0856913061405559E-2</v>
      </c>
      <c r="Q13" s="5">
        <v>4.4218264227970053E-2</v>
      </c>
      <c r="R13" s="5">
        <v>6.4899101760743979E-3</v>
      </c>
      <c r="S13" s="5">
        <v>0.1229152980035506</v>
      </c>
      <c r="T13" s="5">
        <v>7.4234081511722602E-2</v>
      </c>
      <c r="U13" s="5">
        <v>5.4161075041694179E-2</v>
      </c>
      <c r="V13" s="5">
        <v>5.2779738900233658E-2</v>
      </c>
      <c r="W13" s="5">
        <v>7.5476395833333348E-2</v>
      </c>
      <c r="X13" s="5">
        <v>0.1211277708527381</v>
      </c>
      <c r="Y13" s="5">
        <v>2.6471883217342521E-2</v>
      </c>
      <c r="Z13" s="5">
        <v>7.842443480518356E-2</v>
      </c>
      <c r="AA13" s="5">
        <v>4.7712648450258188E-2</v>
      </c>
      <c r="AB13" s="5">
        <v>4.6678220121377283E-2</v>
      </c>
      <c r="AC13" s="5">
        <v>6.6771700381929838E-2</v>
      </c>
      <c r="AD13" s="5">
        <v>2.1543083333333331E-2</v>
      </c>
      <c r="AE13" s="5">
        <v>7.7071416726800679E-2</v>
      </c>
      <c r="AF13" s="5">
        <v>7.3281160828311181E-2</v>
      </c>
      <c r="AG13" s="5">
        <v>3.1681783055002889E-2</v>
      </c>
      <c r="AH13" s="5">
        <v>9.6413392395163916E-3</v>
      </c>
      <c r="AI13" s="5">
        <v>1.9910041666666659E-2</v>
      </c>
      <c r="AJ13" s="5">
        <v>-1.628046998827572E-2</v>
      </c>
      <c r="AK13" s="5">
        <v>6.5987912810655996E-2</v>
      </c>
      <c r="AL13" s="5">
        <v>2.2550104166666671E-2</v>
      </c>
      <c r="AM13" s="5">
        <v>4.6282443536828928E-2</v>
      </c>
      <c r="AN13" s="5">
        <v>0.10533023813603409</v>
      </c>
      <c r="AO13" s="5">
        <v>-1.7088466886353789E-3</v>
      </c>
      <c r="AP13" s="5">
        <v>5.9550840361997717E-2</v>
      </c>
      <c r="AQ13" s="5">
        <v>1.1081895833333331E-2</v>
      </c>
      <c r="AR13" s="5">
        <v>-9.2504166666666568E-3</v>
      </c>
      <c r="AS13" s="5">
        <v>2.340496354159733E-2</v>
      </c>
      <c r="AT13" s="5">
        <v>8.6422914727599456E-2</v>
      </c>
      <c r="AU13" s="5">
        <v>7.6783979166666669E-2</v>
      </c>
      <c r="AV13" s="5">
        <v>7.9665975648470139E-2</v>
      </c>
      <c r="AW13" s="5">
        <v>2.682123797038095E-2</v>
      </c>
      <c r="AX13" s="5">
        <v>3.2799832135855793E-2</v>
      </c>
      <c r="AY13" s="5">
        <v>1.756434634862496E-2</v>
      </c>
      <c r="AZ13" s="5">
        <v>5.5450187500000012E-2</v>
      </c>
      <c r="BA13" s="5">
        <v>7.9829270833333327E-2</v>
      </c>
      <c r="BB13" s="5">
        <v>2.2547400974778999E-2</v>
      </c>
      <c r="BC13" s="5">
        <v>1.9110867274842121E-2</v>
      </c>
      <c r="BD13" s="5">
        <v>4.1676729166666669E-2</v>
      </c>
      <c r="BE13" s="5">
        <v>4.3773789385783142E-2</v>
      </c>
      <c r="BF13" s="5">
        <v>0.1216571432659557</v>
      </c>
      <c r="BG13" s="5">
        <v>8.8397545856320814E-2</v>
      </c>
      <c r="BH13" s="5">
        <v>4.1023656192191983E-2</v>
      </c>
      <c r="BI13" s="5">
        <v>5.2409132456701382E-2</v>
      </c>
      <c r="BJ13" s="5">
        <v>5.1452562499999993E-2</v>
      </c>
      <c r="BK13" s="5">
        <v>2.5126020833333328E-2</v>
      </c>
      <c r="BL13" s="5">
        <v>3.4460040448450822E-2</v>
      </c>
      <c r="BM13" s="5">
        <v>5.3371768695190711E-2</v>
      </c>
      <c r="BN13" s="5">
        <v>-4.8578333333333251E-3</v>
      </c>
      <c r="BO13" s="5">
        <v>3.0878716233474109E-2</v>
      </c>
      <c r="BP13" s="5">
        <v>7.9520416666666559E-3</v>
      </c>
      <c r="BQ13" s="5">
        <v>4.1653063789425779E-2</v>
      </c>
      <c r="BR13" s="5">
        <v>7.9831456823332952E-2</v>
      </c>
      <c r="BS13" s="5">
        <v>4.0180514361416918E-2</v>
      </c>
      <c r="BT13" s="5">
        <v>3.3667895833333343E-2</v>
      </c>
      <c r="BU13" s="5">
        <v>7.4658166666666678E-2</v>
      </c>
      <c r="BV13" s="5">
        <v>7.9930834101057502E-2</v>
      </c>
      <c r="BW13" s="5">
        <v>7.5714005636679529E-2</v>
      </c>
      <c r="BX13" s="5">
        <v>1.47710416666667E-3</v>
      </c>
      <c r="BY13" s="5">
        <v>3.9201956575141389E-2</v>
      </c>
      <c r="BZ13" s="5">
        <v>7.6138123059050211E-2</v>
      </c>
      <c r="CA13" s="5">
        <v>3.3531565600396843E-2</v>
      </c>
      <c r="CB13" s="5">
        <v>0.1204269166666667</v>
      </c>
      <c r="CC13" s="5">
        <v>0.1201179166666667</v>
      </c>
      <c r="CD13" s="5">
        <v>0.1050858328923274</v>
      </c>
      <c r="CE13" s="5">
        <v>0.1838277291666667</v>
      </c>
      <c r="CF13" s="5">
        <v>4.4514266725069238E-2</v>
      </c>
      <c r="CG13" s="5">
        <v>5.8014967807239318E-2</v>
      </c>
      <c r="CH13" s="5">
        <v>5.8334611827207158E-2</v>
      </c>
      <c r="CI13" s="5">
        <v>5.1853509134263308E-2</v>
      </c>
      <c r="CJ13" s="5">
        <v>5.481018067884004E-2</v>
      </c>
      <c r="CK13" s="5">
        <v>6.568712626679736E-2</v>
      </c>
      <c r="CL13" s="5">
        <v>8.1453366102180805E-2</v>
      </c>
      <c r="CM13" s="5">
        <v>0.1014523333333333</v>
      </c>
      <c r="CN13" s="5">
        <v>0.1009941666481943</v>
      </c>
      <c r="CO13" s="5">
        <v>8.5566145833333315E-2</v>
      </c>
      <c r="CP13" s="5">
        <v>6.9726540277734339E-2</v>
      </c>
      <c r="CQ13" s="5">
        <v>7.1178864968403879E-2</v>
      </c>
      <c r="CR13" s="5">
        <v>0.11164488638047471</v>
      </c>
      <c r="CS13" s="5">
        <v>9.5676536651352929E-3</v>
      </c>
      <c r="CT13" s="5">
        <v>4.3462166666666698E-2</v>
      </c>
      <c r="CU13" s="5">
        <v>0.1070909617136373</v>
      </c>
      <c r="CV13" s="5">
        <v>7.7656051256972655E-2</v>
      </c>
      <c r="CW13" s="5">
        <v>3.6309119756433333E-2</v>
      </c>
      <c r="CX13" s="5">
        <v>6.0033255240053027E-2</v>
      </c>
      <c r="CY13" s="5">
        <v>6.2296645833333331E-2</v>
      </c>
      <c r="CZ13" s="5">
        <v>5.7224220353485122E-2</v>
      </c>
      <c r="DA13" s="5">
        <v>4.9445770833333333E-2</v>
      </c>
      <c r="DB13" s="5">
        <v>0.10623525</v>
      </c>
      <c r="DC13" s="5">
        <v>2.9775565878292928E-2</v>
      </c>
      <c r="DD13" s="5">
        <v>6.8977058924383453E-2</v>
      </c>
      <c r="DE13" s="5">
        <v>2.2441996429236069E-2</v>
      </c>
      <c r="DF13" s="5">
        <v>8.3122687499999987E-2</v>
      </c>
      <c r="DG13" s="5">
        <v>4.772931250000001E-2</v>
      </c>
      <c r="DH13" s="5">
        <v>8.8720708333333301E-2</v>
      </c>
      <c r="DI13" s="5">
        <v>8.9748124999999984E-2</v>
      </c>
      <c r="DJ13" s="5">
        <v>7.0211236155579941E-3</v>
      </c>
      <c r="DK13" s="5">
        <v>1.9386395833333341E-2</v>
      </c>
      <c r="DL13" s="5">
        <v>2.2050690678088229E-2</v>
      </c>
      <c r="DM13" s="5">
        <v>-5.319583333333322E-4</v>
      </c>
      <c r="DN13" s="5">
        <v>1.1499577922513139E-2</v>
      </c>
      <c r="DO13" s="5">
        <v>3.7863854166666669E-2</v>
      </c>
      <c r="DP13" s="5">
        <v>5.8032308890701628E-2</v>
      </c>
      <c r="DQ13" s="5">
        <v>8.712901139257051E-2</v>
      </c>
      <c r="DR13" s="5">
        <v>1.377120927231194E-2</v>
      </c>
      <c r="DS13" s="5">
        <v>6.8596687500000003E-2</v>
      </c>
      <c r="DT13" s="5">
        <v>2.9845809161003281E-2</v>
      </c>
      <c r="DU13" s="5">
        <v>3.3005958333333342E-2</v>
      </c>
      <c r="DV13" s="5">
        <v>7.9620144024188558E-2</v>
      </c>
      <c r="DW13" s="5">
        <v>4.2028479166666688E-2</v>
      </c>
      <c r="DX13" s="5">
        <v>6.4523379578496173E-2</v>
      </c>
      <c r="DY13" s="5">
        <v>5.698114583333333E-2</v>
      </c>
      <c r="DZ13" s="5">
        <v>1.830197916666667E-2</v>
      </c>
      <c r="EA13" s="5">
        <v>0.1244689581490709</v>
      </c>
      <c r="EB13" s="5">
        <v>5.7205292748389078E-2</v>
      </c>
      <c r="EC13" s="5">
        <v>4.1659753435228923E-2</v>
      </c>
      <c r="ED13" s="5">
        <v>6.5682093659234955E-2</v>
      </c>
      <c r="EE13" s="5">
        <v>4.1234374999999997E-2</v>
      </c>
      <c r="EF13" s="5">
        <v>4.4513041666666663E-2</v>
      </c>
    </row>
    <row r="14" spans="1:136">
      <c r="A14" s="7">
        <v>50</v>
      </c>
      <c r="B14" s="7">
        <v>19</v>
      </c>
      <c r="C14" s="6">
        <v>0.1199416315789474</v>
      </c>
      <c r="D14" s="5">
        <v>0.22230878947368421</v>
      </c>
      <c r="E14" s="5">
        <v>9.8768157894736849E-2</v>
      </c>
      <c r="F14" s="5">
        <v>6.0341904906032563E-2</v>
      </c>
      <c r="G14" s="5">
        <v>5.3656630442780677E-2</v>
      </c>
      <c r="H14" s="5">
        <v>5.9588947368421033E-2</v>
      </c>
      <c r="I14" s="5">
        <v>4.3787359823142302E-2</v>
      </c>
      <c r="J14" s="5">
        <v>2.330997196491089E-2</v>
      </c>
      <c r="K14" s="5">
        <v>5.0827466260847963E-2</v>
      </c>
      <c r="L14" s="5">
        <v>8.480210526315788E-3</v>
      </c>
      <c r="M14" s="5">
        <v>-1.902171446498398E-2</v>
      </c>
      <c r="N14" s="5">
        <v>0.20483268421052631</v>
      </c>
      <c r="O14" s="5">
        <v>1.4944079385485289E-3</v>
      </c>
      <c r="P14" s="5">
        <v>5.8345921898241233E-2</v>
      </c>
      <c r="Q14" s="5">
        <v>0.12410387117144869</v>
      </c>
      <c r="R14" s="5">
        <v>-1.5941187297101821E-2</v>
      </c>
      <c r="S14" s="5">
        <v>0.1658932271847087</v>
      </c>
      <c r="T14" s="5">
        <v>3.5019554834400057E-2</v>
      </c>
      <c r="U14" s="5">
        <v>0.1042666646356476</v>
      </c>
      <c r="V14" s="5">
        <v>2.0089127185378371E-2</v>
      </c>
      <c r="W14" s="5">
        <v>0.1161653684210526</v>
      </c>
      <c r="X14" s="5">
        <v>0.1866856956103469</v>
      </c>
      <c r="Y14" s="5">
        <v>5.2198745955319217E-3</v>
      </c>
      <c r="Z14" s="5">
        <v>3.8511926280307661E-2</v>
      </c>
      <c r="AA14" s="5">
        <v>9.9905879497324754E-2</v>
      </c>
      <c r="AB14" s="5">
        <v>7.0769377347230211E-2</v>
      </c>
      <c r="AC14" s="5">
        <v>-3.086562338789272E-3</v>
      </c>
      <c r="AD14" s="5">
        <v>3.9327947368421053E-2</v>
      </c>
      <c r="AE14" s="5">
        <v>0.11683691983956609</v>
      </c>
      <c r="AF14" s="5">
        <v>9.6080095456633624E-2</v>
      </c>
      <c r="AG14" s="5">
        <v>2.0520894646562499E-2</v>
      </c>
      <c r="AH14" s="5">
        <v>5.250277930506024E-3</v>
      </c>
      <c r="AI14" s="5">
        <v>1.0965315789473681E-2</v>
      </c>
      <c r="AJ14" s="5">
        <v>1.505903608315101E-2</v>
      </c>
      <c r="AK14" s="5">
        <v>7.6911430858302002E-2</v>
      </c>
      <c r="AL14" s="5">
        <v>1.8559105263157901E-2</v>
      </c>
      <c r="AM14" s="5">
        <v>6.1242166378625243E-2</v>
      </c>
      <c r="AN14" s="5">
        <v>9.8594666769543718E-2</v>
      </c>
      <c r="AO14" s="5">
        <v>-3.804435254206133E-2</v>
      </c>
      <c r="AP14" s="5">
        <v>6.9976525152084204E-2</v>
      </c>
      <c r="AQ14" s="5">
        <v>8.1264210526315814E-3</v>
      </c>
      <c r="AR14" s="5">
        <v>-1.8170473684210521E-2</v>
      </c>
      <c r="AS14" s="5">
        <v>-6.6693383896894304E-3</v>
      </c>
      <c r="AT14" s="5">
        <v>7.9403479710638047E-2</v>
      </c>
      <c r="AU14" s="5">
        <v>0.13785310526315789</v>
      </c>
      <c r="AV14" s="5">
        <v>6.6258749216258558E-2</v>
      </c>
      <c r="AW14" s="5">
        <v>5.3928681229427317E-2</v>
      </c>
      <c r="AX14" s="5">
        <v>1.9370213375490559E-2</v>
      </c>
      <c r="AY14" s="5">
        <v>1.5068118771761551E-2</v>
      </c>
      <c r="AZ14" s="5">
        <v>2.5628999999999999E-2</v>
      </c>
      <c r="BA14" s="5">
        <v>9.6337421052631572E-2</v>
      </c>
      <c r="BB14" s="5">
        <v>0.1103112489011205</v>
      </c>
      <c r="BC14" s="5">
        <v>-2.8505683499306111E-2</v>
      </c>
      <c r="BD14" s="5">
        <v>1.6418894736842111E-2</v>
      </c>
      <c r="BE14" s="5">
        <v>7.0081770149328954E-2</v>
      </c>
      <c r="BF14" s="5">
        <v>0.15382926157400831</v>
      </c>
      <c r="BG14" s="5">
        <v>0.12530530643958979</v>
      </c>
      <c r="BH14" s="5">
        <v>7.3413464178725074E-2</v>
      </c>
      <c r="BI14" s="5">
        <v>5.0185212890853773E-2</v>
      </c>
      <c r="BJ14" s="5">
        <v>2.401789473684211E-2</v>
      </c>
      <c r="BK14" s="5">
        <v>-3.3237210526315772E-2</v>
      </c>
      <c r="BL14" s="5">
        <v>5.9996895527440267E-2</v>
      </c>
      <c r="BM14" s="5">
        <v>4.6278325003000387E-2</v>
      </c>
      <c r="BN14" s="5">
        <v>-4.657684210526316E-2</v>
      </c>
      <c r="BO14" s="5">
        <v>3.3609045677264478E-2</v>
      </c>
      <c r="BP14" s="5">
        <v>-5.033168421052632E-2</v>
      </c>
      <c r="BQ14" s="5">
        <v>1.584352386995078E-2</v>
      </c>
      <c r="BR14" s="5">
        <v>0.10005242307538641</v>
      </c>
      <c r="BS14" s="5">
        <v>3.033272398677064E-2</v>
      </c>
      <c r="BT14" s="5">
        <v>-1.528831578947369E-2</v>
      </c>
      <c r="BU14" s="5">
        <v>0.11116010526315789</v>
      </c>
      <c r="BV14" s="5">
        <v>0.10798163319999469</v>
      </c>
      <c r="BW14" s="5">
        <v>0.13089750855718521</v>
      </c>
      <c r="BX14" s="5">
        <v>-3.0736842105263262E-4</v>
      </c>
      <c r="BY14" s="5">
        <v>-4.2604489653349287E-2</v>
      </c>
      <c r="BZ14" s="5">
        <v>6.0034056828782267E-2</v>
      </c>
      <c r="CA14" s="5">
        <v>2.446526611493707E-2</v>
      </c>
      <c r="CB14" s="5">
        <v>0.16446578947368409</v>
      </c>
      <c r="CC14" s="5">
        <v>0.1205952105263158</v>
      </c>
      <c r="CD14" s="5">
        <v>9.8016709932197757E-2</v>
      </c>
      <c r="CE14" s="5">
        <v>0.1705548421052632</v>
      </c>
      <c r="CF14" s="5">
        <v>9.2330683282061565E-2</v>
      </c>
      <c r="CG14" s="5">
        <v>5.7320663667820577E-2</v>
      </c>
      <c r="CH14" s="5">
        <v>6.46613922782171E-2</v>
      </c>
      <c r="CI14" s="5">
        <v>0.1058847773633588</v>
      </c>
      <c r="CJ14" s="5">
        <v>1.7796116349141359E-2</v>
      </c>
      <c r="CK14" s="5">
        <v>5.3792086513992962E-2</v>
      </c>
      <c r="CL14" s="5">
        <v>6.2269954878836478E-2</v>
      </c>
      <c r="CM14" s="5">
        <v>0.1100678421052631</v>
      </c>
      <c r="CN14" s="5">
        <v>0.17459567468505729</v>
      </c>
      <c r="CO14" s="5">
        <v>0.17324926315789471</v>
      </c>
      <c r="CP14" s="5">
        <v>9.9809331481752833E-2</v>
      </c>
      <c r="CQ14" s="5">
        <v>3.2227899887387702E-2</v>
      </c>
      <c r="CR14" s="5">
        <v>0.207719712590648</v>
      </c>
      <c r="CS14" s="5">
        <v>-4.4126335332496502E-3</v>
      </c>
      <c r="CT14" s="5">
        <v>6.1872210526315793E-2</v>
      </c>
      <c r="CU14" s="5">
        <v>0.1015449999567145</v>
      </c>
      <c r="CV14" s="5">
        <v>0.1513968411576333</v>
      </c>
      <c r="CW14" s="5">
        <v>4.476388444326003E-2</v>
      </c>
      <c r="CX14" s="5">
        <v>3.6299408888239168E-2</v>
      </c>
      <c r="CY14" s="5">
        <v>5.0138052631578972E-2</v>
      </c>
      <c r="CZ14" s="5">
        <v>6.4063563350383365E-2</v>
      </c>
      <c r="DA14" s="5">
        <v>6.5392578947368413E-2</v>
      </c>
      <c r="DB14" s="5">
        <v>0.104608052631579</v>
      </c>
      <c r="DC14" s="5">
        <v>2.3632609204847509E-2</v>
      </c>
      <c r="DD14" s="5">
        <v>7.920535184818453E-2</v>
      </c>
      <c r="DE14" s="5">
        <v>6.2526924006459011E-2</v>
      </c>
      <c r="DF14" s="5">
        <v>0.20156447368421049</v>
      </c>
      <c r="DG14" s="5">
        <v>4.5583631578947383E-2</v>
      </c>
      <c r="DH14" s="5">
        <v>5.8742578947368403E-2</v>
      </c>
      <c r="DI14" s="5">
        <v>8.6646789473684205E-2</v>
      </c>
      <c r="DJ14" s="5">
        <v>8.7940293873207658E-3</v>
      </c>
      <c r="DK14" s="5">
        <v>8.1621684210526332E-2</v>
      </c>
      <c r="DL14" s="5">
        <v>4.0754871831899041E-2</v>
      </c>
      <c r="DM14" s="5">
        <v>1.120684210526305E-3</v>
      </c>
      <c r="DN14" s="5">
        <v>4.2662495893264311E-2</v>
      </c>
      <c r="DO14" s="5">
        <v>0.102592</v>
      </c>
      <c r="DP14" s="5">
        <v>6.2914808070300282E-2</v>
      </c>
      <c r="DQ14" s="5">
        <v>7.1172564581132955E-2</v>
      </c>
      <c r="DR14" s="5">
        <v>5.2622519458999567E-2</v>
      </c>
      <c r="DS14" s="5">
        <v>5.6051684210526309E-2</v>
      </c>
      <c r="DT14" s="5">
        <v>7.7542903390828534E-3</v>
      </c>
      <c r="DU14" s="5">
        <v>6.8796263157894735E-2</v>
      </c>
      <c r="DV14" s="5">
        <v>0.1082623545301073</v>
      </c>
      <c r="DW14" s="5">
        <v>1.809894736842108E-3</v>
      </c>
      <c r="DX14" s="5">
        <v>0.1019315055524211</v>
      </c>
      <c r="DY14" s="5">
        <v>7.4257842105263164E-2</v>
      </c>
      <c r="DZ14" s="5">
        <v>3.5030894736842108E-2</v>
      </c>
      <c r="EA14" s="5">
        <v>6.2912684572741601E-2</v>
      </c>
      <c r="EB14" s="5">
        <v>7.8179830700263173E-2</v>
      </c>
      <c r="EC14" s="5">
        <v>6.0793821481329897E-3</v>
      </c>
      <c r="ED14" s="5">
        <v>0.102629709186187</v>
      </c>
      <c r="EE14" s="5">
        <v>-3.399263157894739E-3</v>
      </c>
      <c r="EF14" s="5">
        <v>2.5524210526315781E-2</v>
      </c>
    </row>
    <row r="15" spans="1:136">
      <c r="A15" s="7">
        <v>100</v>
      </c>
      <c r="B15" s="7">
        <v>10</v>
      </c>
      <c r="C15" s="6">
        <v>0.22764509999999999</v>
      </c>
      <c r="D15" s="5">
        <v>0.37270970000000009</v>
      </c>
      <c r="E15" s="5">
        <v>6.2044600000000012E-2</v>
      </c>
      <c r="F15" s="5">
        <v>-3.4921436556697362E-2</v>
      </c>
      <c r="G15" s="5">
        <v>3.4403920967036511E-2</v>
      </c>
      <c r="H15" s="5">
        <v>0.1188444</v>
      </c>
      <c r="I15" s="5">
        <v>5.843144427986554E-2</v>
      </c>
      <c r="J15" s="5">
        <v>4.9961465247389647E-2</v>
      </c>
      <c r="K15" s="5">
        <v>9.4514797591930877E-2</v>
      </c>
      <c r="L15" s="5">
        <v>-1.296690000000001E-2</v>
      </c>
      <c r="M15" s="5">
        <v>-2.1330164362876949E-3</v>
      </c>
      <c r="N15" s="5">
        <v>0.33030959999999998</v>
      </c>
      <c r="O15" s="5">
        <v>-1.227079575915271E-2</v>
      </c>
      <c r="P15" s="5">
        <v>6.4116183021661763E-2</v>
      </c>
      <c r="Q15" s="5">
        <v>0.15553684210781249</v>
      </c>
      <c r="R15" s="5">
        <v>-5.2129690105117463E-2</v>
      </c>
      <c r="S15" s="5">
        <v>0.27000789508215378</v>
      </c>
      <c r="T15" s="5">
        <v>4.589107711718423E-2</v>
      </c>
      <c r="U15" s="5">
        <v>0.1369680616672688</v>
      </c>
      <c r="V15" s="5">
        <v>-1.713185334811276E-2</v>
      </c>
      <c r="W15" s="5">
        <v>0.1069346</v>
      </c>
      <c r="X15" s="5">
        <v>0.2111863273303817</v>
      </c>
      <c r="Y15" s="5">
        <v>-2.0629974365819839E-2</v>
      </c>
      <c r="Z15" s="5">
        <v>4.6719972053358677E-2</v>
      </c>
      <c r="AA15" s="5">
        <v>0.16085038421306441</v>
      </c>
      <c r="AB15" s="5">
        <v>8.370017251583052E-2</v>
      </c>
      <c r="AC15" s="5">
        <v>4.3176688480551298E-3</v>
      </c>
      <c r="AD15" s="5">
        <v>3.9690400000000001E-2</v>
      </c>
      <c r="AE15" s="5">
        <v>0.21179264304727199</v>
      </c>
      <c r="AF15" s="5">
        <v>0.13772628717765439</v>
      </c>
      <c r="AG15" s="5">
        <v>1.012347826165556E-2</v>
      </c>
      <c r="AH15" s="5">
        <v>-3.3604373357676472E-2</v>
      </c>
      <c r="AI15" s="5">
        <v>7.4277400000000007E-2</v>
      </c>
      <c r="AJ15" s="5">
        <v>9.4648599674757375E-3</v>
      </c>
      <c r="AK15" s="5">
        <v>6.1759619658444932E-2</v>
      </c>
      <c r="AL15" s="5">
        <v>-6.8827999999999997E-3</v>
      </c>
      <c r="AM15" s="5">
        <v>5.5122622134627111E-2</v>
      </c>
      <c r="AN15" s="5">
        <v>0.10168870591238351</v>
      </c>
      <c r="AO15" s="5">
        <v>-5.1384520239967417E-2</v>
      </c>
      <c r="AP15" s="5">
        <v>7.8285693892754235E-2</v>
      </c>
      <c r="AQ15" s="5">
        <v>1.9747299999999999E-2</v>
      </c>
      <c r="AR15" s="5">
        <v>-2.4550300000000001E-2</v>
      </c>
      <c r="AS15" s="5">
        <v>-4.8733221354101797E-2</v>
      </c>
      <c r="AT15" s="5">
        <v>7.098981260370496E-2</v>
      </c>
      <c r="AU15" s="5">
        <v>0.16710900000000001</v>
      </c>
      <c r="AV15" s="5">
        <v>3.7297928699110451E-2</v>
      </c>
      <c r="AW15" s="5">
        <v>9.1727472793350737E-2</v>
      </c>
      <c r="AX15" s="5">
        <v>8.1360565954768135E-2</v>
      </c>
      <c r="AY15" s="5">
        <v>2.8017064110032911E-2</v>
      </c>
      <c r="AZ15" s="5">
        <v>3.6848099999999988E-2</v>
      </c>
      <c r="BA15" s="5">
        <v>0.1576883</v>
      </c>
      <c r="BB15" s="5">
        <v>0.1977131495043408</v>
      </c>
      <c r="BC15" s="5">
        <v>-3.0936691622350049E-2</v>
      </c>
      <c r="BD15" s="5">
        <v>7.3647000000000018E-3</v>
      </c>
      <c r="BE15" s="5">
        <v>4.1397970696908107E-2</v>
      </c>
      <c r="BF15" s="5">
        <v>0.2108720874899874</v>
      </c>
      <c r="BG15" s="5">
        <v>0.16605121546459681</v>
      </c>
      <c r="BH15" s="5">
        <v>9.8649046406420665E-2</v>
      </c>
      <c r="BI15" s="5">
        <v>6.8586659114969639E-2</v>
      </c>
      <c r="BJ15" s="5">
        <v>7.5155000000000013E-2</v>
      </c>
      <c r="BK15" s="5">
        <v>-7.2869199999999995E-2</v>
      </c>
      <c r="BL15" s="5">
        <v>5.9755420974320878E-2</v>
      </c>
      <c r="BM15" s="5">
        <v>4.8219004487744091E-2</v>
      </c>
      <c r="BN15" s="5">
        <v>-6.60549E-2</v>
      </c>
      <c r="BO15" s="5">
        <v>2.773447595493098E-2</v>
      </c>
      <c r="BP15" s="5">
        <v>-5.161580000000001E-2</v>
      </c>
      <c r="BQ15" s="5">
        <v>1.280293129032776E-2</v>
      </c>
      <c r="BR15" s="5">
        <v>0.1237621364364551</v>
      </c>
      <c r="BS15" s="5">
        <v>1.1865910908611719E-2</v>
      </c>
      <c r="BT15" s="5">
        <v>3.6632600000000008E-2</v>
      </c>
      <c r="BU15" s="5">
        <v>8.5546499999999998E-2</v>
      </c>
      <c r="BV15" s="5">
        <v>0.1046400442936901</v>
      </c>
      <c r="BW15" s="5">
        <v>0.29887898957592779</v>
      </c>
      <c r="BX15" s="5">
        <v>2.3949999999999999E-2</v>
      </c>
      <c r="BY15" s="5">
        <v>-0.12602357357708691</v>
      </c>
      <c r="BZ15" s="5">
        <v>0.1029064689773473</v>
      </c>
      <c r="CA15" s="5">
        <v>1.859202079644226E-2</v>
      </c>
      <c r="CB15" s="5">
        <v>0.1310916</v>
      </c>
      <c r="CC15" s="5">
        <v>0.17364959999999999</v>
      </c>
      <c r="CD15" s="5">
        <v>0.1201520839630844</v>
      </c>
      <c r="CE15" s="5">
        <v>7.3367399999999999E-2</v>
      </c>
      <c r="CF15" s="5">
        <v>9.435665039342013E-2</v>
      </c>
      <c r="CG15" s="5">
        <v>8.5886021530163809E-2</v>
      </c>
      <c r="CH15" s="5">
        <v>6.2885958283701332E-2</v>
      </c>
      <c r="CI15" s="5">
        <v>3.8798414894980787E-2</v>
      </c>
      <c r="CJ15" s="5">
        <v>4.0671716947061162E-2</v>
      </c>
      <c r="CK15" s="5">
        <v>9.5640748172705348E-2</v>
      </c>
      <c r="CL15" s="5">
        <v>3.1421974993248308E-2</v>
      </c>
      <c r="CM15" s="5">
        <v>0.1081179</v>
      </c>
      <c r="CN15" s="5">
        <v>0.14314981697124041</v>
      </c>
      <c r="CO15" s="5">
        <v>0.17335990000000001</v>
      </c>
      <c r="CP15" s="5">
        <v>0.12753583543294969</v>
      </c>
      <c r="CQ15" s="5">
        <v>-2.49633604564388E-2</v>
      </c>
      <c r="CR15" s="5">
        <v>0.18148893223573509</v>
      </c>
      <c r="CS15" s="5">
        <v>6.4830510990456294E-3</v>
      </c>
      <c r="CT15" s="5">
        <v>3.22169E-2</v>
      </c>
      <c r="CU15" s="5">
        <v>0.12404993141386809</v>
      </c>
      <c r="CV15" s="5">
        <v>0.18261154771691629</v>
      </c>
      <c r="CW15" s="5">
        <v>2.6072090903126711E-2</v>
      </c>
      <c r="CX15" s="5">
        <v>2.4039607053330959E-2</v>
      </c>
      <c r="CY15" s="5">
        <v>5.5732899999999988E-2</v>
      </c>
      <c r="CZ15" s="5">
        <v>7.9886947944342257E-2</v>
      </c>
      <c r="DA15" s="5">
        <v>8.8861800000000005E-2</v>
      </c>
      <c r="DB15" s="5">
        <v>9.7047700000000001E-2</v>
      </c>
      <c r="DC15" s="5">
        <v>3.5075149974582137E-2</v>
      </c>
      <c r="DD15" s="5">
        <v>1.450672613144627E-2</v>
      </c>
      <c r="DE15" s="5">
        <v>5.7163634731252508E-2</v>
      </c>
      <c r="DF15" s="5">
        <v>0.30272159999999998</v>
      </c>
      <c r="DG15" s="5">
        <v>4.7917800000000003E-2</v>
      </c>
      <c r="DH15" s="5">
        <v>0.1296235</v>
      </c>
      <c r="DI15" s="5">
        <v>4.2810999999999988E-2</v>
      </c>
      <c r="DJ15" s="5">
        <v>6.0023776691057282E-2</v>
      </c>
      <c r="DK15" s="5">
        <v>0.100329</v>
      </c>
      <c r="DL15" s="5">
        <v>-3.0399320282783332E-4</v>
      </c>
      <c r="DM15" s="5">
        <v>-1.773500000000004E-3</v>
      </c>
      <c r="DN15" s="5">
        <v>4.3996497423619649E-2</v>
      </c>
      <c r="DO15" s="5">
        <v>0.15954560000000001</v>
      </c>
      <c r="DP15" s="5">
        <v>0.1343049473653663</v>
      </c>
      <c r="DQ15" s="5">
        <v>3.7038688952197418E-2</v>
      </c>
      <c r="DR15" s="5">
        <v>7.0010566617938433E-2</v>
      </c>
      <c r="DS15" s="5">
        <v>3.7529899999999991E-2</v>
      </c>
      <c r="DT15" s="5">
        <v>5.271878998906962E-2</v>
      </c>
      <c r="DU15" s="5">
        <v>0.1171285</v>
      </c>
      <c r="DV15" s="5">
        <v>0.13976835694087139</v>
      </c>
      <c r="DW15" s="5">
        <v>-6.08268E-2</v>
      </c>
      <c r="DX15" s="5">
        <v>0.1186162506499864</v>
      </c>
      <c r="DY15" s="5">
        <v>0.1436096</v>
      </c>
      <c r="DZ15" s="5">
        <v>4.0455199999999997E-2</v>
      </c>
      <c r="EA15" s="5">
        <v>4.3451220280325303E-2</v>
      </c>
      <c r="EB15" s="5">
        <v>8.8087449527254891E-2</v>
      </c>
      <c r="EC15" s="5">
        <v>6.6081856047946447E-2</v>
      </c>
      <c r="ED15" s="5">
        <v>0.1133570559353114</v>
      </c>
      <c r="EE15" s="5">
        <v>3.1901999999999998E-3</v>
      </c>
      <c r="EF15" s="5">
        <v>2.96441E-2</v>
      </c>
    </row>
    <row r="16" spans="1:136">
      <c r="A16" s="7">
        <v>107</v>
      </c>
      <c r="B16" s="7">
        <v>9</v>
      </c>
      <c r="C16" s="6">
        <v>0.20787511111111109</v>
      </c>
      <c r="D16" s="5">
        <v>0.40819544444444439</v>
      </c>
      <c r="E16" s="5">
        <v>6.5004888888888904E-2</v>
      </c>
      <c r="F16" s="5">
        <v>-7.871547190433098E-2</v>
      </c>
      <c r="G16" s="5">
        <v>8.1465506589492725E-3</v>
      </c>
      <c r="H16" s="5">
        <v>7.2848777777777762E-2</v>
      </c>
      <c r="I16" s="5">
        <v>5.7530618665621432E-2</v>
      </c>
      <c r="J16" s="5">
        <v>4.6709926042666168E-2</v>
      </c>
      <c r="K16" s="5">
        <v>8.642089158239058E-2</v>
      </c>
      <c r="L16" s="5">
        <v>-3.1026555555555561E-2</v>
      </c>
      <c r="M16" s="5">
        <v>-1.3987435861917089E-2</v>
      </c>
      <c r="N16" s="5">
        <v>0.36698788888888889</v>
      </c>
      <c r="O16" s="5">
        <v>-2.8587076878979191E-2</v>
      </c>
      <c r="P16" s="5">
        <v>6.1045231791422308E-2</v>
      </c>
      <c r="Q16" s="5">
        <v>0.15790307042433799</v>
      </c>
      <c r="R16" s="5">
        <v>-4.899097828292652E-2</v>
      </c>
      <c r="S16" s="5">
        <v>0.28706302039879478</v>
      </c>
      <c r="T16" s="5">
        <v>3.8406673293611998E-2</v>
      </c>
      <c r="U16" s="5">
        <v>0.1300624714297445</v>
      </c>
      <c r="V16" s="5">
        <v>-6.0221453329656824E-3</v>
      </c>
      <c r="W16" s="5">
        <v>7.8373444444444454E-2</v>
      </c>
      <c r="X16" s="5">
        <v>0.24053196162716611</v>
      </c>
      <c r="Y16" s="5">
        <v>-2.0180588419635579E-2</v>
      </c>
      <c r="Z16" s="5">
        <v>4.3057930884211712E-2</v>
      </c>
      <c r="AA16" s="5">
        <v>0.16615889129731709</v>
      </c>
      <c r="AB16" s="5">
        <v>7.4985041637980393E-2</v>
      </c>
      <c r="AC16" s="5">
        <v>-1.27654480354167E-2</v>
      </c>
      <c r="AD16" s="5">
        <v>3.4810999999999988E-2</v>
      </c>
      <c r="AE16" s="5">
        <v>0.20962824117691051</v>
      </c>
      <c r="AF16" s="5">
        <v>0.14791561026442651</v>
      </c>
      <c r="AG16" s="5">
        <v>1.32907530365354E-2</v>
      </c>
      <c r="AH16" s="5">
        <v>-3.1765400449440553E-2</v>
      </c>
      <c r="AI16" s="5">
        <v>9.052311111111111E-2</v>
      </c>
      <c r="AJ16" s="5">
        <v>-7.0259660718760518E-3</v>
      </c>
      <c r="AK16" s="5">
        <v>6.4421400832372078E-2</v>
      </c>
      <c r="AL16" s="5">
        <v>-1.4473666666666669E-2</v>
      </c>
      <c r="AM16" s="5">
        <v>6.6076730601797973E-2</v>
      </c>
      <c r="AN16" s="5">
        <v>0.1064562000896756</v>
      </c>
      <c r="AO16" s="5">
        <v>-4.1090153361741252E-2</v>
      </c>
      <c r="AP16" s="5">
        <v>7.779836814558852E-2</v>
      </c>
      <c r="AQ16" s="5">
        <v>2.403255555555555E-2</v>
      </c>
      <c r="AR16" s="5">
        <v>-3.2492222222222207E-2</v>
      </c>
      <c r="AS16" s="5">
        <v>-5.2642718238233757E-2</v>
      </c>
      <c r="AT16" s="5">
        <v>0.1225640433502848</v>
      </c>
      <c r="AU16" s="5">
        <v>0.17023655555555561</v>
      </c>
      <c r="AV16" s="5">
        <v>5.2080835436737513E-2</v>
      </c>
      <c r="AW16" s="5">
        <v>0.10898493864152869</v>
      </c>
      <c r="AX16" s="5">
        <v>0.1006213291014028</v>
      </c>
      <c r="AY16" s="5">
        <v>3.3812589844345937E-2</v>
      </c>
      <c r="AZ16" s="5">
        <v>4.6827888888888877E-2</v>
      </c>
      <c r="BA16" s="5">
        <v>0.15999111111111111</v>
      </c>
      <c r="BB16" s="5">
        <v>0.22547356307573951</v>
      </c>
      <c r="BC16" s="5">
        <v>-3.8999391922231702E-2</v>
      </c>
      <c r="BD16" s="5">
        <v>6.2841111111111118E-3</v>
      </c>
      <c r="BE16" s="5">
        <v>6.1197643926459287E-2</v>
      </c>
      <c r="BF16" s="5">
        <v>0.24778685910046011</v>
      </c>
      <c r="BG16" s="5">
        <v>0.16122956958435061</v>
      </c>
      <c r="BH16" s="5">
        <v>9.6162034507733696E-2</v>
      </c>
      <c r="BI16" s="5">
        <v>4.1443807763261883E-2</v>
      </c>
      <c r="BJ16" s="5">
        <v>8.1428888888888912E-2</v>
      </c>
      <c r="BK16" s="5">
        <v>-0.1047732222222222</v>
      </c>
      <c r="BL16" s="5">
        <v>6.1173599484470167E-2</v>
      </c>
      <c r="BM16" s="5">
        <v>3.9497985491106162E-2</v>
      </c>
      <c r="BN16" s="5">
        <v>-6.7199333333333333E-2</v>
      </c>
      <c r="BO16" s="5">
        <v>2.1890359953657689E-2</v>
      </c>
      <c r="BP16" s="5">
        <v>-5.7748888888888898E-2</v>
      </c>
      <c r="BQ16" s="5">
        <v>1.6478016254928601E-2</v>
      </c>
      <c r="BR16" s="5">
        <v>0.13058296822502161</v>
      </c>
      <c r="BS16" s="5">
        <v>3.2006987192883168E-2</v>
      </c>
      <c r="BT16" s="5">
        <v>3.8065333333333347E-2</v>
      </c>
      <c r="BU16" s="5">
        <v>0.1015372222222222</v>
      </c>
      <c r="BV16" s="5">
        <v>3.658563792374666E-2</v>
      </c>
      <c r="BW16" s="5">
        <v>0.31797083453836722</v>
      </c>
      <c r="BX16" s="5">
        <v>2.4078888888888889E-2</v>
      </c>
      <c r="BY16" s="5">
        <v>-0.13255840925737919</v>
      </c>
      <c r="BZ16" s="5">
        <v>0.11152584850164921</v>
      </c>
      <c r="CA16" s="5">
        <v>2.971438975556321E-2</v>
      </c>
      <c r="CB16" s="5">
        <v>0.13930899999999999</v>
      </c>
      <c r="CC16" s="5">
        <v>4.4386333333333347E-2</v>
      </c>
      <c r="CD16" s="5">
        <v>0.15507127162636181</v>
      </c>
      <c r="CE16" s="5">
        <v>9.3613777777777768E-2</v>
      </c>
      <c r="CF16" s="5">
        <v>0.10520126400975099</v>
      </c>
      <c r="CG16" s="5">
        <v>6.1727878146666561E-2</v>
      </c>
      <c r="CH16" s="5">
        <v>4.1697414703027062E-2</v>
      </c>
      <c r="CI16" s="5">
        <v>3.8709881828517527E-2</v>
      </c>
      <c r="CJ16" s="5">
        <v>2.970338549376331E-2</v>
      </c>
      <c r="CK16" s="5">
        <v>8.8422689781607638E-2</v>
      </c>
      <c r="CL16" s="5">
        <v>1.5878682334709331E-2</v>
      </c>
      <c r="CM16" s="5">
        <v>0.1130543333333333</v>
      </c>
      <c r="CN16" s="5">
        <v>0.16035991631652741</v>
      </c>
      <c r="CO16" s="5">
        <v>0.20954700000000001</v>
      </c>
      <c r="CP16" s="5">
        <v>0.13663168948209131</v>
      </c>
      <c r="CQ16" s="5">
        <v>-2.0333779820360921E-2</v>
      </c>
      <c r="CR16" s="5">
        <v>0.1892865334673984</v>
      </c>
      <c r="CS16" s="5">
        <v>4.0852187594743329E-2</v>
      </c>
      <c r="CT16" s="5">
        <v>4.8903888888888879E-2</v>
      </c>
      <c r="CU16" s="5">
        <v>0.1354717008642061</v>
      </c>
      <c r="CV16" s="5">
        <v>0.17225152263848631</v>
      </c>
      <c r="CW16" s="5">
        <v>4.7341659174279828E-2</v>
      </c>
      <c r="CX16" s="5">
        <v>1.224028475424996E-2</v>
      </c>
      <c r="CY16" s="5">
        <v>5.8554555555555547E-2</v>
      </c>
      <c r="CZ16" s="5">
        <v>0.1026332591781325</v>
      </c>
      <c r="DA16" s="5">
        <v>0.11818055555555559</v>
      </c>
      <c r="DB16" s="5">
        <v>9.8016666666666655E-2</v>
      </c>
      <c r="DC16" s="5">
        <v>4.2942362320500277E-2</v>
      </c>
      <c r="DD16" s="5">
        <v>3.1743710487280023E-2</v>
      </c>
      <c r="DE16" s="5">
        <v>3.4552400358790022E-2</v>
      </c>
      <c r="DF16" s="5">
        <v>0.32558088888888892</v>
      </c>
      <c r="DG16" s="5">
        <v>4.5677000000000002E-2</v>
      </c>
      <c r="DH16" s="5">
        <v>0.13714944444444449</v>
      </c>
      <c r="DI16" s="5">
        <v>4.7828777777777769E-2</v>
      </c>
      <c r="DJ16" s="5">
        <v>7.0955052436885546E-2</v>
      </c>
      <c r="DK16" s="5">
        <v>9.6254333333333331E-2</v>
      </c>
      <c r="DL16" s="5">
        <v>-2.187287424977424E-2</v>
      </c>
      <c r="DM16" s="5">
        <v>-3.8135333333333327E-2</v>
      </c>
      <c r="DN16" s="5">
        <v>4.2437853359407113E-2</v>
      </c>
      <c r="DO16" s="5">
        <v>0.1695906666666667</v>
      </c>
      <c r="DP16" s="5">
        <v>0.16033399447581251</v>
      </c>
      <c r="DQ16" s="5">
        <v>4.7070156004531787E-2</v>
      </c>
      <c r="DR16" s="5">
        <v>5.5191251649515209E-2</v>
      </c>
      <c r="DS16" s="5">
        <v>2.143988888888888E-2</v>
      </c>
      <c r="DT16" s="5">
        <v>5.9112975078185963E-2</v>
      </c>
      <c r="DU16" s="5">
        <v>0.12277299999999999</v>
      </c>
      <c r="DV16" s="5">
        <v>0.13695373201779351</v>
      </c>
      <c r="DW16" s="5">
        <v>-7.1303111111111109E-2</v>
      </c>
      <c r="DX16" s="5">
        <v>0.1252847063239774</v>
      </c>
      <c r="DY16" s="5">
        <v>0.15757177777777781</v>
      </c>
      <c r="DZ16" s="5">
        <v>5.8810444444444457E-2</v>
      </c>
      <c r="EA16" s="5">
        <v>4.205152402439738E-4</v>
      </c>
      <c r="EB16" s="5">
        <v>0.1006791006772017</v>
      </c>
      <c r="EC16" s="5">
        <v>6.3532066634569728E-2</v>
      </c>
      <c r="ED16" s="5">
        <v>0.1154167474989211</v>
      </c>
      <c r="EE16" s="5">
        <v>4.3961111111111119E-3</v>
      </c>
      <c r="EF16" s="5">
        <v>3.4548444444444437E-2</v>
      </c>
    </row>
    <row r="17" spans="1:136">
      <c r="A17" s="7">
        <v>120</v>
      </c>
      <c r="B17" s="7">
        <v>8</v>
      </c>
      <c r="C17" s="6">
        <v>0.20609237499999999</v>
      </c>
      <c r="D17" s="5">
        <v>0.43958837499999998</v>
      </c>
      <c r="E17" s="5">
        <v>7.958800000000002E-2</v>
      </c>
      <c r="F17" s="5">
        <v>-8.0752164152319103E-2</v>
      </c>
      <c r="G17" s="5">
        <v>0.10538707466373071</v>
      </c>
      <c r="H17" s="5">
        <v>0.10499475</v>
      </c>
      <c r="I17" s="5">
        <v>0.1137250278021875</v>
      </c>
      <c r="J17" s="5">
        <v>4.1858395118229183E-2</v>
      </c>
      <c r="K17" s="5">
        <v>0.1015600797223099</v>
      </c>
      <c r="L17" s="5">
        <v>-3.3774875000000003E-2</v>
      </c>
      <c r="M17" s="5">
        <v>1.4659142090288421E-2</v>
      </c>
      <c r="N17" s="5">
        <v>0.40510825</v>
      </c>
      <c r="O17" s="5">
        <v>-1.1306676064132231E-2</v>
      </c>
      <c r="P17" s="5">
        <v>6.6339369138831011E-2</v>
      </c>
      <c r="Q17" s="5">
        <v>0.16180129461512691</v>
      </c>
      <c r="R17" s="5">
        <v>-5.2057608904527208E-2</v>
      </c>
      <c r="S17" s="5">
        <v>0.31065343265529821</v>
      </c>
      <c r="T17" s="5">
        <v>2.3342585510940761E-2</v>
      </c>
      <c r="U17" s="5">
        <v>0.14127114253855691</v>
      </c>
      <c r="V17" s="5">
        <v>4.0111898296984957E-3</v>
      </c>
      <c r="W17" s="5">
        <v>7.9142125000000008E-2</v>
      </c>
      <c r="X17" s="5">
        <v>0.2379894313203148</v>
      </c>
      <c r="Y17" s="5">
        <v>-2.2928011062654879E-2</v>
      </c>
      <c r="Z17" s="5">
        <v>5.3868489290865788E-2</v>
      </c>
      <c r="AA17" s="5">
        <v>0.19128343691540939</v>
      </c>
      <c r="AB17" s="5">
        <v>8.4852062878172319E-2</v>
      </c>
      <c r="AC17" s="5">
        <v>-2.008625473802152E-2</v>
      </c>
      <c r="AD17" s="5">
        <v>6.8619874999999997E-2</v>
      </c>
      <c r="AE17" s="5">
        <v>0.22212270442845089</v>
      </c>
      <c r="AF17" s="5">
        <v>0.1202863246558465</v>
      </c>
      <c r="AG17" s="5">
        <v>2.2740980787790199E-2</v>
      </c>
      <c r="AH17" s="5">
        <v>-3.5472619172888853E-2</v>
      </c>
      <c r="AI17" s="5">
        <v>0.114865125</v>
      </c>
      <c r="AJ17" s="5">
        <v>-4.2602630518956887E-2</v>
      </c>
      <c r="AK17" s="5">
        <v>7.3716274739036441E-2</v>
      </c>
      <c r="AL17" s="5">
        <v>-9.9848750000000007E-3</v>
      </c>
      <c r="AM17" s="5">
        <v>7.5369367587656971E-2</v>
      </c>
      <c r="AN17" s="5">
        <v>0.1132871203459177</v>
      </c>
      <c r="AO17" s="5">
        <v>-7.6694527622622979E-2</v>
      </c>
      <c r="AP17" s="5">
        <v>7.7242814419585484E-2</v>
      </c>
      <c r="AQ17" s="5">
        <v>9.2303749999999955E-3</v>
      </c>
      <c r="AR17" s="5">
        <v>-3.4996625000000003E-2</v>
      </c>
      <c r="AS17" s="5">
        <v>-5.8802956944234333E-2</v>
      </c>
      <c r="AT17" s="5">
        <v>0.1270717931072517</v>
      </c>
      <c r="AU17" s="5">
        <v>0.177562625</v>
      </c>
      <c r="AV17" s="5">
        <v>5.8529449334631382E-2</v>
      </c>
      <c r="AW17" s="5">
        <v>7.6189610229816601E-2</v>
      </c>
      <c r="AX17" s="5">
        <v>9.7619105117607935E-2</v>
      </c>
      <c r="AY17" s="5">
        <v>2.742369669060089E-2</v>
      </c>
      <c r="AZ17" s="5">
        <v>4.7981374999999993E-2</v>
      </c>
      <c r="BA17" s="5">
        <v>0.16280649999999999</v>
      </c>
      <c r="BB17" s="5">
        <v>0.2304420449478701</v>
      </c>
      <c r="BC17" s="5">
        <v>-2.729282438048998E-2</v>
      </c>
      <c r="BD17" s="5">
        <v>1.9414125000000001E-2</v>
      </c>
      <c r="BE17" s="5">
        <v>4.4110253344838493E-2</v>
      </c>
      <c r="BF17" s="5">
        <v>0.14777683028015831</v>
      </c>
      <c r="BG17" s="5">
        <v>0.18575157813088089</v>
      </c>
      <c r="BH17" s="5">
        <v>0.1331911133253291</v>
      </c>
      <c r="BI17" s="5">
        <v>8.7111945439947241E-2</v>
      </c>
      <c r="BJ17" s="5">
        <v>8.9192500000000008E-2</v>
      </c>
      <c r="BK17" s="5">
        <v>-0.114816125</v>
      </c>
      <c r="BL17" s="5">
        <v>3.4152447324294427E-2</v>
      </c>
      <c r="BM17" s="5">
        <v>2.905901115235426E-2</v>
      </c>
      <c r="BN17" s="5">
        <v>-7.3658000000000001E-2</v>
      </c>
      <c r="BO17" s="5">
        <v>3.5179615416723611E-2</v>
      </c>
      <c r="BP17" s="5">
        <v>-6.0636875000000007E-2</v>
      </c>
      <c r="BQ17" s="5">
        <v>1.1376510446451601E-2</v>
      </c>
      <c r="BR17" s="5">
        <v>0.1150223530257518</v>
      </c>
      <c r="BS17" s="5">
        <v>2.0906018213695501E-2</v>
      </c>
      <c r="BT17" s="5">
        <v>3.3647249999999997E-2</v>
      </c>
      <c r="BU17" s="5">
        <v>0.104524375</v>
      </c>
      <c r="BV17" s="5">
        <v>3.8240956502194168E-2</v>
      </c>
      <c r="BW17" s="5">
        <v>0.2083368255173885</v>
      </c>
      <c r="BX17" s="5">
        <v>7.0964999999999986E-3</v>
      </c>
      <c r="BY17" s="5">
        <v>-0.14247737512646691</v>
      </c>
      <c r="BZ17" s="5">
        <v>0.12057815588108529</v>
      </c>
      <c r="CA17" s="5">
        <v>2.7934832358489561E-2</v>
      </c>
      <c r="CB17" s="5">
        <v>0.14963337500000001</v>
      </c>
      <c r="CC17" s="5">
        <v>4.1758499999999997E-2</v>
      </c>
      <c r="CD17" s="5">
        <v>0.17295974121914859</v>
      </c>
      <c r="CE17" s="5">
        <v>9.5707624999999991E-2</v>
      </c>
      <c r="CF17" s="5">
        <v>9.8746197426198501E-2</v>
      </c>
      <c r="CG17" s="5">
        <v>7.4714988628731105E-2</v>
      </c>
      <c r="CH17" s="5">
        <v>5.8636446607050002E-2</v>
      </c>
      <c r="CI17" s="5">
        <v>1.4531184989588509E-2</v>
      </c>
      <c r="CJ17" s="5">
        <v>2.0950827481348411E-2</v>
      </c>
      <c r="CK17" s="5">
        <v>8.3955848259630761E-2</v>
      </c>
      <c r="CL17" s="5">
        <v>-9.426344769031314E-3</v>
      </c>
      <c r="CM17" s="5">
        <v>9.5492624999999998E-2</v>
      </c>
      <c r="CN17" s="5">
        <v>0.1765312785813869</v>
      </c>
      <c r="CO17" s="5">
        <v>0.198080375</v>
      </c>
      <c r="CP17" s="5">
        <v>0.1481592691973436</v>
      </c>
      <c r="CQ17" s="5">
        <v>5.1907103341726511E-2</v>
      </c>
      <c r="CR17" s="5">
        <v>0.19640263176228931</v>
      </c>
      <c r="CS17" s="5">
        <v>3.1345818395718227E-2</v>
      </c>
      <c r="CT17" s="5">
        <v>5.8654249999999991E-2</v>
      </c>
      <c r="CU17" s="5">
        <v>0.15535189279975939</v>
      </c>
      <c r="CV17" s="5">
        <v>0.15147138486135439</v>
      </c>
      <c r="CW17" s="5">
        <v>6.3393218804487977E-2</v>
      </c>
      <c r="CX17" s="5">
        <v>1.0772394523947831E-2</v>
      </c>
      <c r="CY17" s="5">
        <v>5.9498124999999999E-2</v>
      </c>
      <c r="CZ17" s="5">
        <v>0.1242488378476205</v>
      </c>
      <c r="DA17" s="5">
        <v>9.4495625E-2</v>
      </c>
      <c r="DB17" s="5">
        <v>0.104271</v>
      </c>
      <c r="DC17" s="5">
        <v>4.3363468977499313E-2</v>
      </c>
      <c r="DD17" s="5">
        <v>2.9155420882880739E-2</v>
      </c>
      <c r="DE17" s="5">
        <v>2.4124863346722019E-2</v>
      </c>
      <c r="DF17" s="5">
        <v>0.35222737500000001</v>
      </c>
      <c r="DG17" s="5">
        <v>4.7211125000000007E-2</v>
      </c>
      <c r="DH17" s="5">
        <v>0.16343337499999999</v>
      </c>
      <c r="DI17" s="5">
        <v>7.0181249999999987E-2</v>
      </c>
      <c r="DJ17" s="5">
        <v>0.12892505978600949</v>
      </c>
      <c r="DK17" s="5">
        <v>0.10277987500000001</v>
      </c>
      <c r="DL17" s="5">
        <v>-3.929731691128693E-3</v>
      </c>
      <c r="DM17" s="5">
        <v>-4.2563499999999997E-2</v>
      </c>
      <c r="DN17" s="5">
        <v>3.5489032714339008E-2</v>
      </c>
      <c r="DO17" s="5">
        <v>0.17976200000000001</v>
      </c>
      <c r="DP17" s="5">
        <v>0.14203415825063481</v>
      </c>
      <c r="DQ17" s="5">
        <v>7.2654005106024863E-2</v>
      </c>
      <c r="DR17" s="5">
        <v>5.5884814876328279E-2</v>
      </c>
      <c r="DS17" s="5">
        <v>3.7353625000000001E-2</v>
      </c>
      <c r="DT17" s="5">
        <v>5.9811935234976271E-2</v>
      </c>
      <c r="DU17" s="5">
        <v>0.129494</v>
      </c>
      <c r="DV17" s="5">
        <v>0.11776539811095429</v>
      </c>
      <c r="DW17" s="5">
        <v>-7.6599750000000008E-2</v>
      </c>
      <c r="DX17" s="5">
        <v>0.12953898259647401</v>
      </c>
      <c r="DY17" s="5">
        <v>0.10728225</v>
      </c>
      <c r="DZ17" s="5">
        <v>4.9212000000000013E-2</v>
      </c>
      <c r="EA17" s="5">
        <v>-4.6325242167246112E-3</v>
      </c>
      <c r="EB17" s="5">
        <v>0.1072853267537575</v>
      </c>
      <c r="EC17" s="5">
        <v>1.6425217216060651E-2</v>
      </c>
      <c r="ED17" s="5">
        <v>0.12832444392891271</v>
      </c>
      <c r="EE17" s="5">
        <v>-1.9437499999999921E-4</v>
      </c>
      <c r="EF17" s="5">
        <v>4.0984749999999993E-2</v>
      </c>
    </row>
    <row r="18" spans="1:136">
      <c r="A18" s="7">
        <v>137</v>
      </c>
      <c r="B18" s="7">
        <v>7</v>
      </c>
      <c r="C18" s="6">
        <v>0.1897511428571429</v>
      </c>
      <c r="D18" s="5">
        <v>0.40188400000000007</v>
      </c>
      <c r="E18" s="5">
        <v>5.3437857142857162E-2</v>
      </c>
      <c r="F18" s="5">
        <v>-0.11938296010218979</v>
      </c>
      <c r="G18" s="5">
        <v>0.10831637328507999</v>
      </c>
      <c r="H18" s="5">
        <v>0.12853999999999999</v>
      </c>
      <c r="I18" s="5">
        <v>0.13550018022324109</v>
      </c>
      <c r="J18" s="5">
        <v>4.3411515751641608E-2</v>
      </c>
      <c r="K18" s="5">
        <v>0.13564788877763229</v>
      </c>
      <c r="L18" s="5">
        <v>-4.667157142857143E-2</v>
      </c>
      <c r="M18" s="5">
        <v>2.9051464376457319E-2</v>
      </c>
      <c r="N18" s="5">
        <v>0.46182042857142858</v>
      </c>
      <c r="O18" s="5">
        <v>3.1737941097498189E-2</v>
      </c>
      <c r="P18" s="5">
        <v>8.2552611569947768E-2</v>
      </c>
      <c r="Q18" s="5">
        <v>0.18897541868948989</v>
      </c>
      <c r="R18" s="5">
        <v>-6.149223787197499E-2</v>
      </c>
      <c r="S18" s="5">
        <v>0.3837326289318943</v>
      </c>
      <c r="T18" s="5">
        <v>5.2309697550730873E-2</v>
      </c>
      <c r="U18" s="5">
        <v>0.132495024429819</v>
      </c>
      <c r="V18" s="5">
        <v>1.2895135069850801E-2</v>
      </c>
      <c r="W18" s="5">
        <v>7.7297000000000005E-2</v>
      </c>
      <c r="X18" s="5">
        <v>0.21512105739995169</v>
      </c>
      <c r="Y18" s="5">
        <v>-1.923233435743554E-2</v>
      </c>
      <c r="Z18" s="5">
        <v>8.9234363440522865E-2</v>
      </c>
      <c r="AA18" s="5">
        <v>0.17257065753452869</v>
      </c>
      <c r="AB18" s="5">
        <v>8.4698299730484178E-2</v>
      </c>
      <c r="AC18" s="5">
        <v>1.3654204768322529E-3</v>
      </c>
      <c r="AD18" s="5">
        <v>9.6285857142857145E-2</v>
      </c>
      <c r="AE18" s="5">
        <v>0.25839134891520849</v>
      </c>
      <c r="AF18" s="5">
        <v>0.1505436398240734</v>
      </c>
      <c r="AG18" s="5">
        <v>3.2493116097876071E-2</v>
      </c>
      <c r="AH18" s="5">
        <v>-4.0197460968514703E-2</v>
      </c>
      <c r="AI18" s="5">
        <v>0.11808642857142861</v>
      </c>
      <c r="AJ18" s="5">
        <v>-4.7393756166449127E-2</v>
      </c>
      <c r="AK18" s="5">
        <v>3.0152480597625989E-2</v>
      </c>
      <c r="AL18" s="5">
        <v>-8.5714285714285797E-4</v>
      </c>
      <c r="AM18" s="5">
        <v>6.6643405424771207E-2</v>
      </c>
      <c r="AN18" s="5">
        <v>7.9294639955201793E-2</v>
      </c>
      <c r="AO18" s="5">
        <v>2.4584280444806969E-2</v>
      </c>
      <c r="AP18" s="5">
        <v>7.8278591933806971E-2</v>
      </c>
      <c r="AQ18" s="5">
        <v>-1.6788142857142859E-2</v>
      </c>
      <c r="AR18" s="5">
        <v>-6.169442857142856E-2</v>
      </c>
      <c r="AS18" s="5">
        <v>-8.3253127889185943E-2</v>
      </c>
      <c r="AT18" s="5">
        <v>0.16638580942405889</v>
      </c>
      <c r="AU18" s="5">
        <v>0.19666014285714281</v>
      </c>
      <c r="AV18" s="5">
        <v>6.0235664706469842E-2</v>
      </c>
      <c r="AW18" s="5">
        <v>9.7766861821235188E-2</v>
      </c>
      <c r="AX18" s="5">
        <v>0.12606433742612741</v>
      </c>
      <c r="AY18" s="5">
        <v>3.4783278641148073E-2</v>
      </c>
      <c r="AZ18" s="5">
        <v>6.6341999999999998E-2</v>
      </c>
      <c r="BA18" s="5">
        <v>0.18047985714285711</v>
      </c>
      <c r="BB18" s="5">
        <v>0.31745742566411261</v>
      </c>
      <c r="BC18" s="5">
        <v>2.7942050701969749E-2</v>
      </c>
      <c r="BD18" s="5">
        <v>2.0277714285714281E-2</v>
      </c>
      <c r="BE18" s="5">
        <v>9.117285285592254E-2</v>
      </c>
      <c r="BF18" s="5">
        <v>0.1649864946960074</v>
      </c>
      <c r="BG18" s="5">
        <v>0.1467139748282886</v>
      </c>
      <c r="BH18" s="5">
        <v>0.1378982651501425</v>
      </c>
      <c r="BI18" s="5">
        <v>0.1090000069186657</v>
      </c>
      <c r="BJ18" s="5">
        <v>9.9532714285714308E-2</v>
      </c>
      <c r="BK18" s="5">
        <v>-7.3456142857142859E-2</v>
      </c>
      <c r="BL18" s="5">
        <v>5.5787880861779937E-2</v>
      </c>
      <c r="BM18" s="5">
        <v>2.8081356373095352E-2</v>
      </c>
      <c r="BN18" s="5">
        <v>-7.8210142857142853E-2</v>
      </c>
      <c r="BO18" s="5">
        <v>2.0227496106374639E-2</v>
      </c>
      <c r="BP18" s="5">
        <v>-6.2461999999999997E-2</v>
      </c>
      <c r="BQ18" s="5">
        <v>1.916784109848992E-3</v>
      </c>
      <c r="BR18" s="5">
        <v>0.1209618178824758</v>
      </c>
      <c r="BS18" s="5">
        <v>3.2873256576031823E-2</v>
      </c>
      <c r="BT18" s="5">
        <v>1.329885714285715E-2</v>
      </c>
      <c r="BU18" s="5">
        <v>0.1114621428571428</v>
      </c>
      <c r="BV18" s="5">
        <v>3.96244261241478E-2</v>
      </c>
      <c r="BW18" s="5">
        <v>0.21837549913098869</v>
      </c>
      <c r="BX18" s="5">
        <v>-1.5810714285714289E-2</v>
      </c>
      <c r="BY18" s="5">
        <v>-8.7465268272101659E-2</v>
      </c>
      <c r="BZ18" s="5">
        <v>0.15331998780259809</v>
      </c>
      <c r="CA18" s="5">
        <v>1.6076543892860819E-2</v>
      </c>
      <c r="CB18" s="5">
        <v>0.1068462857142857</v>
      </c>
      <c r="CC18" s="5">
        <v>0.1046597142857143</v>
      </c>
      <c r="CD18" s="5">
        <v>0.19371681864683071</v>
      </c>
      <c r="CE18" s="5">
        <v>7.7259857142857144E-2</v>
      </c>
      <c r="CF18" s="5">
        <v>7.1817591700374064E-2</v>
      </c>
      <c r="CG18" s="5">
        <v>9.1609255563919342E-2</v>
      </c>
      <c r="CH18" s="5">
        <v>0.16265704668723319</v>
      </c>
      <c r="CI18" s="5">
        <v>3.8869139877689488E-2</v>
      </c>
      <c r="CJ18" s="5">
        <v>-3.772366500397611E-3</v>
      </c>
      <c r="CK18" s="5">
        <v>9.6058031665523097E-2</v>
      </c>
      <c r="CL18" s="5">
        <v>-3.0989545058193121E-2</v>
      </c>
      <c r="CM18" s="5">
        <v>0.1027687142857143</v>
      </c>
      <c r="CN18" s="5">
        <v>0.1209431335415747</v>
      </c>
      <c r="CO18" s="5">
        <v>0.22828200000000001</v>
      </c>
      <c r="CP18" s="5">
        <v>0.16283910894801071</v>
      </c>
      <c r="CQ18" s="5">
        <v>3.8242675594942703E-2</v>
      </c>
      <c r="CR18" s="5">
        <v>0.19372240765220919</v>
      </c>
      <c r="CS18" s="5">
        <v>5.7690648651415453E-2</v>
      </c>
      <c r="CT18" s="5">
        <v>7.687085714285713E-2</v>
      </c>
      <c r="CU18" s="5">
        <v>0.14456482117613489</v>
      </c>
      <c r="CV18" s="5">
        <v>0.1270222681330069</v>
      </c>
      <c r="CW18" s="5">
        <v>6.6558574498316259E-2</v>
      </c>
      <c r="CX18" s="5">
        <v>6.1560185833778078E-2</v>
      </c>
      <c r="CY18" s="5">
        <v>7.1432142857142861E-2</v>
      </c>
      <c r="CZ18" s="5">
        <v>0.13284286330177139</v>
      </c>
      <c r="DA18" s="5">
        <v>7.8357857142857146E-2</v>
      </c>
      <c r="DB18" s="5">
        <v>0.118114</v>
      </c>
      <c r="DC18" s="5">
        <v>3.6408781495506221E-2</v>
      </c>
      <c r="DD18" s="5">
        <v>4.1014187319333921E-2</v>
      </c>
      <c r="DE18" s="5">
        <v>3.8420587486450893E-2</v>
      </c>
      <c r="DF18" s="5">
        <v>0.36669357142857151</v>
      </c>
      <c r="DG18" s="5">
        <v>5.4770714285714277E-2</v>
      </c>
      <c r="DH18" s="5">
        <v>0.1924025714285714</v>
      </c>
      <c r="DI18" s="5">
        <v>9.7962857142857129E-2</v>
      </c>
      <c r="DJ18" s="5">
        <v>0.14619607609941229</v>
      </c>
      <c r="DK18" s="5">
        <v>0.1065258571428571</v>
      </c>
      <c r="DL18" s="5">
        <v>-3.830274067592157E-3</v>
      </c>
      <c r="DM18" s="5">
        <v>-5.8456714285714292E-2</v>
      </c>
      <c r="DN18" s="5">
        <v>-1.6722064078021251E-2</v>
      </c>
      <c r="DO18" s="5">
        <v>0.22031957142857139</v>
      </c>
      <c r="DP18" s="5">
        <v>0.13348647227708049</v>
      </c>
      <c r="DQ18" s="5">
        <v>6.5749458183898837E-2</v>
      </c>
      <c r="DR18" s="5">
        <v>7.6840654771961045E-2</v>
      </c>
      <c r="DS18" s="5">
        <v>1.1277142857142861E-2</v>
      </c>
      <c r="DT18" s="5">
        <v>2.2601034841107401E-2</v>
      </c>
      <c r="DU18" s="5">
        <v>0.15871542857142859</v>
      </c>
      <c r="DV18" s="5">
        <v>0.1056406088000619</v>
      </c>
      <c r="DW18" s="5">
        <v>-6.8637857142857153E-2</v>
      </c>
      <c r="DX18" s="5">
        <v>0.1536029774624818</v>
      </c>
      <c r="DY18" s="5">
        <v>0.13683228571428571</v>
      </c>
      <c r="DZ18" s="5">
        <v>5.4629714285714302E-2</v>
      </c>
      <c r="EA18" s="5">
        <v>-4.7382972382447363E-3</v>
      </c>
      <c r="EB18" s="5">
        <v>0.1099643544501954</v>
      </c>
      <c r="EC18" s="5">
        <v>2.764115425371385E-3</v>
      </c>
      <c r="ED18" s="5">
        <v>0.11047802186576559</v>
      </c>
      <c r="EE18" s="5">
        <v>1.110285714285716E-3</v>
      </c>
      <c r="EF18" s="5">
        <v>6.3951857142857144E-2</v>
      </c>
    </row>
    <row r="19" spans="1:136">
      <c r="A19" s="7">
        <v>160</v>
      </c>
      <c r="B19" s="7">
        <v>6</v>
      </c>
      <c r="C19" s="6">
        <v>0.19659983333333331</v>
      </c>
      <c r="D19" s="5">
        <v>0.4075213333333334</v>
      </c>
      <c r="E19" s="5">
        <v>6.5812499999999996E-2</v>
      </c>
      <c r="F19" s="5">
        <v>-0.1776886618055605</v>
      </c>
      <c r="G19" s="5">
        <v>9.6065971857177412E-2</v>
      </c>
      <c r="H19" s="5">
        <v>0.17761016666666671</v>
      </c>
      <c r="I19" s="5">
        <v>0.1346543328914665</v>
      </c>
      <c r="J19" s="5">
        <v>3.5429584520191022E-2</v>
      </c>
      <c r="K19" s="5">
        <v>0.23878941472391671</v>
      </c>
      <c r="L19" s="5">
        <v>-3.0361166666666672E-2</v>
      </c>
      <c r="M19" s="5">
        <v>-4.3690236156307287E-2</v>
      </c>
      <c r="N19" s="5">
        <v>0.53237449999999997</v>
      </c>
      <c r="O19" s="5">
        <v>3.1561874488915911E-2</v>
      </c>
      <c r="P19" s="5">
        <v>9.2534186186697107E-2</v>
      </c>
      <c r="Q19" s="5">
        <v>0.19716308826451989</v>
      </c>
      <c r="R19" s="5">
        <v>-9.0299090630856282E-2</v>
      </c>
      <c r="S19" s="5">
        <v>0.18416011669760801</v>
      </c>
      <c r="T19" s="5">
        <v>5.1464717245309592E-2</v>
      </c>
      <c r="U19" s="5">
        <v>0.13569833863192321</v>
      </c>
      <c r="V19" s="5">
        <v>3.6618687785451319E-2</v>
      </c>
      <c r="W19" s="5">
        <v>7.2415833333333346E-2</v>
      </c>
      <c r="X19" s="5">
        <v>0.14939987335272731</v>
      </c>
      <c r="Y19" s="5">
        <v>-2.5628637528156511E-2</v>
      </c>
      <c r="Z19" s="5">
        <v>9.1619110576023566E-2</v>
      </c>
      <c r="AA19" s="5">
        <v>0.131832899481091</v>
      </c>
      <c r="AB19" s="5">
        <v>0.10225360588394269</v>
      </c>
      <c r="AC19" s="5">
        <v>1.4141542708609799E-2</v>
      </c>
      <c r="AD19" s="5">
        <v>9.5992833333333333E-2</v>
      </c>
      <c r="AE19" s="5">
        <v>0.30849285792536868</v>
      </c>
      <c r="AF19" s="5">
        <v>0.1688305807080431</v>
      </c>
      <c r="AG19" s="5">
        <v>2.2136219072547821E-2</v>
      </c>
      <c r="AH19" s="5">
        <v>-5.6557715221703553E-2</v>
      </c>
      <c r="AI19" s="5">
        <v>9.154933333333333E-2</v>
      </c>
      <c r="AJ19" s="5">
        <v>-5.1545290327262273E-2</v>
      </c>
      <c r="AK19" s="5">
        <v>7.5520425059527104E-3</v>
      </c>
      <c r="AL19" s="5">
        <v>-1.1383333333333349E-3</v>
      </c>
      <c r="AM19" s="5">
        <v>4.3106011811404943E-2</v>
      </c>
      <c r="AN19" s="5">
        <v>8.3568294365682083E-2</v>
      </c>
      <c r="AO19" s="5">
        <v>5.5890126129114689E-2</v>
      </c>
      <c r="AP19" s="5">
        <v>8.757412027285208E-2</v>
      </c>
      <c r="AQ19" s="5">
        <v>-5.4927833333333342E-2</v>
      </c>
      <c r="AR19" s="5">
        <v>-7.4616833333333327E-2</v>
      </c>
      <c r="AS19" s="5">
        <v>-0.1091988760530663</v>
      </c>
      <c r="AT19" s="5">
        <v>0.18459366381005801</v>
      </c>
      <c r="AU19" s="5">
        <v>0.23884516666666669</v>
      </c>
      <c r="AV19" s="5">
        <v>-3.0326096026080519E-3</v>
      </c>
      <c r="AW19" s="5">
        <v>0.13669339712891271</v>
      </c>
      <c r="AX19" s="5">
        <v>0.2241237953008561</v>
      </c>
      <c r="AY19" s="5">
        <v>2.9528970393379841E-2</v>
      </c>
      <c r="AZ19" s="5">
        <v>8.403233333333332E-2</v>
      </c>
      <c r="BA19" s="5">
        <v>0.186997</v>
      </c>
      <c r="BB19" s="5">
        <v>0.36416093179321912</v>
      </c>
      <c r="BC19" s="5">
        <v>0.18457178940642721</v>
      </c>
      <c r="BD19" s="5">
        <v>-7.0833333333334206E-5</v>
      </c>
      <c r="BE19" s="5">
        <v>8.948072176037114E-2</v>
      </c>
      <c r="BF19" s="5">
        <v>0.14180943496374171</v>
      </c>
      <c r="BG19" s="5">
        <v>0.15330875116978829</v>
      </c>
      <c r="BH19" s="5">
        <v>0.14049690595357331</v>
      </c>
      <c r="BI19" s="5">
        <v>0.12779862881921869</v>
      </c>
      <c r="BJ19" s="5">
        <v>5.1820166666666667E-2</v>
      </c>
      <c r="BK19" s="5">
        <v>-9.7038833333333324E-2</v>
      </c>
      <c r="BL19" s="5">
        <v>6.3164533747019302E-2</v>
      </c>
      <c r="BM19" s="5">
        <v>3.1786264869145278E-2</v>
      </c>
      <c r="BN19" s="5">
        <v>-8.1415166666666677E-2</v>
      </c>
      <c r="BO19" s="5">
        <v>2.5728961265115379E-2</v>
      </c>
      <c r="BP19" s="5">
        <v>-1.240866666666667E-2</v>
      </c>
      <c r="BQ19" s="5">
        <v>9.9340444543230683E-3</v>
      </c>
      <c r="BR19" s="5">
        <v>0.1368392355431455</v>
      </c>
      <c r="BS19" s="5">
        <v>-3.4999319396389061E-3</v>
      </c>
      <c r="BT19" s="5">
        <v>-1.3194833333333321E-2</v>
      </c>
      <c r="BU19" s="5">
        <v>0.13067083333333329</v>
      </c>
      <c r="BV19" s="5">
        <v>3.0350791965897218E-2</v>
      </c>
      <c r="BW19" s="5">
        <v>0.30745300680973342</v>
      </c>
      <c r="BX19" s="5">
        <v>-3.6397166666666668E-2</v>
      </c>
      <c r="BY19" s="5">
        <v>-7.9866927068945853E-2</v>
      </c>
      <c r="BZ19" s="5">
        <v>6.8702124822053873E-2</v>
      </c>
      <c r="CA19" s="5">
        <v>2.932875522377449E-2</v>
      </c>
      <c r="CB19" s="5">
        <v>0.12783849999999999</v>
      </c>
      <c r="CC19" s="5">
        <v>2.250566666666666E-2</v>
      </c>
      <c r="CD19" s="5">
        <v>0.21561919809371791</v>
      </c>
      <c r="CE19" s="5">
        <v>8.8474166666666659E-2</v>
      </c>
      <c r="CF19" s="5">
        <v>7.9904397206049291E-2</v>
      </c>
      <c r="CG19" s="5">
        <v>5.7117624866957151E-2</v>
      </c>
      <c r="CH19" s="5">
        <v>0.1528898670499263</v>
      </c>
      <c r="CI19" s="5">
        <v>3.7066946160195187E-2</v>
      </c>
      <c r="CJ19" s="5">
        <v>-1.1811922761994231E-2</v>
      </c>
      <c r="CK19" s="5">
        <v>0.1187972629573345</v>
      </c>
      <c r="CL19" s="5">
        <v>-4.3240279974789908E-2</v>
      </c>
      <c r="CM19" s="5">
        <v>0.1102351666666667</v>
      </c>
      <c r="CN19" s="5">
        <v>0.14319321046953429</v>
      </c>
      <c r="CO19" s="5">
        <v>0.25123566666666669</v>
      </c>
      <c r="CP19" s="5">
        <v>0.15903259898233271</v>
      </c>
      <c r="CQ19" s="5">
        <v>3.2394607516418629E-2</v>
      </c>
      <c r="CR19" s="5">
        <v>0.17630672424619201</v>
      </c>
      <c r="CS19" s="5">
        <v>5.4250449548333517E-2</v>
      </c>
      <c r="CT19" s="5">
        <v>2.642199999999998E-2</v>
      </c>
      <c r="CU19" s="5">
        <v>0.146607543260939</v>
      </c>
      <c r="CV19" s="5">
        <v>9.4553007971378916E-2</v>
      </c>
      <c r="CW19" s="5">
        <v>6.0515878573037342E-2</v>
      </c>
      <c r="CX19" s="5">
        <v>5.7634726368184938E-2</v>
      </c>
      <c r="CY19" s="5">
        <v>7.3150833333333332E-2</v>
      </c>
      <c r="CZ19" s="5">
        <v>0.11285182864146399</v>
      </c>
      <c r="DA19" s="5">
        <v>7.5182499999999999E-2</v>
      </c>
      <c r="DB19" s="5">
        <v>0.14796100000000001</v>
      </c>
      <c r="DC19" s="5">
        <v>-3.5179399902094073E-2</v>
      </c>
      <c r="DD19" s="5">
        <v>6.2011252548289514E-3</v>
      </c>
      <c r="DE19" s="5">
        <v>3.3018414655792E-2</v>
      </c>
      <c r="DF19" s="5">
        <v>0.2055028333333333</v>
      </c>
      <c r="DG19" s="5">
        <v>6.6374499999999989E-2</v>
      </c>
      <c r="DH19" s="5">
        <v>0.22459133333333331</v>
      </c>
      <c r="DI19" s="5">
        <v>0.10846166666666671</v>
      </c>
      <c r="DJ19" s="5">
        <v>0.16525046895907189</v>
      </c>
      <c r="DK19" s="5">
        <v>0.1214406666666667</v>
      </c>
      <c r="DL19" s="5">
        <v>-1.198278590897381E-2</v>
      </c>
      <c r="DM19" s="5">
        <v>-5.7299833333333328E-2</v>
      </c>
      <c r="DN19" s="5">
        <v>2.4751230976385011E-3</v>
      </c>
      <c r="DO19" s="5">
        <v>0.2492611666666667</v>
      </c>
      <c r="DP19" s="5">
        <v>0.17026813067996199</v>
      </c>
      <c r="DQ19" s="5">
        <v>8.0374171838075048E-2</v>
      </c>
      <c r="DR19" s="5">
        <v>7.5962353325048193E-2</v>
      </c>
      <c r="DS19" s="5">
        <v>-5.6783333333333312E-3</v>
      </c>
      <c r="DT19" s="5">
        <v>5.0332465201051654E-3</v>
      </c>
      <c r="DU19" s="5">
        <v>0.15058250000000001</v>
      </c>
      <c r="DV19" s="5">
        <v>0.1115247064406045</v>
      </c>
      <c r="DW19" s="5">
        <v>-0.101297</v>
      </c>
      <c r="DX19" s="5">
        <v>0.1383651342381777</v>
      </c>
      <c r="DY19" s="5">
        <v>0.13924800000000001</v>
      </c>
      <c r="DZ19" s="5">
        <v>7.853750000000001E-2</v>
      </c>
      <c r="EA19" s="5">
        <v>3.2919727195015271E-2</v>
      </c>
      <c r="EB19" s="5">
        <v>0.1087535096382525</v>
      </c>
      <c r="EC19" s="5">
        <v>-1.2190043223702179E-2</v>
      </c>
      <c r="ED19" s="5">
        <v>0.15093531699015689</v>
      </c>
      <c r="EE19" s="5">
        <v>-7.3063333333333296E-3</v>
      </c>
      <c r="EF19" s="5">
        <v>7.4019999999999975E-2</v>
      </c>
    </row>
    <row r="20" spans="1:136">
      <c r="A20" s="7">
        <v>192</v>
      </c>
      <c r="B20" s="7">
        <v>5</v>
      </c>
      <c r="C20" s="6">
        <v>0.20155100000000001</v>
      </c>
      <c r="D20" s="5">
        <v>0.38202580000000003</v>
      </c>
      <c r="E20" s="5">
        <v>5.7335200000000003E-2</v>
      </c>
      <c r="F20" s="5">
        <v>-0.2055312643331742</v>
      </c>
      <c r="G20" s="5">
        <v>0.1171831412889391</v>
      </c>
      <c r="H20" s="5">
        <v>0.14393220000000001</v>
      </c>
      <c r="I20" s="5">
        <v>0.15814956260110169</v>
      </c>
      <c r="J20" s="5">
        <v>3.4471258726856233E-2</v>
      </c>
      <c r="K20" s="5">
        <v>0.21472450376108179</v>
      </c>
      <c r="L20" s="5">
        <v>-3.0693600000000008E-2</v>
      </c>
      <c r="M20" s="5">
        <v>-7.7718228291273506E-2</v>
      </c>
      <c r="N20" s="5">
        <v>0.5000116</v>
      </c>
      <c r="O20" s="5">
        <v>4.9864886069274132E-2</v>
      </c>
      <c r="P20" s="5">
        <v>9.1169927668525261E-2</v>
      </c>
      <c r="Q20" s="5">
        <v>0.21672573900297851</v>
      </c>
      <c r="R20" s="5">
        <v>-0.1092530556374688</v>
      </c>
      <c r="S20" s="5">
        <v>0.15518261832774261</v>
      </c>
      <c r="T20" s="5">
        <v>8.5465455737815402E-2</v>
      </c>
      <c r="U20" s="5">
        <v>0.14864968011777491</v>
      </c>
      <c r="V20" s="5">
        <v>1.2644103117188939E-2</v>
      </c>
      <c r="W20" s="5">
        <v>9.1084999999999999E-2</v>
      </c>
      <c r="X20" s="5">
        <v>0.21038641292278501</v>
      </c>
      <c r="Y20" s="5">
        <v>-4.2067489538597257E-2</v>
      </c>
      <c r="Z20" s="5">
        <v>0.1056169604836593</v>
      </c>
      <c r="AA20" s="5">
        <v>0.13048336848064571</v>
      </c>
      <c r="AB20" s="5">
        <v>8.4759840726173208E-2</v>
      </c>
      <c r="AC20" s="5">
        <v>4.7248262727967477E-2</v>
      </c>
      <c r="AD20" s="5">
        <v>0.1298426</v>
      </c>
      <c r="AE20" s="5">
        <v>0.16122120715511101</v>
      </c>
      <c r="AF20" s="5">
        <v>0.22349781963637269</v>
      </c>
      <c r="AG20" s="5">
        <v>2.7659218539892259E-2</v>
      </c>
      <c r="AH20" s="5">
        <v>-9.0178200714782636E-2</v>
      </c>
      <c r="AI20" s="5">
        <v>0.1163372</v>
      </c>
      <c r="AJ20" s="5">
        <v>-6.1990034547547639E-2</v>
      </c>
      <c r="AK20" s="5">
        <v>-1.359511549600285E-2</v>
      </c>
      <c r="AL20" s="5">
        <v>-5.6180000000000006E-3</v>
      </c>
      <c r="AM20" s="5">
        <v>3.3095980748802607E-2</v>
      </c>
      <c r="AN20" s="5">
        <v>7.5470193518998266E-2</v>
      </c>
      <c r="AO20" s="5">
        <v>4.9108294639399641E-2</v>
      </c>
      <c r="AP20" s="5">
        <v>0.13173046125538779</v>
      </c>
      <c r="AQ20" s="5">
        <v>7.2898600000000008E-2</v>
      </c>
      <c r="AR20" s="5">
        <v>-1.3289199999999999E-2</v>
      </c>
      <c r="AS20" s="5">
        <v>-4.2291716448975919E-2</v>
      </c>
      <c r="AT20" s="5">
        <v>0.23912374744507051</v>
      </c>
      <c r="AU20" s="5">
        <v>0.28169899999999998</v>
      </c>
      <c r="AV20" s="5">
        <v>-3.2246612786763357E-2</v>
      </c>
      <c r="AW20" s="5">
        <v>0.2249978407783445</v>
      </c>
      <c r="AX20" s="5">
        <v>0.20433921996054669</v>
      </c>
      <c r="AY20" s="5">
        <v>3.8674698442909439E-2</v>
      </c>
      <c r="AZ20" s="5">
        <v>9.9804199999999982E-2</v>
      </c>
      <c r="BA20" s="5">
        <v>0.151338</v>
      </c>
      <c r="BB20" s="5">
        <v>0.3784467853093445</v>
      </c>
      <c r="BC20" s="5">
        <v>0.24014067499041369</v>
      </c>
      <c r="BD20" s="5">
        <v>8.3636000000000005E-3</v>
      </c>
      <c r="BE20" s="5">
        <v>9.8278374734355731E-2</v>
      </c>
      <c r="BF20" s="5">
        <v>0.13797126306897531</v>
      </c>
      <c r="BG20" s="5">
        <v>9.4062055608340231E-2</v>
      </c>
      <c r="BH20" s="5">
        <v>0.1500573005634544</v>
      </c>
      <c r="BI20" s="5">
        <v>0.13174526708517489</v>
      </c>
      <c r="BJ20" s="5">
        <v>5.51578E-2</v>
      </c>
      <c r="BK20" s="5">
        <v>-0.11765100000000001</v>
      </c>
      <c r="BL20" s="5">
        <v>6.9859441937220601E-2</v>
      </c>
      <c r="BM20" s="5">
        <v>4.7468551464188873E-2</v>
      </c>
      <c r="BN20" s="5">
        <v>1.863600000000001E-2</v>
      </c>
      <c r="BO20" s="5">
        <v>-3.8461717515979203E-2</v>
      </c>
      <c r="BP20" s="5">
        <v>7.2838000000000009E-3</v>
      </c>
      <c r="BQ20" s="5">
        <v>1.5451706960843021E-2</v>
      </c>
      <c r="BR20" s="5">
        <v>0.18112708147166159</v>
      </c>
      <c r="BS20" s="5">
        <v>-3.2536197724856143E-2</v>
      </c>
      <c r="BT20" s="5">
        <v>-5.246859999999999E-2</v>
      </c>
      <c r="BU20" s="5">
        <v>0.14944099999999999</v>
      </c>
      <c r="BV20" s="5">
        <v>-8.154344176059905E-2</v>
      </c>
      <c r="BW20" s="5">
        <v>0.35182955004840472</v>
      </c>
      <c r="BX20" s="5">
        <v>-5.2858599999999992E-2</v>
      </c>
      <c r="BY20" s="5">
        <v>-4.6393591496685094E-3</v>
      </c>
      <c r="BZ20" s="5">
        <v>9.02714042602836E-2</v>
      </c>
      <c r="CA20" s="5">
        <v>4.0102728051752932E-2</v>
      </c>
      <c r="CB20" s="5">
        <v>0.12649540000000001</v>
      </c>
      <c r="CC20" s="5">
        <v>1.2914800000000001E-2</v>
      </c>
      <c r="CD20" s="5">
        <v>0.1810274974905971</v>
      </c>
      <c r="CE20" s="5">
        <v>8.577739999999999E-2</v>
      </c>
      <c r="CF20" s="5">
        <v>8.0957937198676569E-2</v>
      </c>
      <c r="CG20" s="5">
        <v>7.597024074310807E-2</v>
      </c>
      <c r="CH20" s="5">
        <v>7.1864025597138351E-2</v>
      </c>
      <c r="CI20" s="5">
        <v>3.0394673769081951E-2</v>
      </c>
      <c r="CJ20" s="5">
        <v>-4.1509984783928693E-2</v>
      </c>
      <c r="CK20" s="5">
        <v>8.0589623940621552E-2</v>
      </c>
      <c r="CL20" s="5">
        <v>-9.2184934189128986E-2</v>
      </c>
      <c r="CM20" s="5">
        <v>9.6774199999999977E-2</v>
      </c>
      <c r="CN20" s="5">
        <v>0.20489183364110261</v>
      </c>
      <c r="CO20" s="5">
        <v>0.29657339999999999</v>
      </c>
      <c r="CP20" s="5">
        <v>0.1920312051090273</v>
      </c>
      <c r="CQ20" s="5">
        <v>2.3118045300283038E-2</v>
      </c>
      <c r="CR20" s="5">
        <v>0.1954861104849421</v>
      </c>
      <c r="CS20" s="5">
        <v>9.7137098734322067E-2</v>
      </c>
      <c r="CT20" s="5">
        <v>2.8415399999999969E-2</v>
      </c>
      <c r="CU20" s="5">
        <v>0.14672800907162681</v>
      </c>
      <c r="CV20" s="5">
        <v>0.11921412821268471</v>
      </c>
      <c r="CW20" s="5">
        <v>6.7903708174845409E-2</v>
      </c>
      <c r="CX20" s="5">
        <v>9.0298550867764463E-2</v>
      </c>
      <c r="CY20" s="5">
        <v>0.1087322</v>
      </c>
      <c r="CZ20" s="5">
        <v>0.15516164514919831</v>
      </c>
      <c r="DA20" s="5">
        <v>7.70816E-2</v>
      </c>
      <c r="DB20" s="5">
        <v>7.6966999999999994E-2</v>
      </c>
      <c r="DC20" s="5">
        <v>-4.9613069235555772E-2</v>
      </c>
      <c r="DD20" s="5">
        <v>3.597184756950339E-3</v>
      </c>
      <c r="DE20" s="5">
        <v>1.0418721606852799E-2</v>
      </c>
      <c r="DF20" s="5">
        <v>0.2455754</v>
      </c>
      <c r="DG20" s="5">
        <v>5.2345800000000012E-2</v>
      </c>
      <c r="DH20" s="5">
        <v>0.27829959999999998</v>
      </c>
      <c r="DI20" s="5">
        <v>0.137596</v>
      </c>
      <c r="DJ20" s="5">
        <v>0.1365580924326974</v>
      </c>
      <c r="DK20" s="5">
        <v>8.5184599999999999E-2</v>
      </c>
      <c r="DL20" s="5">
        <v>-1.9465373333619789E-2</v>
      </c>
      <c r="DM20" s="5">
        <v>-6.9335800000000003E-2</v>
      </c>
      <c r="DN20" s="5">
        <v>5.8019206654199171E-2</v>
      </c>
      <c r="DO20" s="5">
        <v>0.25800099999999998</v>
      </c>
      <c r="DP20" s="5">
        <v>0.20015543475438921</v>
      </c>
      <c r="DQ20" s="5">
        <v>5.7460181624700082E-2</v>
      </c>
      <c r="DR20" s="5">
        <v>7.8512660028290493E-2</v>
      </c>
      <c r="DS20" s="5">
        <v>-7.4919999999999987E-3</v>
      </c>
      <c r="DT20" s="5">
        <v>-2.968533879884255E-2</v>
      </c>
      <c r="DU20" s="5">
        <v>0.1763758</v>
      </c>
      <c r="DV20" s="5">
        <v>0.12934547183885869</v>
      </c>
      <c r="DW20" s="5">
        <v>-0.1035466</v>
      </c>
      <c r="DX20" s="5">
        <v>0.15386632960631469</v>
      </c>
      <c r="DY20" s="5">
        <v>0.12159059999999999</v>
      </c>
      <c r="DZ20" s="5">
        <v>9.0199400000000013E-2</v>
      </c>
      <c r="EA20" s="5">
        <v>-5.9255992733342772E-3</v>
      </c>
      <c r="EB20" s="5">
        <v>8.2407142444419712E-2</v>
      </c>
      <c r="EC20" s="5">
        <v>3.4049581413941779E-2</v>
      </c>
      <c r="ED20" s="5">
        <v>0.17691886106701021</v>
      </c>
      <c r="EE20" s="5">
        <v>-1.7415999999999959E-3</v>
      </c>
      <c r="EF20" s="5">
        <v>8.5799999999999987E-2</v>
      </c>
    </row>
    <row r="21" spans="1:136">
      <c r="A21" s="7">
        <v>241</v>
      </c>
      <c r="B21" s="7">
        <v>4</v>
      </c>
      <c r="C21" s="6">
        <v>0.2146305</v>
      </c>
      <c r="D21" s="5">
        <v>0.126389</v>
      </c>
      <c r="E21" s="5">
        <v>-1.3691500000000001E-2</v>
      </c>
      <c r="F21" s="5">
        <v>-0.18403858160612999</v>
      </c>
      <c r="G21" s="5">
        <v>0.14384215111256449</v>
      </c>
      <c r="H21" s="5">
        <v>0.162164</v>
      </c>
      <c r="I21" s="5">
        <v>0.14725560812747299</v>
      </c>
      <c r="J21" s="5">
        <v>6.0435325691642318E-2</v>
      </c>
      <c r="K21" s="5">
        <v>0.2068800260033955</v>
      </c>
      <c r="L21" s="5">
        <v>5.030999999999999E-3</v>
      </c>
      <c r="M21" s="5">
        <v>-9.9684593408211258E-2</v>
      </c>
      <c r="N21" s="5">
        <v>0.58489049999999998</v>
      </c>
      <c r="O21" s="5">
        <v>3.4351989460690638E-2</v>
      </c>
      <c r="P21" s="5">
        <v>0.14477260088968491</v>
      </c>
      <c r="Q21" s="5">
        <v>0.25731007409425227</v>
      </c>
      <c r="R21" s="5">
        <v>-9.5575311106630215E-2</v>
      </c>
      <c r="S21" s="5">
        <v>0.12859028544995699</v>
      </c>
      <c r="T21" s="5">
        <v>9.846167275679743E-2</v>
      </c>
      <c r="U21" s="5">
        <v>8.6278417611758002E-2</v>
      </c>
      <c r="V21" s="5">
        <v>5.3557619366031213E-2</v>
      </c>
      <c r="W21" s="5">
        <v>0.12449875000000001</v>
      </c>
      <c r="X21" s="5">
        <v>0.21363094220511639</v>
      </c>
      <c r="Y21" s="5">
        <v>-2.0833082892434851E-2</v>
      </c>
      <c r="Z21" s="5">
        <v>0.1142039872227245</v>
      </c>
      <c r="AA21" s="5">
        <v>0.1106359070024788</v>
      </c>
      <c r="AB21" s="5">
        <v>0.1298395823970698</v>
      </c>
      <c r="AC21" s="5">
        <v>1.882773670680014E-2</v>
      </c>
      <c r="AD21" s="5">
        <v>0.12882450000000001</v>
      </c>
      <c r="AE21" s="5">
        <v>0.12810497879624591</v>
      </c>
      <c r="AF21" s="5">
        <v>0.29514425808336342</v>
      </c>
      <c r="AG21" s="5">
        <v>4.4302777789794079E-2</v>
      </c>
      <c r="AH21" s="5">
        <v>-0.10758136256479831</v>
      </c>
      <c r="AI21" s="5">
        <v>0.10212425</v>
      </c>
      <c r="AJ21" s="5">
        <v>-7.0405341946468691E-2</v>
      </c>
      <c r="AK21" s="5">
        <v>-3.5803167618110053E-2</v>
      </c>
      <c r="AL21" s="5">
        <v>1.9780249999999999E-2</v>
      </c>
      <c r="AM21" s="5">
        <v>6.8535807447630548E-2</v>
      </c>
      <c r="AN21" s="5">
        <v>0.11195605606309431</v>
      </c>
      <c r="AO21" s="5">
        <v>8.5567774913887312E-2</v>
      </c>
      <c r="AP21" s="5">
        <v>7.2535143570019153E-2</v>
      </c>
      <c r="AQ21" s="5">
        <v>0.13322400000000001</v>
      </c>
      <c r="AR21" s="5">
        <v>4.7988250000000003E-2</v>
      </c>
      <c r="AS21" s="5">
        <v>-4.5406682060008141E-2</v>
      </c>
      <c r="AT21" s="5">
        <v>0.26483825754799722</v>
      </c>
      <c r="AU21" s="5">
        <v>0.34648125000000002</v>
      </c>
      <c r="AV21" s="5">
        <v>-6.871391269647964E-2</v>
      </c>
      <c r="AW21" s="5">
        <v>0.26325491637381482</v>
      </c>
      <c r="AX21" s="5">
        <v>0.21771830251703739</v>
      </c>
      <c r="AY21" s="5">
        <v>4.7021290978038012E-2</v>
      </c>
      <c r="AZ21" s="5">
        <v>0.108503</v>
      </c>
      <c r="BA21" s="5">
        <v>0.13959250000000001</v>
      </c>
      <c r="BB21" s="5">
        <v>0.40443142813314931</v>
      </c>
      <c r="BC21" s="5">
        <v>0.1644605319288267</v>
      </c>
      <c r="BD21" s="5">
        <v>3.8222500000000013E-2</v>
      </c>
      <c r="BE21" s="5">
        <v>0.13674535590796441</v>
      </c>
      <c r="BF21" s="5">
        <v>0.19911721643060321</v>
      </c>
      <c r="BG21" s="5">
        <v>9.2285571507253639E-2</v>
      </c>
      <c r="BH21" s="5">
        <v>0.1068421096374302</v>
      </c>
      <c r="BI21" s="5">
        <v>0.1659695961783918</v>
      </c>
      <c r="BJ21" s="5">
        <v>2.2396249999999999E-2</v>
      </c>
      <c r="BK21" s="5">
        <v>-7.272374999999999E-2</v>
      </c>
      <c r="BL21" s="5">
        <v>8.7340790467698257E-2</v>
      </c>
      <c r="BM21" s="5">
        <v>4.0795286028720637E-2</v>
      </c>
      <c r="BN21" s="5">
        <v>2.5788249999999999E-2</v>
      </c>
      <c r="BO21" s="5">
        <v>-6.3857236413680254E-2</v>
      </c>
      <c r="BP21" s="5">
        <v>-4.1799999999999997E-3</v>
      </c>
      <c r="BQ21" s="5">
        <v>5.4542230834504879E-2</v>
      </c>
      <c r="BR21" s="5">
        <v>0.14206145591009539</v>
      </c>
      <c r="BS21" s="5">
        <v>-6.5741820960347419E-2</v>
      </c>
      <c r="BT21" s="5">
        <v>-6.0821999999999987E-2</v>
      </c>
      <c r="BU21" s="5">
        <v>0.170738</v>
      </c>
      <c r="BV21" s="5">
        <v>-4.4339980041273437E-2</v>
      </c>
      <c r="BW21" s="5">
        <v>0.18446067072040909</v>
      </c>
      <c r="BX21" s="5">
        <v>-7.7163250000000003E-2</v>
      </c>
      <c r="BY21" s="5">
        <v>-5.5666292242237493E-2</v>
      </c>
      <c r="BZ21" s="5">
        <v>4.7662928720715619E-2</v>
      </c>
      <c r="CA21" s="5">
        <v>6.0517603302398457E-2</v>
      </c>
      <c r="CB21" s="5">
        <v>0.20787025000000001</v>
      </c>
      <c r="CC21" s="5">
        <v>-8.0194999999999989E-3</v>
      </c>
      <c r="CD21" s="5">
        <v>0.28805606436247322</v>
      </c>
      <c r="CE21" s="5">
        <v>6.1514499999999993E-2</v>
      </c>
      <c r="CF21" s="5">
        <v>0.13126567680107229</v>
      </c>
      <c r="CG21" s="5">
        <v>8.508533547413108E-2</v>
      </c>
      <c r="CH21" s="5">
        <v>8.0100321076211733E-2</v>
      </c>
      <c r="CI21" s="5">
        <v>8.0499616390982326E-2</v>
      </c>
      <c r="CJ21" s="5">
        <v>-5.5140848561157058E-2</v>
      </c>
      <c r="CK21" s="5">
        <v>6.7159630296855705E-2</v>
      </c>
      <c r="CL21" s="5">
        <v>-0.13389042462296469</v>
      </c>
      <c r="CM21" s="5">
        <v>0.11623024999999999</v>
      </c>
      <c r="CN21" s="5">
        <v>8.0851508829433677E-2</v>
      </c>
      <c r="CO21" s="5">
        <v>0.33548299999999998</v>
      </c>
      <c r="CP21" s="5">
        <v>0.22270006087791269</v>
      </c>
      <c r="CQ21" s="5">
        <v>2.2912194169496192E-2</v>
      </c>
      <c r="CR21" s="5">
        <v>0.23905996636126789</v>
      </c>
      <c r="CS21" s="5">
        <v>6.1269036219330789E-2</v>
      </c>
      <c r="CT21" s="5">
        <v>4.7994749999999982E-2</v>
      </c>
      <c r="CU21" s="5">
        <v>0.1589166223174501</v>
      </c>
      <c r="CV21" s="5">
        <v>0.1543318447745724</v>
      </c>
      <c r="CW21" s="5">
        <v>3.8345516871682743E-2</v>
      </c>
      <c r="CX21" s="5">
        <v>0.1021221756574071</v>
      </c>
      <c r="CY21" s="5">
        <v>0.10250525000000001</v>
      </c>
      <c r="CZ21" s="5">
        <v>0.2374513708258302</v>
      </c>
      <c r="DA21" s="5">
        <v>4.1709749999999997E-2</v>
      </c>
      <c r="DB21" s="5">
        <v>7.1459500000000009E-2</v>
      </c>
      <c r="DC21" s="5">
        <v>-4.5047559223290658E-2</v>
      </c>
      <c r="DD21" s="5">
        <v>2.8187943910707451E-3</v>
      </c>
      <c r="DE21" s="5">
        <v>2.897773706032665E-2</v>
      </c>
      <c r="DF21" s="5">
        <v>0.30115175</v>
      </c>
      <c r="DG21" s="5">
        <v>5.9410750000000012E-2</v>
      </c>
      <c r="DH21" s="5">
        <v>8.1436999999999996E-2</v>
      </c>
      <c r="DI21" s="5">
        <v>0.17984</v>
      </c>
      <c r="DJ21" s="5">
        <v>0.1566057184636416</v>
      </c>
      <c r="DK21" s="5">
        <v>9.0893250000000009E-2</v>
      </c>
      <c r="DL21" s="5">
        <v>-1.273699150101321E-2</v>
      </c>
      <c r="DM21" s="5">
        <v>-2.498825E-2</v>
      </c>
      <c r="DN21" s="5">
        <v>7.1197612493993062E-2</v>
      </c>
      <c r="DO21" s="5">
        <v>0.33162625000000001</v>
      </c>
      <c r="DP21" s="5">
        <v>0.22901988968023471</v>
      </c>
      <c r="DQ21" s="5">
        <v>7.0422698808183373E-2</v>
      </c>
      <c r="DR21" s="5">
        <v>5.0170859037080733E-2</v>
      </c>
      <c r="DS21" s="5">
        <v>-1.6737500000000001E-3</v>
      </c>
      <c r="DT21" s="5">
        <v>-5.2151903466792276E-3</v>
      </c>
      <c r="DU21" s="5">
        <v>0.14861474999999999</v>
      </c>
      <c r="DV21" s="5">
        <v>0.140275976869878</v>
      </c>
      <c r="DW21" s="5">
        <v>-0.103536</v>
      </c>
      <c r="DX21" s="5">
        <v>0.18596621403118341</v>
      </c>
      <c r="DY21" s="5">
        <v>0.16672999999999999</v>
      </c>
      <c r="DZ21" s="5">
        <v>9.8930000000000004E-2</v>
      </c>
      <c r="EA21" s="5">
        <v>-3.5066457185236648E-2</v>
      </c>
      <c r="EB21" s="5">
        <v>2.6302193998533951E-2</v>
      </c>
      <c r="EC21" s="5">
        <v>1.403705509804205E-2</v>
      </c>
      <c r="ED21" s="5">
        <v>5.4498856348180663E-2</v>
      </c>
      <c r="EE21" s="5">
        <v>2.1309999999999999E-2</v>
      </c>
      <c r="EF21" s="5">
        <v>2.8794500000000001E-2</v>
      </c>
    </row>
    <row r="22" spans="1:136">
      <c r="A22" s="7">
        <v>321</v>
      </c>
      <c r="B22" s="7">
        <v>3</v>
      </c>
      <c r="C22" s="6">
        <v>0.20528266666666661</v>
      </c>
      <c r="D22" s="5">
        <v>0.1424293333333333</v>
      </c>
      <c r="E22" s="5">
        <v>-1.735666666666667E-2</v>
      </c>
      <c r="F22" s="5">
        <v>-6.7831060921277567E-2</v>
      </c>
      <c r="G22" s="5">
        <v>0.1038843632903341</v>
      </c>
      <c r="H22" s="5">
        <v>0.124178</v>
      </c>
      <c r="I22" s="5">
        <v>0.12349316933806979</v>
      </c>
      <c r="J22" s="5">
        <v>5.2598589265342909E-2</v>
      </c>
      <c r="K22" s="5">
        <v>0.2453659126827557</v>
      </c>
      <c r="L22" s="5">
        <v>-1.427200000000001E-2</v>
      </c>
      <c r="M22" s="5">
        <v>-7.4100058770572547E-2</v>
      </c>
      <c r="N22" s="5">
        <v>0.75614233333333325</v>
      </c>
      <c r="O22" s="5">
        <v>-6.7158783113674958E-3</v>
      </c>
      <c r="P22" s="5">
        <v>7.2782884128816977E-2</v>
      </c>
      <c r="Q22" s="5">
        <v>0.27677689383305182</v>
      </c>
      <c r="R22" s="5">
        <v>-3.6628434271588052E-2</v>
      </c>
      <c r="S22" s="5">
        <v>0.16964655555794059</v>
      </c>
      <c r="T22" s="5">
        <v>0.1288124219831229</v>
      </c>
      <c r="U22" s="5">
        <v>0.11059002340250421</v>
      </c>
      <c r="V22" s="5">
        <v>3.8286776519855507E-2</v>
      </c>
      <c r="W22" s="5">
        <v>0.15804799999999999</v>
      </c>
      <c r="X22" s="5">
        <v>0.22178675903387041</v>
      </c>
      <c r="Y22" s="5">
        <v>-1.5732208413521059E-2</v>
      </c>
      <c r="Z22" s="5">
        <v>7.5548269145846045E-2</v>
      </c>
      <c r="AA22" s="5">
        <v>8.2524425578113014E-2</v>
      </c>
      <c r="AB22" s="5">
        <v>0.13443621271332551</v>
      </c>
      <c r="AC22" s="5">
        <v>8.5776460715432462E-2</v>
      </c>
      <c r="AD22" s="5">
        <v>1.3571333333333329E-2</v>
      </c>
      <c r="AE22" s="5">
        <v>0.13082384281633419</v>
      </c>
      <c r="AF22" s="5">
        <v>0.42991676804861201</v>
      </c>
      <c r="AG22" s="5">
        <v>5.2841540175733892E-2</v>
      </c>
      <c r="AH22" s="5">
        <v>-0.10586595942047269</v>
      </c>
      <c r="AI22" s="5">
        <v>0.1110046666666667</v>
      </c>
      <c r="AJ22" s="5">
        <v>-3.1699849326408271E-2</v>
      </c>
      <c r="AK22" s="5">
        <v>0.1012885607403957</v>
      </c>
      <c r="AL22" s="5">
        <v>-9.4396666666666691E-3</v>
      </c>
      <c r="AM22" s="5">
        <v>8.4088903467703563E-2</v>
      </c>
      <c r="AN22" s="5">
        <v>0.1111328096635593</v>
      </c>
      <c r="AO22" s="5">
        <v>0.1581528752937269</v>
      </c>
      <c r="AP22" s="5">
        <v>6.2536353887992696E-2</v>
      </c>
      <c r="AQ22" s="5">
        <v>0.1101293333333333</v>
      </c>
      <c r="AR22" s="5">
        <v>6.7924666666666661E-2</v>
      </c>
      <c r="AS22" s="5">
        <v>7.3843702685833568E-2</v>
      </c>
      <c r="AT22" s="5">
        <v>1.7728370994436651E-2</v>
      </c>
      <c r="AU22" s="5">
        <v>0.42935499999999999</v>
      </c>
      <c r="AV22" s="5">
        <v>-8.9753981871632596E-2</v>
      </c>
      <c r="AW22" s="5">
        <v>0.37079927869117352</v>
      </c>
      <c r="AX22" s="5">
        <v>-9.875186005693877E-3</v>
      </c>
      <c r="AY22" s="5">
        <v>7.1733385334230598E-2</v>
      </c>
      <c r="AZ22" s="5">
        <v>0.15518866666666661</v>
      </c>
      <c r="BA22" s="5">
        <v>4.9774666666666662E-2</v>
      </c>
      <c r="BB22" s="5">
        <v>0.51826404945003746</v>
      </c>
      <c r="BC22" s="5">
        <v>0.19562603535051759</v>
      </c>
      <c r="BD22" s="5">
        <v>7.9264000000000001E-2</v>
      </c>
      <c r="BE22" s="5">
        <v>0.12806788396565999</v>
      </c>
      <c r="BF22" s="5">
        <v>0.1991024485484385</v>
      </c>
      <c r="BG22" s="5">
        <v>-4.1231469152780448E-2</v>
      </c>
      <c r="BH22" s="5">
        <v>0.12770700939641619</v>
      </c>
      <c r="BI22" s="5">
        <v>0.111088719409907</v>
      </c>
      <c r="BJ22" s="5">
        <v>4.0893333333333337E-2</v>
      </c>
      <c r="BK22" s="5">
        <v>-4.8315666666666673E-2</v>
      </c>
      <c r="BL22" s="5">
        <v>0.13947139040086359</v>
      </c>
      <c r="BM22" s="5">
        <v>2.4304832455331882E-3</v>
      </c>
      <c r="BN22" s="5">
        <v>8.2934333333333332E-2</v>
      </c>
      <c r="BO22" s="5">
        <v>-5.0484429112750417E-2</v>
      </c>
      <c r="BP22" s="5">
        <v>-5.4000000000000055E-4</v>
      </c>
      <c r="BQ22" s="5">
        <v>2.7830097398312589E-2</v>
      </c>
      <c r="BR22" s="5">
        <v>0.10656678196769021</v>
      </c>
      <c r="BS22" s="5">
        <v>-9.7047589704545023E-2</v>
      </c>
      <c r="BT22" s="5">
        <v>8.8724333333333336E-2</v>
      </c>
      <c r="BU22" s="5">
        <v>0.104351</v>
      </c>
      <c r="BV22" s="5">
        <v>-4.8603534589078061E-2</v>
      </c>
      <c r="BW22" s="5">
        <v>0.1321717915357814</v>
      </c>
      <c r="BX22" s="5">
        <v>-0.11302666666666671</v>
      </c>
      <c r="BY22" s="5">
        <v>-5.5597049970371022E-2</v>
      </c>
      <c r="BZ22" s="5">
        <v>4.725773586289217E-2</v>
      </c>
      <c r="CA22" s="5">
        <v>2.749007848032349E-2</v>
      </c>
      <c r="CB22" s="5">
        <v>0.25474000000000002</v>
      </c>
      <c r="CC22" s="5">
        <v>-0.12510499999999999</v>
      </c>
      <c r="CD22" s="5">
        <v>0.33387803671272293</v>
      </c>
      <c r="CE22" s="5">
        <v>6.6840000000000011E-2</v>
      </c>
      <c r="CF22" s="5">
        <v>0.18879978576027739</v>
      </c>
      <c r="CG22" s="5">
        <v>0.207085332633513</v>
      </c>
      <c r="CH22" s="5">
        <v>0.1159187712794482</v>
      </c>
      <c r="CI22" s="5">
        <v>0.1177797462783592</v>
      </c>
      <c r="CJ22" s="5">
        <v>-0.12632535927858729</v>
      </c>
      <c r="CK22" s="5">
        <v>0.1109235402867822</v>
      </c>
      <c r="CL22" s="5">
        <v>-0.2406517986250408</v>
      </c>
      <c r="CM22" s="5">
        <v>0.21983</v>
      </c>
      <c r="CN22" s="5">
        <v>0.15280391681020719</v>
      </c>
      <c r="CO22" s="5">
        <v>0.272059</v>
      </c>
      <c r="CP22" s="5">
        <v>0.25940855696940252</v>
      </c>
      <c r="CQ22" s="5">
        <v>1.7159615519123799E-2</v>
      </c>
      <c r="CR22" s="5">
        <v>0.24677276999188669</v>
      </c>
      <c r="CS22" s="5">
        <v>8.4781935884364376E-2</v>
      </c>
      <c r="CT22" s="5">
        <v>3.8264666666666662E-2</v>
      </c>
      <c r="CU22" s="5">
        <v>0.16735391118636819</v>
      </c>
      <c r="CV22" s="5">
        <v>0.16622267868955429</v>
      </c>
      <c r="CW22" s="5">
        <v>2.2884042331984721E-2</v>
      </c>
      <c r="CX22" s="5">
        <v>3.749593267848913E-3</v>
      </c>
      <c r="CY22" s="5">
        <v>0.10451100000000001</v>
      </c>
      <c r="CZ22" s="5">
        <v>0.26292048459923911</v>
      </c>
      <c r="DA22" s="5">
        <v>3.2453999999999997E-2</v>
      </c>
      <c r="DB22" s="5">
        <v>5.4040666666666667E-2</v>
      </c>
      <c r="DC22" s="5">
        <v>-2.0724784444157599E-2</v>
      </c>
      <c r="DD22" s="5">
        <v>3.1710169125825367E-2</v>
      </c>
      <c r="DE22" s="5">
        <v>-1.7756503501932811E-2</v>
      </c>
      <c r="DF22" s="5">
        <v>0.38966800000000001</v>
      </c>
      <c r="DG22" s="5">
        <v>7.1890999999999997E-2</v>
      </c>
      <c r="DH22" s="5">
        <v>8.1455333333333324E-2</v>
      </c>
      <c r="DI22" s="5">
        <v>6.0122333333333333E-2</v>
      </c>
      <c r="DJ22" s="5">
        <v>0.15369976283032971</v>
      </c>
      <c r="DK22" s="5">
        <v>9.1427666666666671E-2</v>
      </c>
      <c r="DL22" s="5">
        <v>-3.213330743138731E-3</v>
      </c>
      <c r="DM22" s="5">
        <v>-3.1884333333333327E-2</v>
      </c>
      <c r="DN22" s="5">
        <v>4.6763328204007498E-2</v>
      </c>
      <c r="DO22" s="5">
        <v>7.5715333333333343E-2</v>
      </c>
      <c r="DP22" s="5">
        <v>0.16956243214073041</v>
      </c>
      <c r="DQ22" s="5">
        <v>0.16540416654463991</v>
      </c>
      <c r="DR22" s="5">
        <v>-6.0925526153180337E-3</v>
      </c>
      <c r="DS22" s="5">
        <v>-3.6348999999999999E-2</v>
      </c>
      <c r="DT22" s="5">
        <v>2.712875397817005E-2</v>
      </c>
      <c r="DU22" s="5">
        <v>0.1615456666666667</v>
      </c>
      <c r="DV22" s="5">
        <v>0.12570511767817799</v>
      </c>
      <c r="DW22" s="5">
        <v>-8.1416000000000016E-2</v>
      </c>
      <c r="DX22" s="5">
        <v>0.22244260844829469</v>
      </c>
      <c r="DY22" s="5">
        <v>0.1199563333333333</v>
      </c>
      <c r="DZ22" s="5">
        <v>0.11083366666666671</v>
      </c>
      <c r="EA22" s="5">
        <v>-3.4191242409873077E-2</v>
      </c>
      <c r="EB22" s="5">
        <v>0.12976595030606911</v>
      </c>
      <c r="EC22" s="5">
        <v>2.1495101575638179E-2</v>
      </c>
      <c r="ED22" s="5">
        <v>7.7413567057607463E-2</v>
      </c>
      <c r="EE22" s="5">
        <v>4.7635999999999998E-2</v>
      </c>
      <c r="EF22" s="5">
        <v>3.6592666666666662E-2</v>
      </c>
    </row>
    <row r="23" spans="1:136">
      <c r="A23" s="7">
        <v>482</v>
      </c>
      <c r="B23" s="7">
        <v>2</v>
      </c>
      <c r="C23" s="6">
        <v>0.28298899999999988</v>
      </c>
      <c r="D23" s="5">
        <v>0.25409399999999999</v>
      </c>
      <c r="E23" s="5">
        <v>0.13300500000000001</v>
      </c>
      <c r="F23" s="5">
        <v>-0.1823960753208787</v>
      </c>
      <c r="G23" s="5">
        <v>-2.6971568524368019E-2</v>
      </c>
      <c r="H23" s="5">
        <v>-1.81885E-2</v>
      </c>
      <c r="I23" s="5">
        <v>0.148152028600294</v>
      </c>
      <c r="J23" s="5">
        <v>-9.8162291146452377E-2</v>
      </c>
      <c r="K23" s="5">
        <v>0.14260757512465491</v>
      </c>
      <c r="L23" s="5">
        <v>-5.0770999999999997E-2</v>
      </c>
      <c r="M23" s="5">
        <v>-0.2584499163586424</v>
      </c>
      <c r="N23" s="5">
        <v>0.97590100000000002</v>
      </c>
      <c r="O23" s="5">
        <v>-1.9407711266769139E-2</v>
      </c>
      <c r="P23" s="5">
        <v>9.040171118212538E-2</v>
      </c>
      <c r="Q23" s="5">
        <v>-5.95680169005205E-2</v>
      </c>
      <c r="R23" s="5">
        <v>-5.6211143313255052E-2</v>
      </c>
      <c r="S23" s="5">
        <v>0.1137245328272621</v>
      </c>
      <c r="T23" s="5">
        <v>0.15460269332742849</v>
      </c>
      <c r="U23" s="5">
        <v>9.3757422440794366E-2</v>
      </c>
      <c r="V23" s="5">
        <v>-2.302945710979112E-2</v>
      </c>
      <c r="W23" s="5">
        <v>0.25954700000000003</v>
      </c>
      <c r="X23" s="5">
        <v>0.1817811857978229</v>
      </c>
      <c r="Y23" s="5">
        <v>-1.4659801530490259E-2</v>
      </c>
      <c r="Z23" s="5">
        <v>3.3032515443875303E-2</v>
      </c>
      <c r="AA23" s="5">
        <v>-5.6748445960110291E-2</v>
      </c>
      <c r="AB23" s="5">
        <v>6.4039779876783498E-2</v>
      </c>
      <c r="AC23" s="5">
        <v>0.1687547996369127</v>
      </c>
      <c r="AD23" s="5">
        <v>7.1626999999999996E-2</v>
      </c>
      <c r="AE23" s="5">
        <v>0.13721198875766</v>
      </c>
      <c r="AF23" s="5">
        <v>0.32465932564021122</v>
      </c>
      <c r="AG23" s="5">
        <v>9.1873657646360199E-2</v>
      </c>
      <c r="AH23" s="5">
        <v>-8.417158452318324E-2</v>
      </c>
      <c r="AI23" s="5">
        <v>0.209152</v>
      </c>
      <c r="AJ23" s="5">
        <v>5.6431378481542303E-3</v>
      </c>
      <c r="AK23" s="5">
        <v>0.11411109934719101</v>
      </c>
      <c r="AL23" s="5">
        <v>-1.4066499999999999E-2</v>
      </c>
      <c r="AM23" s="5">
        <v>7.769489004865255E-3</v>
      </c>
      <c r="AN23" s="5">
        <v>0.24231469935730071</v>
      </c>
      <c r="AO23" s="5">
        <v>9.078247952961746E-2</v>
      </c>
      <c r="AP23" s="5">
        <v>-3.1210993523056942E-3</v>
      </c>
      <c r="AQ23" s="5">
        <v>9.9379000000000009E-2</v>
      </c>
      <c r="AR23" s="5">
        <v>0.14613599999999999</v>
      </c>
      <c r="AS23" s="5">
        <v>8.1663620780570226E-2</v>
      </c>
      <c r="AT23" s="5">
        <v>0.1095059029649002</v>
      </c>
      <c r="AU23" s="5">
        <v>0.60833199999999998</v>
      </c>
      <c r="AV23" s="5">
        <v>-4.9150066629292007E-2</v>
      </c>
      <c r="AW23" s="5">
        <v>0.58225997417421493</v>
      </c>
      <c r="AX23" s="5">
        <v>-1.4812779008540821E-2</v>
      </c>
      <c r="AY23" s="5">
        <v>0.17023398084058211</v>
      </c>
      <c r="AZ23" s="5">
        <v>7.8071000000000002E-2</v>
      </c>
      <c r="BA23" s="5">
        <v>5.3997999999999997E-2</v>
      </c>
      <c r="BB23" s="5">
        <v>0.68602332967973401</v>
      </c>
      <c r="BC23" s="5">
        <v>0.25286918189993951</v>
      </c>
      <c r="BD23" s="5">
        <v>0.12597949999999999</v>
      </c>
      <c r="BE23" s="5">
        <v>0.1242921430258994</v>
      </c>
      <c r="BF23" s="5">
        <v>0.21000911286045121</v>
      </c>
      <c r="BG23" s="5">
        <v>3.8322827419145812E-2</v>
      </c>
      <c r="BH23" s="5">
        <v>6.3365195703238231E-2</v>
      </c>
      <c r="BI23" s="5">
        <v>0.1911120793231991</v>
      </c>
      <c r="BJ23" s="5">
        <v>5.7494999999999997E-2</v>
      </c>
      <c r="BK23" s="5">
        <v>-4.7852000000000013E-2</v>
      </c>
      <c r="BL23" s="5">
        <v>0.11436629014166901</v>
      </c>
      <c r="BM23" s="5">
        <v>-6.9495462024450616E-2</v>
      </c>
      <c r="BN23" s="5">
        <v>3.8449999999999998E-2</v>
      </c>
      <c r="BO23" s="5">
        <v>3.6524941745999073E-2</v>
      </c>
      <c r="BP23" s="5">
        <v>-2.2474000000000001E-2</v>
      </c>
      <c r="BQ23" s="5">
        <v>7.2047901435266168E-2</v>
      </c>
      <c r="BR23" s="5">
        <v>0.1028225901803507</v>
      </c>
      <c r="BS23" s="5">
        <v>-0.2205670944023907</v>
      </c>
      <c r="BT23" s="5">
        <v>0.2181855</v>
      </c>
      <c r="BU23" s="5">
        <v>0.1056865</v>
      </c>
      <c r="BV23" s="5">
        <v>-5.326905055788838E-2</v>
      </c>
      <c r="BW23" s="5">
        <v>1.536251504309036E-2</v>
      </c>
      <c r="BX23" s="5">
        <v>-6.8729999999999999E-2</v>
      </c>
      <c r="BY23" s="5">
        <v>0.1182492339269558</v>
      </c>
      <c r="BZ23" s="5">
        <v>7.6697624318448621E-3</v>
      </c>
      <c r="CA23" s="5">
        <v>7.5653199746629096E-2</v>
      </c>
      <c r="CB23" s="5">
        <v>0.31616749999999999</v>
      </c>
      <c r="CC23" s="5">
        <v>-8.4545000000000009E-2</v>
      </c>
      <c r="CD23" s="5">
        <v>0.19167645501478511</v>
      </c>
      <c r="CE23" s="5">
        <v>5.9602000000000002E-2</v>
      </c>
      <c r="CF23" s="5">
        <v>0.15713490979116501</v>
      </c>
      <c r="CG23" s="5">
        <v>0.21663724162720299</v>
      </c>
      <c r="CH23" s="5">
        <v>0.18019644892142839</v>
      </c>
      <c r="CI23" s="5">
        <v>0.30989941712809688</v>
      </c>
      <c r="CJ23" s="5">
        <v>-0.15651589641790081</v>
      </c>
      <c r="CK23" s="5">
        <v>7.1856390536544607E-2</v>
      </c>
      <c r="CL23" s="5">
        <v>-0.40866101266741839</v>
      </c>
      <c r="CM23" s="5">
        <v>0.234705</v>
      </c>
      <c r="CN23" s="5">
        <v>0.27710426195606819</v>
      </c>
      <c r="CO23" s="5">
        <v>0.26615749999999999</v>
      </c>
      <c r="CP23" s="5">
        <v>0.31136074316275669</v>
      </c>
      <c r="CQ23" s="5">
        <v>-2.4702270079380868E-2</v>
      </c>
      <c r="CR23" s="5">
        <v>0.15099817047394759</v>
      </c>
      <c r="CS23" s="5">
        <v>6.5159884293212025E-2</v>
      </c>
      <c r="CT23" s="5">
        <v>6.5391499999999977E-2</v>
      </c>
      <c r="CU23" s="5">
        <v>0.20210388498715681</v>
      </c>
      <c r="CV23" s="5">
        <v>0.15333096827157461</v>
      </c>
      <c r="CW23" s="5">
        <v>-2.418628778900123E-2</v>
      </c>
      <c r="CX23" s="5">
        <v>-8.8716994096526336E-2</v>
      </c>
      <c r="CY23" s="5">
        <v>0.15375050000000001</v>
      </c>
      <c r="CZ23" s="5">
        <v>0.18199879385735121</v>
      </c>
      <c r="DA23" s="5">
        <v>6.4644999999999994E-2</v>
      </c>
      <c r="DB23" s="5">
        <v>1.8748000000000001E-2</v>
      </c>
      <c r="DC23" s="5">
        <v>0.1191904860704142</v>
      </c>
      <c r="DD23" s="5">
        <v>9.2798674677153081E-2</v>
      </c>
      <c r="DE23" s="5">
        <v>-6.0085947510171572E-2</v>
      </c>
      <c r="DF23" s="5">
        <v>0.40879749999999998</v>
      </c>
      <c r="DG23" s="5">
        <v>6.7622500000000002E-2</v>
      </c>
      <c r="DH23" s="5">
        <v>0.13922799999999999</v>
      </c>
      <c r="DI23" s="5">
        <v>9.6041000000000015E-2</v>
      </c>
      <c r="DJ23" s="5">
        <v>0.1200325818239187</v>
      </c>
      <c r="DK23" s="5">
        <v>9.1243500000000005E-2</v>
      </c>
      <c r="DL23" s="5">
        <v>2.6242652104624471E-2</v>
      </c>
      <c r="DM23" s="5">
        <v>-4.6476999999999997E-2</v>
      </c>
      <c r="DN23" s="5">
        <v>6.4971960439702253E-3</v>
      </c>
      <c r="DO23" s="5">
        <v>0.124068</v>
      </c>
      <c r="DP23" s="5">
        <v>0.17683961848490651</v>
      </c>
      <c r="DQ23" s="5">
        <v>0.24594610755878629</v>
      </c>
      <c r="DR23" s="5">
        <v>-8.9886002731306744E-2</v>
      </c>
      <c r="DS23" s="5">
        <v>-0.116578</v>
      </c>
      <c r="DT23" s="5">
        <v>-2.2296457069757209E-2</v>
      </c>
      <c r="DU23" s="5">
        <v>5.5638E-2</v>
      </c>
      <c r="DV23" s="5">
        <v>0.27627160832943959</v>
      </c>
      <c r="DW23" s="5">
        <v>2.305249999999999E-2</v>
      </c>
      <c r="DX23" s="5">
        <v>0.31349320637896622</v>
      </c>
      <c r="DY23" s="5">
        <v>-5.3925000000000001E-2</v>
      </c>
      <c r="DZ23" s="5">
        <v>-0.21717500000000001</v>
      </c>
      <c r="EA23" s="5">
        <v>-9.3362079468968795E-2</v>
      </c>
      <c r="EB23" s="5">
        <v>0.24428465812392219</v>
      </c>
      <c r="EC23" s="5">
        <v>-3.6584316325813361E-2</v>
      </c>
      <c r="ED23" s="5">
        <v>9.1425904619781034E-2</v>
      </c>
      <c r="EE23" s="5">
        <v>6.9210999999999995E-2</v>
      </c>
      <c r="EF23" s="5">
        <v>9.3413999999999997E-2</v>
      </c>
    </row>
    <row r="24" spans="1:136">
      <c r="A24" s="7">
        <v>964</v>
      </c>
      <c r="B24" s="7">
        <v>1</v>
      </c>
      <c r="C24" s="6">
        <v>9.9113000000000007E-2</v>
      </c>
      <c r="D24" s="5">
        <v>0.10061</v>
      </c>
      <c r="E24" s="5">
        <v>0.28451199999999999</v>
      </c>
      <c r="F24" s="5">
        <v>-0.20154571887164621</v>
      </c>
      <c r="G24" s="5">
        <v>-2.2622388562617651E-2</v>
      </c>
      <c r="H24" s="5">
        <v>3.5856000000000013E-2</v>
      </c>
      <c r="I24" s="5">
        <v>-2.111933203143501E-3</v>
      </c>
      <c r="J24" s="5">
        <v>-9.9972192910136135E-2</v>
      </c>
      <c r="K24" s="5">
        <v>5.0444335993488708E-2</v>
      </c>
      <c r="L24" s="5">
        <v>-9.3800000000000008E-2</v>
      </c>
      <c r="M24" s="5">
        <v>-0.14681933889950849</v>
      </c>
      <c r="N24" s="5">
        <v>1.7690319999999999</v>
      </c>
      <c r="O24" s="5">
        <v>3.6648790739543732E-2</v>
      </c>
      <c r="P24" s="5">
        <v>0.1042484144089995</v>
      </c>
      <c r="Q24" s="5">
        <v>-6.096496164670627E-2</v>
      </c>
      <c r="R24" s="5">
        <v>-0.24569737077925971</v>
      </c>
      <c r="S24" s="5">
        <v>0.35251446106016437</v>
      </c>
      <c r="T24" s="5">
        <v>-0.27048671467401741</v>
      </c>
      <c r="U24" s="5">
        <v>0.14851867422391801</v>
      </c>
      <c r="V24" s="5">
        <v>-6.7139302837628506E-2</v>
      </c>
      <c r="W24" s="5">
        <v>-0.16456200000000001</v>
      </c>
      <c r="X24" s="5">
        <v>-3.6157896361251968E-2</v>
      </c>
      <c r="Y24" s="5">
        <v>-9.4770149264170878E-3</v>
      </c>
      <c r="Z24" s="5">
        <v>0.10584232727880701</v>
      </c>
      <c r="AA24" s="5">
        <v>0.21854457969115479</v>
      </c>
      <c r="AB24" s="5">
        <v>0.1953396226752438</v>
      </c>
      <c r="AC24" s="5">
        <v>0.4017473338469546</v>
      </c>
      <c r="AD24" s="5">
        <v>0.101174</v>
      </c>
      <c r="AE24" s="5">
        <v>0.19314178971175811</v>
      </c>
      <c r="AF24" s="5">
        <v>0.49538941280416188</v>
      </c>
      <c r="AG24" s="5">
        <v>0.13873571762663761</v>
      </c>
      <c r="AH24" s="5">
        <v>-5.6697360067789589E-2</v>
      </c>
      <c r="AI24" s="5">
        <v>0.31041400000000002</v>
      </c>
      <c r="AJ24" s="5">
        <v>-8.089124399937539E-2</v>
      </c>
      <c r="AK24" s="5">
        <v>8.4883953068192297E-2</v>
      </c>
      <c r="AL24" s="5">
        <v>8.7173E-2</v>
      </c>
      <c r="AM24" s="5">
        <v>-1.89192814205267E-2</v>
      </c>
      <c r="AN24" s="5">
        <v>0.22118946514543131</v>
      </c>
      <c r="AO24" s="5">
        <v>0.1029057025777895</v>
      </c>
      <c r="AP24" s="5">
        <v>2.28517154890964E-2</v>
      </c>
      <c r="AQ24" s="5">
        <v>0.21712400000000001</v>
      </c>
      <c r="AR24" s="5">
        <v>0.17083300000000001</v>
      </c>
      <c r="AS24" s="5">
        <v>3.2867737066227462E-3</v>
      </c>
      <c r="AT24" s="5">
        <v>0.15076897992568081</v>
      </c>
      <c r="AU24" s="5">
        <v>0.47705399999999998</v>
      </c>
      <c r="AV24" s="5">
        <v>0.24768466023032751</v>
      </c>
      <c r="AW24" s="5">
        <v>-0.14871095653144009</v>
      </c>
      <c r="AX24" s="5">
        <v>0.1114913369162155</v>
      </c>
      <c r="AY24" s="5">
        <v>0.16812729388488939</v>
      </c>
      <c r="AZ24" s="5">
        <v>0.11862200000000001</v>
      </c>
      <c r="BA24" s="5">
        <v>5.0491000000000001E-2</v>
      </c>
      <c r="BB24" s="5">
        <v>0.87270314910649027</v>
      </c>
      <c r="BC24" s="5">
        <v>-4.366869614383373E-3</v>
      </c>
      <c r="BD24" s="5">
        <v>1.864E-2</v>
      </c>
      <c r="BE24" s="5">
        <v>-5.7380537985080138E-2</v>
      </c>
      <c r="BF24" s="5">
        <v>-6.4370420949463519E-2</v>
      </c>
      <c r="BG24" s="5">
        <v>-9.0984227707435611E-2</v>
      </c>
      <c r="BH24" s="5">
        <v>0.14767356525171971</v>
      </c>
      <c r="BI24" s="5">
        <v>0.2236291060700471</v>
      </c>
      <c r="BJ24" s="5">
        <v>0.19964000000000001</v>
      </c>
      <c r="BK24" s="5">
        <v>-3.483E-2</v>
      </c>
      <c r="BL24" s="5">
        <v>0.1061069201511666</v>
      </c>
      <c r="BM24" s="5">
        <v>8.4782939838988242E-2</v>
      </c>
      <c r="BN24" s="5">
        <v>0.10891099999999999</v>
      </c>
      <c r="BO24" s="5">
        <v>-0.16110969109564191</v>
      </c>
      <c r="BP24" s="5">
        <v>3.1793000000000002E-2</v>
      </c>
      <c r="BQ24" s="5">
        <v>-6.4169633330115036E-2</v>
      </c>
      <c r="BR24" s="5">
        <v>9.8920889185241626E-2</v>
      </c>
      <c r="BS24" s="5">
        <v>-0.1216210365296066</v>
      </c>
      <c r="BT24" s="5">
        <v>0.27671800000000002</v>
      </c>
      <c r="BU24" s="5">
        <v>8.7489999999999981E-3</v>
      </c>
      <c r="BV24" s="5">
        <v>-4.625870574066291E-2</v>
      </c>
      <c r="BW24" s="5">
        <v>0.15102744542241939</v>
      </c>
      <c r="BX24" s="5">
        <v>-0.10395</v>
      </c>
      <c r="BY24" s="5">
        <v>0.11840823105030179</v>
      </c>
      <c r="BZ24" s="5">
        <v>0.25889289884999689</v>
      </c>
      <c r="CA24" s="5">
        <v>0.1152216807734147</v>
      </c>
      <c r="CB24" s="5">
        <v>0.63969900000000002</v>
      </c>
      <c r="CC24" s="5">
        <v>-0.18246999999999999</v>
      </c>
      <c r="CD24" s="5">
        <v>0.14430631074219491</v>
      </c>
      <c r="CE24" s="5">
        <v>0.16556499999999999</v>
      </c>
      <c r="CF24" s="5">
        <v>0.2217213622453883</v>
      </c>
      <c r="CG24" s="5">
        <v>0.51996896607392207</v>
      </c>
      <c r="CH24" s="5">
        <v>0.35427729684250298</v>
      </c>
      <c r="CI24" s="5">
        <v>-0.3284518207092646</v>
      </c>
      <c r="CJ24" s="5">
        <v>-0.3001868935902553</v>
      </c>
      <c r="CK24" s="5">
        <v>0.32305926532838408</v>
      </c>
      <c r="CL24" s="5">
        <v>0.1417553333725407</v>
      </c>
      <c r="CM24" s="5">
        <v>0.63644000000000001</v>
      </c>
      <c r="CN24" s="5">
        <v>0.60967719726707426</v>
      </c>
      <c r="CO24" s="5">
        <v>0.45247399999999999</v>
      </c>
      <c r="CP24" s="5">
        <v>0.1603442048148421</v>
      </c>
      <c r="CQ24" s="5">
        <v>-0.1601896466275006</v>
      </c>
      <c r="CR24" s="5">
        <v>0.1377874560487031</v>
      </c>
      <c r="CS24" s="5">
        <v>0.1079742359390275</v>
      </c>
      <c r="CT24" s="5">
        <v>-0.119542</v>
      </c>
      <c r="CU24" s="5">
        <v>5.2729044813654813E-2</v>
      </c>
      <c r="CV24" s="5">
        <v>0.182864094907223</v>
      </c>
      <c r="CW24" s="5">
        <v>-0.234993215272846</v>
      </c>
      <c r="CX24" s="5">
        <v>5.5207193708687041E-2</v>
      </c>
      <c r="CY24" s="5">
        <v>0.32114799999999999</v>
      </c>
      <c r="CZ24" s="5">
        <v>0.11220662844456721</v>
      </c>
      <c r="DA24" s="5">
        <v>3.3980000000000003E-2</v>
      </c>
      <c r="DB24" s="5">
        <v>-1.6500000000000001E-2</v>
      </c>
      <c r="DC24" s="5">
        <v>0.19117575817053481</v>
      </c>
      <c r="DD24" s="5">
        <v>-0.19584472218244131</v>
      </c>
      <c r="DE24" s="5">
        <v>0.13158559129553279</v>
      </c>
      <c r="DF24" s="5">
        <v>0.52558799999999994</v>
      </c>
      <c r="DG24" s="5">
        <v>0.119545</v>
      </c>
      <c r="DH24" s="5">
        <v>0.26580500000000001</v>
      </c>
      <c r="DI24" s="5">
        <v>3.7185000000000003E-2</v>
      </c>
      <c r="DJ24" s="5">
        <v>0.2293698745310894</v>
      </c>
      <c r="DK24" s="5">
        <v>0.11967899999999999</v>
      </c>
      <c r="DL24" s="5">
        <v>6.1360513215416877E-2</v>
      </c>
      <c r="DM24" s="5">
        <v>-4.0999999999999723E-4</v>
      </c>
      <c r="DN24" s="5">
        <v>0.23333457077469619</v>
      </c>
      <c r="DO24" s="5">
        <v>0.115615</v>
      </c>
      <c r="DP24" s="5">
        <v>0.22357182348369681</v>
      </c>
      <c r="DQ24" s="5">
        <v>0.35907130209664839</v>
      </c>
      <c r="DR24" s="5">
        <v>-2.0515630212029241E-2</v>
      </c>
      <c r="DS24" s="5">
        <v>-6.7365999999999995E-2</v>
      </c>
      <c r="DT24" s="5">
        <v>-2.9435726388863388E-2</v>
      </c>
      <c r="DU24" s="5">
        <v>-2.178200000000001E-2</v>
      </c>
      <c r="DV24" s="5">
        <v>0.1582246986438143</v>
      </c>
      <c r="DW24" s="5">
        <v>0.101183</v>
      </c>
      <c r="DX24" s="5">
        <v>0.31159312779250392</v>
      </c>
      <c r="DY24" s="5">
        <v>-3.2399999999999998E-3</v>
      </c>
      <c r="DZ24" s="5">
        <v>-0.43351000000000001</v>
      </c>
      <c r="EA24" s="5">
        <v>-2.3171501846674901E-2</v>
      </c>
      <c r="EB24" s="5">
        <v>0.58969791699909047</v>
      </c>
      <c r="EC24" s="5">
        <v>-1.4309918770678909E-2</v>
      </c>
      <c r="ED24" s="5">
        <v>5.6172845298362112E-2</v>
      </c>
      <c r="EE24" s="5">
        <v>0.10748199999999999</v>
      </c>
      <c r="EF24" s="5">
        <v>0.13408500000000001</v>
      </c>
    </row>
    <row r="25" spans="1:136">
      <c r="A25" s="27" t="s">
        <v>145</v>
      </c>
      <c r="B25" s="27" t="s">
        <v>146</v>
      </c>
      <c r="C25" s="28">
        <v>-1.745E-2</v>
      </c>
      <c r="D25" s="28">
        <v>2.0701000000000001E-2</v>
      </c>
      <c r="E25" s="28">
        <v>2.3982E-2</v>
      </c>
      <c r="F25" s="28">
        <v>-6.5599999999999999E-3</v>
      </c>
      <c r="G25" s="28">
        <v>3.1844999999999998E-2</v>
      </c>
      <c r="H25" s="28">
        <v>3.4348999999999998E-2</v>
      </c>
      <c r="I25" s="28">
        <v>-8.2500000000000004E-3</v>
      </c>
      <c r="J25" s="28">
        <v>1.2844E-2</v>
      </c>
      <c r="K25" s="28">
        <v>-5.1020000000000003E-2</v>
      </c>
      <c r="L25" s="28">
        <v>8.7399999999999999E-4</v>
      </c>
      <c r="M25" s="28">
        <v>2.3390000000000001E-2</v>
      </c>
      <c r="N25" s="28">
        <v>1.2989000000000001E-2</v>
      </c>
      <c r="O25" s="28">
        <v>5.855E-3</v>
      </c>
      <c r="P25" s="28">
        <v>2.7413E-2</v>
      </c>
      <c r="Q25" s="28">
        <v>-3.7100000000000002E-3</v>
      </c>
      <c r="R25" s="28">
        <v>2.4077000000000001E-2</v>
      </c>
      <c r="S25" s="28">
        <v>-1.2189999999999999E-2</v>
      </c>
      <c r="T25" s="28">
        <v>-3.9750000000000001E-2</v>
      </c>
      <c r="U25" s="28">
        <v>-7.3160000000000003E-2</v>
      </c>
      <c r="V25" s="28">
        <v>-5.8259999999999999E-2</v>
      </c>
      <c r="W25" s="28">
        <v>7.7300000000000003E-4</v>
      </c>
      <c r="X25" s="28">
        <v>4.4592E-2</v>
      </c>
      <c r="Y25" s="28">
        <v>-2.7699999999999999E-2</v>
      </c>
      <c r="Z25" s="28">
        <v>2.0950000000000001E-3</v>
      </c>
      <c r="AA25" s="28">
        <v>-2.3400000000000001E-2</v>
      </c>
      <c r="AB25" s="28">
        <v>3.2128999999999998E-2</v>
      </c>
      <c r="AC25" s="28">
        <v>3.8903E-2</v>
      </c>
      <c r="AD25" s="28">
        <v>-4.2869999999999998E-2</v>
      </c>
      <c r="AE25" s="28">
        <v>1.8647E-2</v>
      </c>
      <c r="AF25" s="28">
        <v>1.523E-2</v>
      </c>
      <c r="AG25" s="28">
        <v>3.6017E-2</v>
      </c>
      <c r="AH25" s="28">
        <v>9.3550000000000005E-3</v>
      </c>
      <c r="AI25" s="28">
        <v>1.0748000000000001E-2</v>
      </c>
      <c r="AJ25" s="28">
        <v>1.3358E-2</v>
      </c>
      <c r="AK25" s="28">
        <v>-5.3299999999999997E-3</v>
      </c>
      <c r="AL25" s="28">
        <v>1.3829999999999999E-3</v>
      </c>
      <c r="AM25" s="28">
        <v>2.0795999999999999E-2</v>
      </c>
      <c r="AN25" s="28">
        <v>3.1517999999999997E-2</v>
      </c>
      <c r="AO25" s="28">
        <v>6.2420000000000002E-3</v>
      </c>
      <c r="AP25" s="28">
        <v>6.1450000000000003E-3</v>
      </c>
      <c r="AQ25" s="28">
        <v>1.6945999999999999E-2</v>
      </c>
      <c r="AR25" s="28">
        <v>3.4682999999999999E-2</v>
      </c>
      <c r="AS25" s="28">
        <v>3.0990000000000002E-3</v>
      </c>
      <c r="AT25" s="28">
        <v>1.5081000000000001E-2</v>
      </c>
      <c r="AU25" s="28">
        <v>-1.925E-2</v>
      </c>
      <c r="AV25" s="28">
        <v>3.8712000000000003E-2</v>
      </c>
      <c r="AW25" s="28">
        <v>-2.1860000000000001E-2</v>
      </c>
      <c r="AX25" s="28">
        <v>7.7739999999999997E-3</v>
      </c>
      <c r="AY25" s="28">
        <v>4.2396999999999997E-2</v>
      </c>
      <c r="AZ25" s="28">
        <v>-2.631E-2</v>
      </c>
      <c r="BA25" s="28">
        <v>9.5720000000000006E-3</v>
      </c>
      <c r="BB25" s="28">
        <v>-2.4250000000000001E-2</v>
      </c>
      <c r="BC25" s="28">
        <v>2.0163E-2</v>
      </c>
      <c r="BD25" s="28">
        <v>-3.5000000000000001E-3</v>
      </c>
      <c r="BE25" s="28">
        <v>2.0152E-2</v>
      </c>
      <c r="BF25" s="28">
        <v>5.8100000000000003E-4</v>
      </c>
      <c r="BG25" s="28">
        <v>-5.2199999999999998E-3</v>
      </c>
      <c r="BH25" s="28">
        <v>-0.11587</v>
      </c>
      <c r="BI25" s="28">
        <v>8.7250000000000001E-3</v>
      </c>
      <c r="BJ25" s="28">
        <v>-1.6379999999999999E-2</v>
      </c>
      <c r="BK25" s="28">
        <v>2.0840000000000001E-2</v>
      </c>
      <c r="BL25" s="28">
        <v>4.4976000000000002E-2</v>
      </c>
      <c r="BM25" s="28">
        <v>2.3954E-2</v>
      </c>
      <c r="BN25" s="28">
        <v>3.0238999999999999E-2</v>
      </c>
      <c r="BO25" s="28">
        <v>-4.3729999999999998E-2</v>
      </c>
      <c r="BP25" s="28">
        <v>2.1888999999999999E-2</v>
      </c>
      <c r="BQ25" s="28">
        <v>8.6269999999999993E-3</v>
      </c>
      <c r="BR25" s="28">
        <v>-1.9189999999999999E-2</v>
      </c>
      <c r="BS25" s="28">
        <v>1.9734999999999999E-2</v>
      </c>
      <c r="BT25" s="28">
        <v>4.7694E-2</v>
      </c>
      <c r="BU25" s="28">
        <v>1.1455E-2</v>
      </c>
      <c r="BV25" s="28">
        <v>4.3228999999999997E-2</v>
      </c>
      <c r="BW25" s="28">
        <v>-4.2750000000000003E-2</v>
      </c>
      <c r="BX25" s="28">
        <v>-1.7809999999999999E-2</v>
      </c>
      <c r="BY25" s="28">
        <v>-0.15115000000000001</v>
      </c>
      <c r="BZ25" s="28">
        <v>0.124224</v>
      </c>
      <c r="CA25" s="28">
        <v>-4.5599999999999998E-3</v>
      </c>
      <c r="CB25" s="28">
        <v>6.0211000000000001E-2</v>
      </c>
      <c r="CC25" s="28">
        <v>8.5991999999999999E-2</v>
      </c>
      <c r="CD25" s="28">
        <v>-5.8100000000000001E-3</v>
      </c>
      <c r="CE25" s="28">
        <v>-6.0400000000000002E-3</v>
      </c>
      <c r="CF25" s="28">
        <v>2.4520000000000002E-3</v>
      </c>
      <c r="CG25" s="28">
        <v>8.9635999999999993E-2</v>
      </c>
      <c r="CH25" s="28">
        <v>7.0993000000000001E-2</v>
      </c>
      <c r="CI25" s="28">
        <v>2.7171000000000001E-2</v>
      </c>
      <c r="CJ25" s="28">
        <v>5.2468000000000001E-2</v>
      </c>
      <c r="CK25" s="28">
        <v>2.9481E-2</v>
      </c>
      <c r="CL25" s="28">
        <v>6.6824999999999996E-2</v>
      </c>
      <c r="CM25" s="28">
        <v>-2.877E-2</v>
      </c>
      <c r="CN25" s="28">
        <v>3.9462999999999998E-2</v>
      </c>
      <c r="CO25" s="28">
        <v>-2.903E-2</v>
      </c>
      <c r="CP25" s="28">
        <v>1.3984E-2</v>
      </c>
      <c r="CQ25" s="28">
        <v>-3.2280000000000003E-2</v>
      </c>
      <c r="CR25" s="28">
        <v>3.104E-3</v>
      </c>
      <c r="CS25" s="28">
        <v>2.5592E-2</v>
      </c>
      <c r="CT25" s="28">
        <v>4.4392000000000001E-2</v>
      </c>
      <c r="CU25" s="28">
        <v>-3.0339999999999999E-2</v>
      </c>
      <c r="CV25" s="28">
        <v>-1.2600000000000001E-3</v>
      </c>
      <c r="CW25" s="28">
        <v>2.336E-3</v>
      </c>
      <c r="CX25" s="28">
        <v>-6.4259999999999998E-2</v>
      </c>
      <c r="CY25" s="28">
        <v>1.291E-2</v>
      </c>
      <c r="CZ25" s="28">
        <v>-0.12548000000000001</v>
      </c>
      <c r="DA25" s="28">
        <v>1.1691E-2</v>
      </c>
      <c r="DB25" s="28">
        <v>6.3379999999999999E-3</v>
      </c>
      <c r="DC25" s="28">
        <v>-0.11731</v>
      </c>
      <c r="DD25" s="28">
        <v>-3.601E-2</v>
      </c>
      <c r="DE25" s="28">
        <v>0.13891100000000001</v>
      </c>
      <c r="DF25" s="28">
        <v>-5.1139999999999998E-2</v>
      </c>
      <c r="DG25" s="28">
        <v>7.6730999999999994E-2</v>
      </c>
      <c r="DH25" s="28">
        <v>1.5509E-2</v>
      </c>
      <c r="DI25" s="28">
        <v>2.3224000000000002E-2</v>
      </c>
      <c r="DJ25" s="28">
        <v>-1.8370000000000001E-2</v>
      </c>
      <c r="DK25" s="28">
        <v>6.2198999999999997E-2</v>
      </c>
      <c r="DL25" s="28">
        <v>2.0098000000000001E-2</v>
      </c>
      <c r="DM25" s="28">
        <v>1.3499000000000001E-2</v>
      </c>
      <c r="DN25" s="28">
        <v>-3.0249999999999999E-2</v>
      </c>
      <c r="DO25" s="28">
        <v>-1.702E-2</v>
      </c>
      <c r="DP25" s="28">
        <v>-2.179E-2</v>
      </c>
      <c r="DQ25" s="28">
        <v>8.5746000000000003E-2</v>
      </c>
      <c r="DR25" s="28">
        <v>2.8107E-2</v>
      </c>
      <c r="DS25" s="28">
        <v>-2.3E-3</v>
      </c>
      <c r="DT25" s="28">
        <v>5.8471000000000002E-2</v>
      </c>
      <c r="DU25" s="28">
        <v>6.7658999999999997E-2</v>
      </c>
      <c r="DV25" s="28">
        <v>5.0210000000000003E-3</v>
      </c>
      <c r="DW25" s="28">
        <v>3.7415999999999998E-2</v>
      </c>
      <c r="DX25" s="28">
        <v>8.4111000000000005E-2</v>
      </c>
      <c r="DY25" s="28">
        <v>-3.6830000000000002E-2</v>
      </c>
      <c r="DZ25" s="28">
        <v>3.0920000000000001E-3</v>
      </c>
      <c r="EA25" s="28">
        <v>-1.9599999999999999E-3</v>
      </c>
      <c r="EB25" s="28">
        <v>2.6459E-2</v>
      </c>
      <c r="EC25" s="28">
        <v>-2.4750000000000001E-2</v>
      </c>
      <c r="ED25" s="28">
        <v>3.4114999999999999E-2</v>
      </c>
      <c r="EE25" s="28">
        <v>2.1062000000000001E-2</v>
      </c>
      <c r="EF25" s="29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25"/>
  <sheetViews>
    <sheetView zoomScale="150" workbookViewId="0">
      <selection activeCell="C12" sqref="C12:EF12"/>
    </sheetView>
  </sheetViews>
  <sheetFormatPr baseColWidth="10" defaultColWidth="7.5" defaultRowHeight="14"/>
  <cols>
    <col min="1" max="1" width="7.5" style="1" customWidth="1"/>
    <col min="2" max="16384" width="7.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>
      <c r="A10" s="25" t="s">
        <v>140</v>
      </c>
      <c r="B10" s="24"/>
      <c r="C10" s="7" t="s">
        <v>141</v>
      </c>
      <c r="D10" s="10">
        <v>964</v>
      </c>
    </row>
    <row r="11" spans="1:136">
      <c r="A11" s="7" t="s">
        <v>142</v>
      </c>
      <c r="B11" s="7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>
      <c r="A12" s="7">
        <v>10</v>
      </c>
      <c r="B12" s="7">
        <v>96</v>
      </c>
      <c r="C12" s="9">
        <v>8.4653000000000006E-2</v>
      </c>
      <c r="D12" s="8">
        <f>C12+真實IC!D12</f>
        <v>0.1993415104166667</v>
      </c>
      <c r="E12" s="8">
        <f>D12+真實IC!E12</f>
        <v>0.2473677916666667</v>
      </c>
      <c r="F12" s="8">
        <f>E12+真實IC!F12</f>
        <v>0.30332717645112545</v>
      </c>
      <c r="G12" s="8">
        <f>F12+真實IC!G12</f>
        <v>0.33527462496975591</v>
      </c>
      <c r="H12" s="8">
        <f>G12+真實IC!H12</f>
        <v>0.37380534371975593</v>
      </c>
      <c r="I12" s="8">
        <f>H12+真實IC!I12</f>
        <v>0.41010928056880797</v>
      </c>
      <c r="J12" s="8">
        <f>I12+真實IC!J12</f>
        <v>0.45389385931367948</v>
      </c>
      <c r="K12" s="8">
        <f>J12+真實IC!K12</f>
        <v>0.48308185744737864</v>
      </c>
      <c r="L12" s="8">
        <f>K12+真實IC!L12</f>
        <v>0.52497249286404535</v>
      </c>
      <c r="M12" s="8">
        <f>L12+真實IC!M12</f>
        <v>0.55186166669725234</v>
      </c>
      <c r="N12" s="8">
        <f>M12+真實IC!N12</f>
        <v>0.62118841669725233</v>
      </c>
      <c r="O12" s="8">
        <f>N12+真實IC!O12</f>
        <v>0.64910317576449272</v>
      </c>
      <c r="P12" s="8">
        <f>O12+真實IC!P12</f>
        <v>0.67052359696895503</v>
      </c>
      <c r="Q12" s="8">
        <f>P12+真實IC!Q12</f>
        <v>0.70431638108986272</v>
      </c>
      <c r="R12" s="8">
        <f>Q12+真實IC!R12</f>
        <v>0.71771388732979846</v>
      </c>
      <c r="S12" s="8">
        <f>R12+真實IC!S12</f>
        <v>0.78876778442440554</v>
      </c>
      <c r="T12" s="8">
        <f>S12+真實IC!T12</f>
        <v>0.83663550076993021</v>
      </c>
      <c r="U12" s="8">
        <f>T12+真實IC!U12</f>
        <v>0.85700272132306121</v>
      </c>
      <c r="V12" s="8">
        <f>U12+真實IC!V12</f>
        <v>0.90203271212590996</v>
      </c>
      <c r="W12" s="8">
        <f>V12+真實IC!W12</f>
        <v>0.96607235795924329</v>
      </c>
      <c r="X12" s="8">
        <f>W12+真實IC!X12</f>
        <v>1.0757131093065786</v>
      </c>
      <c r="Y12" s="8">
        <f>X12+真實IC!Y12</f>
        <v>1.0925014865583946</v>
      </c>
      <c r="Z12" s="8">
        <f>Y12+真實IC!Z12</f>
        <v>1.1561251698739685</v>
      </c>
      <c r="AA12" s="8">
        <f>Z12+真實IC!AA12</f>
        <v>1.1830436492947802</v>
      </c>
      <c r="AB12" s="8">
        <f>AA12+真實IC!AB12</f>
        <v>1.2177327598462584</v>
      </c>
      <c r="AC12" s="8">
        <f>AB12+真實IC!AC12</f>
        <v>1.2645057054725697</v>
      </c>
      <c r="AD12" s="8">
        <f>AC12+真實IC!AD12</f>
        <v>1.2738976846392365</v>
      </c>
      <c r="AE12" s="8">
        <f>AD12+真實IC!AE12</f>
        <v>1.3203354013062205</v>
      </c>
      <c r="AF12" s="8">
        <f>AE12+真實IC!AF12</f>
        <v>1.3723475040829882</v>
      </c>
      <c r="AG12" s="8">
        <f>AF12+真實IC!AG12</f>
        <v>1.4023296490157127</v>
      </c>
      <c r="AH12" s="8">
        <f>AG12+真實IC!AH12</f>
        <v>1.4157354536653459</v>
      </c>
      <c r="AI12" s="8">
        <f>AH12+真實IC!AI12</f>
        <v>1.4389824119986792</v>
      </c>
      <c r="AJ12" s="8">
        <f>AI12+真實IC!AJ12</f>
        <v>1.4519661595447337</v>
      </c>
      <c r="AK12" s="8">
        <f>AJ12+真實IC!AK12</f>
        <v>1.5000898636968683</v>
      </c>
      <c r="AL12" s="8">
        <f>AK12+真實IC!AL12</f>
        <v>1.534195124113535</v>
      </c>
      <c r="AM12" s="8">
        <f>AL12+真實IC!AM12</f>
        <v>1.564281239726133</v>
      </c>
      <c r="AN12" s="8">
        <f>AM12+真實IC!AN12</f>
        <v>1.6335144740395615</v>
      </c>
      <c r="AO12" s="8">
        <f>AN12+真實IC!AO12</f>
        <v>1.6485099448826888</v>
      </c>
      <c r="AP12" s="8">
        <f>AO12+真實IC!AP12</f>
        <v>1.682228289664538</v>
      </c>
      <c r="AQ12" s="8">
        <f>AP12+真實IC!AQ12</f>
        <v>1.6889099354978714</v>
      </c>
      <c r="AR12" s="8">
        <f>AQ12+真實IC!AR12</f>
        <v>1.6964143000812046</v>
      </c>
      <c r="AS12" s="8">
        <f>AR12+真實IC!AS12</f>
        <v>1.7163905729915758</v>
      </c>
      <c r="AT12" s="8">
        <f>AS12+真實IC!AT12</f>
        <v>1.7885859553440109</v>
      </c>
      <c r="AU12" s="8">
        <f>AT12+真實IC!AU12</f>
        <v>1.8519961428440108</v>
      </c>
      <c r="AV12" s="8">
        <f>AU12+真實IC!AV12</f>
        <v>1.9057117735007305</v>
      </c>
      <c r="AW12" s="8">
        <f>AV12+真實IC!AW12</f>
        <v>1.9228814782641335</v>
      </c>
      <c r="AX12" s="8">
        <f>AW12+真實IC!AX12</f>
        <v>1.9675774902370313</v>
      </c>
      <c r="AY12" s="8">
        <f>AX12+真實IC!AY12</f>
        <v>1.9925327833047046</v>
      </c>
      <c r="AZ12" s="8">
        <f>AY12+真實IC!AZ12</f>
        <v>2.0590970333047047</v>
      </c>
      <c r="BA12" s="8">
        <f>AZ12+真實IC!BA12</f>
        <v>2.1303733353880379</v>
      </c>
      <c r="BB12" s="8">
        <f>BA12+真實IC!BB12</f>
        <v>2.1594099899576795</v>
      </c>
      <c r="BC12" s="8">
        <f>BB12+真實IC!BC12</f>
        <v>2.1861009562500171</v>
      </c>
      <c r="BD12" s="8">
        <f>BC12+真實IC!BD12</f>
        <v>2.2353349041666837</v>
      </c>
      <c r="BE12" s="8">
        <f>BD12+真實IC!BE12</f>
        <v>2.2707034493092024</v>
      </c>
      <c r="BF12" s="8">
        <f>BE12+真實IC!BF12</f>
        <v>2.3383203985568977</v>
      </c>
      <c r="BG12" s="8">
        <f>BF12+真實IC!BG12</f>
        <v>2.3850781524381812</v>
      </c>
      <c r="BH12" s="8">
        <f>BG12+真實IC!BH12</f>
        <v>2.4201577414680981</v>
      </c>
      <c r="BI12" s="8">
        <f>BH12+真實IC!BI12</f>
        <v>2.4701789944990891</v>
      </c>
      <c r="BJ12" s="8">
        <f>BI12+真實IC!BJ12</f>
        <v>2.5136019632490889</v>
      </c>
      <c r="BK12" s="8">
        <f>BJ12+真實IC!BK12</f>
        <v>2.5336777861657556</v>
      </c>
      <c r="BL12" s="8">
        <f>BK12+真實IC!BL12</f>
        <v>2.5658068844662498</v>
      </c>
      <c r="BM12" s="8">
        <f>BL12+真實IC!BM12</f>
        <v>2.6161125689895743</v>
      </c>
      <c r="BN12" s="8">
        <f>BM12+真實IC!BN12</f>
        <v>2.6356148189895743</v>
      </c>
      <c r="BO12" s="8">
        <f>BN12+真實IC!BO12</f>
        <v>2.6598611292458112</v>
      </c>
      <c r="BP12" s="8">
        <f>BO12+真實IC!BP12</f>
        <v>2.686283629245811</v>
      </c>
      <c r="BQ12" s="8">
        <f>BP12+真實IC!BQ12</f>
        <v>2.7001803788645575</v>
      </c>
      <c r="BR12" s="8">
        <f>BQ12+真實IC!BR12</f>
        <v>2.7688739940116709</v>
      </c>
      <c r="BS12" s="8">
        <f>BR12+真實IC!BS12</f>
        <v>2.8015168489000635</v>
      </c>
      <c r="BT12" s="8">
        <f>BS12+真實IC!BT12</f>
        <v>2.822805025983397</v>
      </c>
      <c r="BU12" s="8">
        <f>BT12+真實IC!BU12</f>
        <v>2.8708882239000637</v>
      </c>
      <c r="BV12" s="8">
        <f>BU12+真實IC!BV12</f>
        <v>2.9131706129859936</v>
      </c>
      <c r="BW12" s="8">
        <f>BV12+真實IC!BW12</f>
        <v>2.9576476168776438</v>
      </c>
      <c r="BX12" s="8">
        <f>BW12+真實IC!BX12</f>
        <v>2.9736319293776439</v>
      </c>
      <c r="BY12" s="8">
        <f>BX12+真實IC!BY12</f>
        <v>3.0325618457352079</v>
      </c>
      <c r="BZ12" s="8">
        <f>BY12+真實IC!BZ12</f>
        <v>3.0779187914264807</v>
      </c>
      <c r="CA12" s="8">
        <f>BZ12+真實IC!CA12</f>
        <v>3.1123190788668231</v>
      </c>
      <c r="CB12" s="8">
        <f>CA12+真實IC!CB12</f>
        <v>3.1847947976168234</v>
      </c>
      <c r="CC12" s="8">
        <f>CB12+真實IC!CC12</f>
        <v>3.25036083928349</v>
      </c>
      <c r="CD12" s="8">
        <f>CC12+真實IC!CD12</f>
        <v>3.3612944728679426</v>
      </c>
      <c r="CE12" s="8">
        <f>CD12+真實IC!CE12</f>
        <v>3.5153016291179426</v>
      </c>
      <c r="CF12" s="8">
        <f>CE12+真實IC!CF12</f>
        <v>3.5430692125317149</v>
      </c>
      <c r="CG12" s="8">
        <f>CF12+真實IC!CG12</f>
        <v>3.5923471724947955</v>
      </c>
      <c r="CH12" s="8">
        <f>CG12+真實IC!CH12</f>
        <v>3.6556445448727555</v>
      </c>
      <c r="CI12" s="8">
        <f>CH12+真實IC!CI12</f>
        <v>3.6903004572849611</v>
      </c>
      <c r="CJ12" s="8">
        <f>CI12+真實IC!CJ12</f>
        <v>3.7444205241991559</v>
      </c>
      <c r="CK12" s="8">
        <f>CJ12+真實IC!CK12</f>
        <v>3.8005219648469462</v>
      </c>
      <c r="CL12" s="8">
        <f>CK12+真實IC!CL12</f>
        <v>3.9185375725165565</v>
      </c>
      <c r="CM12" s="8">
        <f>CL12+真實IC!CM12</f>
        <v>3.9902461350165566</v>
      </c>
      <c r="CN12" s="8">
        <f>CM12+真實IC!CN12</f>
        <v>4.068711339027363</v>
      </c>
      <c r="CO12" s="8">
        <f>CN12+真實IC!CO12</f>
        <v>4.1400031931940298</v>
      </c>
      <c r="CP12" s="8">
        <f>CO12+真實IC!CP12</f>
        <v>4.1853022146615233</v>
      </c>
      <c r="CQ12" s="8">
        <f>CP12+真實IC!CQ12</f>
        <v>4.2479865616650985</v>
      </c>
      <c r="CR12" s="8">
        <f>CQ12+真實IC!CR12</f>
        <v>4.3051465481866122</v>
      </c>
      <c r="CS12" s="8">
        <f>CR12+真實IC!CS12</f>
        <v>4.3061251217814647</v>
      </c>
      <c r="CT12" s="8">
        <f>CS12+真實IC!CT12</f>
        <v>4.3382390801147981</v>
      </c>
      <c r="CU12" s="8">
        <f>CT12+真實IC!CU12</f>
        <v>4.413018609396155</v>
      </c>
      <c r="CV12" s="8">
        <f>CU12+真實IC!CV12</f>
        <v>4.4780519158918439</v>
      </c>
      <c r="CW12" s="8">
        <f>CV12+真實IC!CW12</f>
        <v>4.4910885852704219</v>
      </c>
      <c r="CX12" s="8">
        <f>CW12+真實IC!CX12</f>
        <v>4.552078467807414</v>
      </c>
      <c r="CY12" s="8">
        <f>CX12+真實IC!CY12</f>
        <v>4.5981511240574138</v>
      </c>
      <c r="CZ12" s="8">
        <f>CY12+真實IC!CZ12</f>
        <v>4.6759434513969147</v>
      </c>
      <c r="DA12" s="8">
        <f>CZ12+真實IC!DA12</f>
        <v>4.712921972230248</v>
      </c>
      <c r="DB12" s="8">
        <f>DA12+真實IC!DB12</f>
        <v>4.8019038263969147</v>
      </c>
      <c r="DC12" s="8">
        <f>DB12+真實IC!DC12</f>
        <v>4.8358770292716891</v>
      </c>
      <c r="DD12" s="8">
        <f>DC12+真實IC!DD12</f>
        <v>4.9058375750060321</v>
      </c>
      <c r="DE12" s="8">
        <f>DD12+真實IC!DE12</f>
        <v>4.9305752194211268</v>
      </c>
      <c r="DF12" s="8">
        <f>DE12+真實IC!DF12</f>
        <v>4.9860613235877933</v>
      </c>
      <c r="DG12" s="8">
        <f>DF12+真實IC!DG12</f>
        <v>5.0324713027544599</v>
      </c>
      <c r="DH12" s="8">
        <f>DG12+真實IC!DH12</f>
        <v>5.0936667298377936</v>
      </c>
      <c r="DI12" s="8">
        <f>DH12+真實IC!DI12</f>
        <v>5.1534157402544603</v>
      </c>
      <c r="DJ12" s="8">
        <f>DI12+真實IC!DJ12</f>
        <v>5.1947937831901321</v>
      </c>
      <c r="DK12" s="8">
        <f>DJ12+真實IC!DK12</f>
        <v>5.2267219915234655</v>
      </c>
      <c r="DL12" s="8">
        <f>DK12+真實IC!DL12</f>
        <v>5.2453918248572684</v>
      </c>
      <c r="DM12" s="8">
        <f>DL12+真實IC!DM12</f>
        <v>5.2646294394406015</v>
      </c>
      <c r="DN12" s="8">
        <f>DM12+真實IC!DN12</f>
        <v>5.3070398048266663</v>
      </c>
      <c r="DO12" s="8">
        <f>DN12+真實IC!DO12</f>
        <v>5.3375970652433331</v>
      </c>
      <c r="DP12" s="8">
        <f>DO12+真實IC!DP12</f>
        <v>5.3970057597999936</v>
      </c>
      <c r="DQ12" s="8">
        <f>DP12+真實IC!DQ12</f>
        <v>5.4715464072804663</v>
      </c>
      <c r="DR12" s="8">
        <f>DQ12+真實IC!DR12</f>
        <v>5.4903253505598535</v>
      </c>
      <c r="DS12" s="8">
        <f>DR12+真實IC!DS12</f>
        <v>5.5599763609765205</v>
      </c>
      <c r="DT12" s="8">
        <f>DS12+真實IC!DT12</f>
        <v>5.5847902025391072</v>
      </c>
      <c r="DU12" s="8">
        <f>DT12+真實IC!DU12</f>
        <v>5.6420204317057738</v>
      </c>
      <c r="DV12" s="8">
        <f>DU12+真實IC!DV12</f>
        <v>5.6905712561833042</v>
      </c>
      <c r="DW12" s="8">
        <f>DV12+真實IC!DW12</f>
        <v>5.7355388082666376</v>
      </c>
      <c r="DX12" s="8">
        <f>DW12+真實IC!DX12</f>
        <v>5.7856908888089995</v>
      </c>
      <c r="DY12" s="8">
        <f>DX12+真實IC!DY12</f>
        <v>5.8388362013089994</v>
      </c>
      <c r="DZ12" s="8">
        <f>DY12+真實IC!DZ12</f>
        <v>5.8450630450589998</v>
      </c>
      <c r="EA12" s="8">
        <f>DZ12+真實IC!EA12</f>
        <v>5.9581900868081368</v>
      </c>
      <c r="EB12" s="8">
        <f>EA12+真實IC!EB12</f>
        <v>5.9887158636259787</v>
      </c>
      <c r="EC12" s="8">
        <f>EB12+真實IC!EC12</f>
        <v>6.0153673732056436</v>
      </c>
      <c r="ED12" s="8">
        <f>EC12+真實IC!ED12</f>
        <v>6.0758755260141282</v>
      </c>
      <c r="EE12" s="8">
        <f>ED12+真實IC!EE12</f>
        <v>6.1023822135141286</v>
      </c>
      <c r="EF12" s="8">
        <f>EE12+真實IC!EF12</f>
        <v>6.1316156093474623</v>
      </c>
    </row>
    <row r="13" spans="1:136">
      <c r="A13" s="7">
        <v>20</v>
      </c>
      <c r="B13" s="7">
        <v>48</v>
      </c>
      <c r="C13" s="6">
        <v>0.104113</v>
      </c>
      <c r="D13" s="8">
        <f>C13+真實IC!D13</f>
        <v>0.2278581041666666</v>
      </c>
      <c r="E13" s="8">
        <f>D13+真實IC!E13</f>
        <v>0.29771939583333329</v>
      </c>
      <c r="F13" s="8">
        <f>E13+真實IC!F13</f>
        <v>0.35770592252625627</v>
      </c>
      <c r="G13" s="8">
        <f>F13+真實IC!G13</f>
        <v>0.36975332682636219</v>
      </c>
      <c r="H13" s="8">
        <f>G13+真實IC!H13</f>
        <v>0.39974368099302882</v>
      </c>
      <c r="I13" s="8">
        <f>H13+真實IC!I13</f>
        <v>0.43242654397775115</v>
      </c>
      <c r="J13" s="8">
        <f>I13+真實IC!J13</f>
        <v>0.46697643594739585</v>
      </c>
      <c r="K13" s="8">
        <f>J13+真實IC!K13</f>
        <v>0.52730257517496604</v>
      </c>
      <c r="L13" s="8">
        <f>K13+真實IC!L13</f>
        <v>0.53332767934163272</v>
      </c>
      <c r="M13" s="8">
        <f>L13+真實IC!M13</f>
        <v>0.5366074375676374</v>
      </c>
      <c r="N13" s="8">
        <f>M13+真實IC!N13</f>
        <v>0.63641416673430407</v>
      </c>
      <c r="O13" s="8">
        <f>N13+真實IC!O13</f>
        <v>0.653836865545254</v>
      </c>
      <c r="P13" s="8">
        <f>O13+真實IC!P13</f>
        <v>0.67469377860665958</v>
      </c>
      <c r="Q13" s="8">
        <f>P13+真實IC!Q13</f>
        <v>0.71891204283462962</v>
      </c>
      <c r="R13" s="8">
        <f>Q13+真實IC!R13</f>
        <v>0.72540195301070398</v>
      </c>
      <c r="S13" s="8">
        <f>R13+真實IC!S13</f>
        <v>0.84831725101425459</v>
      </c>
      <c r="T13" s="8">
        <f>S13+真實IC!T13</f>
        <v>0.92255133252597721</v>
      </c>
      <c r="U13" s="8">
        <f>T13+真實IC!U13</f>
        <v>0.97671240756767141</v>
      </c>
      <c r="V13" s="8">
        <f>U13+真實IC!V13</f>
        <v>1.029492146467905</v>
      </c>
      <c r="W13" s="8">
        <f>V13+真實IC!W13</f>
        <v>1.1049685423012383</v>
      </c>
      <c r="X13" s="8">
        <f>W13+真實IC!X13</f>
        <v>1.2260963131539764</v>
      </c>
      <c r="Y13" s="8">
        <f>X13+真實IC!Y13</f>
        <v>1.2525681963713189</v>
      </c>
      <c r="Z13" s="8">
        <f>Y13+真實IC!Z13</f>
        <v>1.3309926311765023</v>
      </c>
      <c r="AA13" s="8">
        <f>Z13+真實IC!AA13</f>
        <v>1.3787052796267605</v>
      </c>
      <c r="AB13" s="8">
        <f>AA13+真實IC!AB13</f>
        <v>1.4253834997481378</v>
      </c>
      <c r="AC13" s="8">
        <f>AB13+真實IC!AC13</f>
        <v>1.4921552001300677</v>
      </c>
      <c r="AD13" s="8">
        <f>AC13+真實IC!AD13</f>
        <v>1.5136982834634012</v>
      </c>
      <c r="AE13" s="8">
        <f>AD13+真實IC!AE13</f>
        <v>1.5907697001902019</v>
      </c>
      <c r="AF13" s="8">
        <f>AE13+真實IC!AF13</f>
        <v>1.6640508610185132</v>
      </c>
      <c r="AG13" s="8">
        <f>AF13+真實IC!AG13</f>
        <v>1.6957326440735161</v>
      </c>
      <c r="AH13" s="8">
        <f>AG13+真實IC!AH13</f>
        <v>1.7053739833130326</v>
      </c>
      <c r="AI13" s="8">
        <f>AH13+真實IC!AI13</f>
        <v>1.7252840249796992</v>
      </c>
      <c r="AJ13" s="8">
        <f>AI13+真實IC!AJ13</f>
        <v>1.7090035549914235</v>
      </c>
      <c r="AK13" s="8">
        <f>AJ13+真實IC!AK13</f>
        <v>1.7749914678020795</v>
      </c>
      <c r="AL13" s="8">
        <f>AK13+真實IC!AL13</f>
        <v>1.7975415719687462</v>
      </c>
      <c r="AM13" s="8">
        <f>AL13+真實IC!AM13</f>
        <v>1.8438240155055752</v>
      </c>
      <c r="AN13" s="8">
        <f>AM13+真實IC!AN13</f>
        <v>1.9491542536416093</v>
      </c>
      <c r="AO13" s="8">
        <f>AN13+真實IC!AO13</f>
        <v>1.9474454069529739</v>
      </c>
      <c r="AP13" s="8">
        <f>AO13+真實IC!AP13</f>
        <v>2.0069962473149716</v>
      </c>
      <c r="AQ13" s="8">
        <f>AP13+真實IC!AQ13</f>
        <v>2.0180781431483048</v>
      </c>
      <c r="AR13" s="8">
        <f>AQ13+真實IC!AR13</f>
        <v>2.0088277264816381</v>
      </c>
      <c r="AS13" s="8">
        <f>AR13+真實IC!AS13</f>
        <v>2.0322326900232355</v>
      </c>
      <c r="AT13" s="8">
        <f>AS13+真實IC!AT13</f>
        <v>2.1186556047508351</v>
      </c>
      <c r="AU13" s="8">
        <f>AT13+真實IC!AU13</f>
        <v>2.1954395839175018</v>
      </c>
      <c r="AV13" s="8">
        <f>AU13+真實IC!AV13</f>
        <v>2.2751055595659722</v>
      </c>
      <c r="AW13" s="8">
        <f>AV13+真實IC!AW13</f>
        <v>2.3019267975363533</v>
      </c>
      <c r="AX13" s="8">
        <f>AW13+真實IC!AX13</f>
        <v>2.3347266296722089</v>
      </c>
      <c r="AY13" s="8">
        <f>AX13+真實IC!AY13</f>
        <v>2.3522909760208339</v>
      </c>
      <c r="AZ13" s="8">
        <f>AY13+真實IC!AZ13</f>
        <v>2.4077411635208339</v>
      </c>
      <c r="BA13" s="8">
        <f>AZ13+真實IC!BA13</f>
        <v>2.4875704343541671</v>
      </c>
      <c r="BB13" s="8">
        <f>BA13+真實IC!BB13</f>
        <v>2.5101178353289462</v>
      </c>
      <c r="BC13" s="8">
        <f>BB13+真實IC!BC13</f>
        <v>2.5292287026037883</v>
      </c>
      <c r="BD13" s="8">
        <f>BC13+真實IC!BD13</f>
        <v>2.5709054317704552</v>
      </c>
      <c r="BE13" s="8">
        <f>BD13+真實IC!BE13</f>
        <v>2.6146792211562384</v>
      </c>
      <c r="BF13" s="8">
        <f>BE13+真實IC!BF13</f>
        <v>2.7363363644221943</v>
      </c>
      <c r="BG13" s="8">
        <f>BF13+真實IC!BG13</f>
        <v>2.8247339102785149</v>
      </c>
      <c r="BH13" s="8">
        <f>BG13+真實IC!BH13</f>
        <v>2.8657575664707071</v>
      </c>
      <c r="BI13" s="8">
        <f>BH13+真實IC!BI13</f>
        <v>2.9181666989274087</v>
      </c>
      <c r="BJ13" s="8">
        <f>BI13+真實IC!BJ13</f>
        <v>2.9696192614274088</v>
      </c>
      <c r="BK13" s="8">
        <f>BJ13+真實IC!BK13</f>
        <v>2.9947452822607423</v>
      </c>
      <c r="BL13" s="8">
        <f>BK13+真實IC!BL13</f>
        <v>3.0292053227091933</v>
      </c>
      <c r="BM13" s="8">
        <f>BL13+真實IC!BM13</f>
        <v>3.0825770914043842</v>
      </c>
      <c r="BN13" s="8">
        <f>BM13+真實IC!BN13</f>
        <v>3.0777192580710508</v>
      </c>
      <c r="BO13" s="8">
        <f>BN13+真實IC!BO13</f>
        <v>3.1085979743045251</v>
      </c>
      <c r="BP13" s="8">
        <f>BO13+真實IC!BP13</f>
        <v>3.1165500159711916</v>
      </c>
      <c r="BQ13" s="8">
        <f>BP13+真實IC!BQ13</f>
        <v>3.1582030797606175</v>
      </c>
      <c r="BR13" s="8">
        <f>BQ13+真實IC!BR13</f>
        <v>3.2380345365839505</v>
      </c>
      <c r="BS13" s="8">
        <f>BR13+真實IC!BS13</f>
        <v>3.2782150509453674</v>
      </c>
      <c r="BT13" s="8">
        <f>BS13+真實IC!BT13</f>
        <v>3.3118829467787005</v>
      </c>
      <c r="BU13" s="8">
        <f>BT13+真實IC!BU13</f>
        <v>3.3865411134453671</v>
      </c>
      <c r="BV13" s="8">
        <f>BU13+真實IC!BV13</f>
        <v>3.4664719475464247</v>
      </c>
      <c r="BW13" s="8">
        <f>BV13+真實IC!BW13</f>
        <v>3.5421859531831044</v>
      </c>
      <c r="BX13" s="8">
        <f>BW13+真實IC!BX13</f>
        <v>3.5436630573497712</v>
      </c>
      <c r="BY13" s="8">
        <f>BX13+真實IC!BY13</f>
        <v>3.5828650139249127</v>
      </c>
      <c r="BZ13" s="8">
        <f>BY13+真實IC!BZ13</f>
        <v>3.6590031369839631</v>
      </c>
      <c r="CA13" s="8">
        <f>BZ13+真實IC!CA13</f>
        <v>3.6925347025843598</v>
      </c>
      <c r="CB13" s="8">
        <f>CA13+真實IC!CB13</f>
        <v>3.8129616192510265</v>
      </c>
      <c r="CC13" s="8">
        <f>CB13+真實IC!CC13</f>
        <v>3.9330795359176931</v>
      </c>
      <c r="CD13" s="8">
        <f>CC13+真實IC!CD13</f>
        <v>4.0381653688100201</v>
      </c>
      <c r="CE13" s="8">
        <f>CD13+真實IC!CE13</f>
        <v>4.2219930979766866</v>
      </c>
      <c r="CF13" s="8">
        <f>CE13+真實IC!CF13</f>
        <v>4.2665073647017557</v>
      </c>
      <c r="CG13" s="8">
        <f>CF13+真實IC!CG13</f>
        <v>4.3245223325089954</v>
      </c>
      <c r="CH13" s="8">
        <f>CG13+真實IC!CH13</f>
        <v>4.3828569443362024</v>
      </c>
      <c r="CI13" s="8">
        <f>CH13+真實IC!CI13</f>
        <v>4.4347104534704656</v>
      </c>
      <c r="CJ13" s="8">
        <f>CI13+真實IC!CJ13</f>
        <v>4.4895206341493052</v>
      </c>
      <c r="CK13" s="8">
        <f>CJ13+真實IC!CK13</f>
        <v>4.5552077604161028</v>
      </c>
      <c r="CL13" s="8">
        <f>CK13+真實IC!CL13</f>
        <v>4.636661126518284</v>
      </c>
      <c r="CM13" s="8">
        <f>CL13+真實IC!CM13</f>
        <v>4.7381134598516175</v>
      </c>
      <c r="CN13" s="8">
        <f>CM13+真實IC!CN13</f>
        <v>4.8391076264998114</v>
      </c>
      <c r="CO13" s="8">
        <f>CN13+真實IC!CO13</f>
        <v>4.9246737723331444</v>
      </c>
      <c r="CP13" s="8">
        <f>CO13+真實IC!CP13</f>
        <v>4.9944003126108791</v>
      </c>
      <c r="CQ13" s="8">
        <f>CP13+真實IC!CQ13</f>
        <v>5.0655791775792833</v>
      </c>
      <c r="CR13" s="8">
        <f>CQ13+真實IC!CR13</f>
        <v>5.1772240639597582</v>
      </c>
      <c r="CS13" s="8">
        <f>CR13+真實IC!CS13</f>
        <v>5.1867917176248932</v>
      </c>
      <c r="CT13" s="8">
        <f>CS13+真實IC!CT13</f>
        <v>5.2302538842915602</v>
      </c>
      <c r="CU13" s="8">
        <f>CT13+真實IC!CU13</f>
        <v>5.3373448460051973</v>
      </c>
      <c r="CV13" s="8">
        <f>CU13+真實IC!CV13</f>
        <v>5.4150008972621704</v>
      </c>
      <c r="CW13" s="8">
        <f>CV13+真實IC!CW13</f>
        <v>5.4513100170186037</v>
      </c>
      <c r="CX13" s="8">
        <f>CW13+真實IC!CX13</f>
        <v>5.5113432722586566</v>
      </c>
      <c r="CY13" s="8">
        <f>CX13+真實IC!CY13</f>
        <v>5.57363991809199</v>
      </c>
      <c r="CZ13" s="8">
        <f>CY13+真實IC!CZ13</f>
        <v>5.6308641384454754</v>
      </c>
      <c r="DA13" s="8">
        <f>CZ13+真實IC!DA13</f>
        <v>5.680309909278809</v>
      </c>
      <c r="DB13" s="8">
        <f>DA13+真實IC!DB13</f>
        <v>5.7865451592788091</v>
      </c>
      <c r="DC13" s="8">
        <f>DB13+真實IC!DC13</f>
        <v>5.8163207251571016</v>
      </c>
      <c r="DD13" s="8">
        <f>DC13+真實IC!DD13</f>
        <v>5.8852977840814855</v>
      </c>
      <c r="DE13" s="8">
        <f>DD13+真實IC!DE13</f>
        <v>5.9077397805107212</v>
      </c>
      <c r="DF13" s="8">
        <f>DE13+真實IC!DF13</f>
        <v>5.9908624680107216</v>
      </c>
      <c r="DG13" s="8">
        <f>DF13+真實IC!DG13</f>
        <v>6.0385917805107212</v>
      </c>
      <c r="DH13" s="8">
        <f>DG13+真實IC!DH13</f>
        <v>6.1273124888440549</v>
      </c>
      <c r="DI13" s="8">
        <f>DH13+真實IC!DI13</f>
        <v>6.2170606138440547</v>
      </c>
      <c r="DJ13" s="8">
        <f>DI13+真實IC!DJ13</f>
        <v>6.2240817374596125</v>
      </c>
      <c r="DK13" s="8">
        <f>DJ13+真實IC!DK13</f>
        <v>6.2434681332929456</v>
      </c>
      <c r="DL13" s="8">
        <f>DK13+真實IC!DL13</f>
        <v>6.2655188239710338</v>
      </c>
      <c r="DM13" s="8">
        <f>DL13+真實IC!DM13</f>
        <v>6.2649868656377006</v>
      </c>
      <c r="DN13" s="8">
        <f>DM13+真實IC!DN13</f>
        <v>6.2764864435602137</v>
      </c>
      <c r="DO13" s="8">
        <f>DN13+真實IC!DO13</f>
        <v>6.3143502977268806</v>
      </c>
      <c r="DP13" s="8">
        <f>DO13+真實IC!DP13</f>
        <v>6.3723826066175819</v>
      </c>
      <c r="DQ13" s="8">
        <f>DP13+真實IC!DQ13</f>
        <v>6.4595116180101524</v>
      </c>
      <c r="DR13" s="8">
        <f>DQ13+真實IC!DR13</f>
        <v>6.4732828272824641</v>
      </c>
      <c r="DS13" s="8">
        <f>DR13+真實IC!DS13</f>
        <v>6.5418795147824644</v>
      </c>
      <c r="DT13" s="8">
        <f>DS13+真實IC!DT13</f>
        <v>6.5717253239434674</v>
      </c>
      <c r="DU13" s="8">
        <f>DT13+真實IC!DU13</f>
        <v>6.6047312822768012</v>
      </c>
      <c r="DV13" s="8">
        <f>DU13+真實IC!DV13</f>
        <v>6.6843514263009896</v>
      </c>
      <c r="DW13" s="8">
        <f>DV13+真實IC!DW13</f>
        <v>6.7263799054676561</v>
      </c>
      <c r="DX13" s="8">
        <f>DW13+真實IC!DX13</f>
        <v>6.7909032850461521</v>
      </c>
      <c r="DY13" s="8">
        <f>DX13+真實IC!DY13</f>
        <v>6.8478844308794855</v>
      </c>
      <c r="DZ13" s="8">
        <f>DY13+真實IC!DZ13</f>
        <v>6.8661864100461525</v>
      </c>
      <c r="EA13" s="8">
        <f>DZ13+真實IC!EA13</f>
        <v>6.990655368195223</v>
      </c>
      <c r="EB13" s="8">
        <f>EA13+真實IC!EB13</f>
        <v>7.0478606609436119</v>
      </c>
      <c r="EC13" s="8">
        <f>EB13+真實IC!EC13</f>
        <v>7.0895204143788408</v>
      </c>
      <c r="ED13" s="8">
        <f>EC13+真實IC!ED13</f>
        <v>7.1552025080380757</v>
      </c>
      <c r="EE13" s="8">
        <f>ED13+真實IC!EE13</f>
        <v>7.1964368830380758</v>
      </c>
      <c r="EF13" s="8">
        <f>EE13+真實IC!EF13</f>
        <v>7.2409499247047426</v>
      </c>
    </row>
    <row r="14" spans="1:136">
      <c r="A14" s="7">
        <v>50</v>
      </c>
      <c r="B14" s="7">
        <v>19</v>
      </c>
      <c r="C14" s="6">
        <v>0.11994100000000001</v>
      </c>
      <c r="D14" s="8">
        <f>C14+真實IC!D14</f>
        <v>0.34224978947368423</v>
      </c>
      <c r="E14" s="8">
        <f>D14+真實IC!E14</f>
        <v>0.44101794736842109</v>
      </c>
      <c r="F14" s="8">
        <f>E14+真實IC!F14</f>
        <v>0.50135985227445368</v>
      </c>
      <c r="G14" s="8">
        <f>F14+真實IC!G14</f>
        <v>0.55501648271723436</v>
      </c>
      <c r="H14" s="8">
        <f>G14+真實IC!H14</f>
        <v>0.61460543008565538</v>
      </c>
      <c r="I14" s="8">
        <f>H14+真實IC!I14</f>
        <v>0.65839278990879768</v>
      </c>
      <c r="J14" s="8">
        <f>I14+真實IC!J14</f>
        <v>0.6817027618737086</v>
      </c>
      <c r="K14" s="8">
        <f>J14+真實IC!K14</f>
        <v>0.73253022813455659</v>
      </c>
      <c r="L14" s="8">
        <f>K14+真實IC!L14</f>
        <v>0.74101043866087235</v>
      </c>
      <c r="M14" s="8">
        <f>L14+真實IC!M14</f>
        <v>0.72198872419588833</v>
      </c>
      <c r="N14" s="8">
        <f>M14+真實IC!N14</f>
        <v>0.92682140840641458</v>
      </c>
      <c r="O14" s="8">
        <f>N14+真實IC!O14</f>
        <v>0.92831581634496307</v>
      </c>
      <c r="P14" s="8">
        <f>O14+真實IC!P14</f>
        <v>0.98666173824320436</v>
      </c>
      <c r="Q14" s="8">
        <f>P14+真實IC!Q14</f>
        <v>1.110765609414653</v>
      </c>
      <c r="R14" s="8">
        <f>Q14+真實IC!R14</f>
        <v>1.0948244221175512</v>
      </c>
      <c r="S14" s="8">
        <f>R14+真實IC!S14</f>
        <v>1.2607176493022598</v>
      </c>
      <c r="T14" s="8">
        <f>S14+真實IC!T14</f>
        <v>1.2957372041366599</v>
      </c>
      <c r="U14" s="8">
        <f>T14+真實IC!U14</f>
        <v>1.4000038687723075</v>
      </c>
      <c r="V14" s="8">
        <f>U14+真實IC!V14</f>
        <v>1.420092995957686</v>
      </c>
      <c r="W14" s="8">
        <f>V14+真實IC!W14</f>
        <v>1.5362583643787386</v>
      </c>
      <c r="X14" s="8">
        <f>W14+真實IC!X14</f>
        <v>1.7229440599890855</v>
      </c>
      <c r="Y14" s="8">
        <f>X14+真實IC!Y14</f>
        <v>1.7281639345846174</v>
      </c>
      <c r="Z14" s="8">
        <f>Y14+真實IC!Z14</f>
        <v>1.7666758608649251</v>
      </c>
      <c r="AA14" s="8">
        <f>Z14+真實IC!AA14</f>
        <v>1.8665817403622498</v>
      </c>
      <c r="AB14" s="8">
        <f>AA14+真實IC!AB14</f>
        <v>1.93735111770948</v>
      </c>
      <c r="AC14" s="8">
        <f>AB14+真實IC!AC14</f>
        <v>1.9342645553706908</v>
      </c>
      <c r="AD14" s="8">
        <f>AC14+真實IC!AD14</f>
        <v>1.9735925027391119</v>
      </c>
      <c r="AE14" s="8">
        <f>AD14+真實IC!AE14</f>
        <v>2.0904294225786781</v>
      </c>
      <c r="AF14" s="8">
        <f>AE14+真實IC!AF14</f>
        <v>2.1865095180353116</v>
      </c>
      <c r="AG14" s="8">
        <f>AF14+真實IC!AG14</f>
        <v>2.2070304126818741</v>
      </c>
      <c r="AH14" s="8">
        <f>AG14+真實IC!AH14</f>
        <v>2.21228069061238</v>
      </c>
      <c r="AI14" s="8">
        <f>AH14+真實IC!AI14</f>
        <v>2.2232460064018538</v>
      </c>
      <c r="AJ14" s="8">
        <f>AI14+真實IC!AJ14</f>
        <v>2.2383050424850048</v>
      </c>
      <c r="AK14" s="8">
        <f>AJ14+真實IC!AK14</f>
        <v>2.3152164733433067</v>
      </c>
      <c r="AL14" s="8">
        <f>AK14+真實IC!AL14</f>
        <v>2.3337755786064647</v>
      </c>
      <c r="AM14" s="8">
        <f>AL14+真實IC!AM14</f>
        <v>2.3950177449850898</v>
      </c>
      <c r="AN14" s="8">
        <f>AM14+真實IC!AN14</f>
        <v>2.4936124117546337</v>
      </c>
      <c r="AO14" s="8">
        <f>AN14+真實IC!AO14</f>
        <v>2.4555680592125722</v>
      </c>
      <c r="AP14" s="8">
        <f>AO14+真實IC!AP14</f>
        <v>2.5255445843646562</v>
      </c>
      <c r="AQ14" s="8">
        <f>AP14+真實IC!AQ14</f>
        <v>2.533671005417288</v>
      </c>
      <c r="AR14" s="8">
        <f>AQ14+真實IC!AR14</f>
        <v>2.5155005317330774</v>
      </c>
      <c r="AS14" s="8">
        <f>AR14+真實IC!AS14</f>
        <v>2.5088311933433878</v>
      </c>
      <c r="AT14" s="8">
        <f>AS14+真實IC!AT14</f>
        <v>2.5882346730540258</v>
      </c>
      <c r="AU14" s="8">
        <f>AT14+真實IC!AU14</f>
        <v>2.7260877783171837</v>
      </c>
      <c r="AV14" s="8">
        <f>AU14+真實IC!AV14</f>
        <v>2.7923465275334425</v>
      </c>
      <c r="AW14" s="8">
        <f>AV14+真實IC!AW14</f>
        <v>2.84627520876287</v>
      </c>
      <c r="AX14" s="8">
        <f>AW14+真實IC!AX14</f>
        <v>2.8656454221383605</v>
      </c>
      <c r="AY14" s="8">
        <f>AX14+真實IC!AY14</f>
        <v>2.8807135409101221</v>
      </c>
      <c r="AZ14" s="8">
        <f>AY14+真實IC!AZ14</f>
        <v>2.906342540910122</v>
      </c>
      <c r="BA14" s="8">
        <f>AZ14+真實IC!BA14</f>
        <v>3.0026799619627536</v>
      </c>
      <c r="BB14" s="8">
        <f>BA14+真實IC!BB14</f>
        <v>3.112991210863874</v>
      </c>
      <c r="BC14" s="8">
        <f>BB14+真實IC!BC14</f>
        <v>3.0844855273645679</v>
      </c>
      <c r="BD14" s="8">
        <f>BC14+真實IC!BD14</f>
        <v>3.1009044221014102</v>
      </c>
      <c r="BE14" s="8">
        <f>BD14+真實IC!BE14</f>
        <v>3.170986192250739</v>
      </c>
      <c r="BF14" s="8">
        <f>BE14+真實IC!BF14</f>
        <v>3.3248154538247472</v>
      </c>
      <c r="BG14" s="8">
        <f>BF14+真實IC!BG14</f>
        <v>3.4501207602643369</v>
      </c>
      <c r="BH14" s="8">
        <f>BG14+真實IC!BH14</f>
        <v>3.5235342244430621</v>
      </c>
      <c r="BI14" s="8">
        <f>BH14+真實IC!BI14</f>
        <v>3.5737194373339158</v>
      </c>
      <c r="BJ14" s="8">
        <f>BI14+真實IC!BJ14</f>
        <v>3.597737332070758</v>
      </c>
      <c r="BK14" s="8">
        <f>BJ14+真實IC!BK14</f>
        <v>3.5645001215444423</v>
      </c>
      <c r="BL14" s="8">
        <f>BK14+真實IC!BL14</f>
        <v>3.6244970170718824</v>
      </c>
      <c r="BM14" s="8">
        <f>BL14+真實IC!BM14</f>
        <v>3.670775342074883</v>
      </c>
      <c r="BN14" s="8">
        <f>BM14+真實IC!BN14</f>
        <v>3.6241984999696197</v>
      </c>
      <c r="BO14" s="8">
        <f>BN14+真實IC!BO14</f>
        <v>3.6578075456468842</v>
      </c>
      <c r="BP14" s="8">
        <f>BO14+真實IC!BP14</f>
        <v>3.6074758614363578</v>
      </c>
      <c r="BQ14" s="8">
        <f>BP14+真實IC!BQ14</f>
        <v>3.6233193853063086</v>
      </c>
      <c r="BR14" s="8">
        <f>BQ14+真實IC!BR14</f>
        <v>3.7233718083816951</v>
      </c>
      <c r="BS14" s="8">
        <f>BR14+真實IC!BS14</f>
        <v>3.7537045323684657</v>
      </c>
      <c r="BT14" s="8">
        <f>BS14+真實IC!BT14</f>
        <v>3.738416216578992</v>
      </c>
      <c r="BU14" s="8">
        <f>BT14+真實IC!BU14</f>
        <v>3.8495763218421502</v>
      </c>
      <c r="BV14" s="8">
        <f>BU14+真實IC!BV14</f>
        <v>3.9575579550421449</v>
      </c>
      <c r="BW14" s="8">
        <f>BV14+真實IC!BW14</f>
        <v>4.0884554635993302</v>
      </c>
      <c r="BX14" s="8">
        <f>BW14+真實IC!BX14</f>
        <v>4.0881480951782772</v>
      </c>
      <c r="BY14" s="8">
        <f>BX14+真實IC!BY14</f>
        <v>4.0455436055249283</v>
      </c>
      <c r="BZ14" s="8">
        <f>BY14+真實IC!BZ14</f>
        <v>4.1055776623537108</v>
      </c>
      <c r="CA14" s="8">
        <f>BZ14+真實IC!CA14</f>
        <v>4.1300429284686482</v>
      </c>
      <c r="CB14" s="8">
        <f>CA14+真實IC!CB14</f>
        <v>4.2945087179423327</v>
      </c>
      <c r="CC14" s="8">
        <f>CB14+真實IC!CC14</f>
        <v>4.4151039284686489</v>
      </c>
      <c r="CD14" s="8">
        <f>CC14+真實IC!CD14</f>
        <v>4.5131206384008467</v>
      </c>
      <c r="CE14" s="8">
        <f>CD14+真實IC!CE14</f>
        <v>4.6836754805061096</v>
      </c>
      <c r="CF14" s="8">
        <f>CE14+真實IC!CF14</f>
        <v>4.7760061637881712</v>
      </c>
      <c r="CG14" s="8">
        <f>CF14+真實IC!CG14</f>
        <v>4.8333268274559922</v>
      </c>
      <c r="CH14" s="8">
        <f>CG14+真實IC!CH14</f>
        <v>4.8979882197342093</v>
      </c>
      <c r="CI14" s="8">
        <f>CH14+真實IC!CI14</f>
        <v>5.0038729970975684</v>
      </c>
      <c r="CJ14" s="8">
        <f>CI14+真實IC!CJ14</f>
        <v>5.02166911344671</v>
      </c>
      <c r="CK14" s="8">
        <f>CJ14+真實IC!CK14</f>
        <v>5.0754611999607029</v>
      </c>
      <c r="CL14" s="8">
        <f>CK14+真實IC!CL14</f>
        <v>5.137731154839539</v>
      </c>
      <c r="CM14" s="8">
        <f>CL14+真實IC!CM14</f>
        <v>5.2477989969448018</v>
      </c>
      <c r="CN14" s="8">
        <f>CM14+真實IC!CN14</f>
        <v>5.422394671629859</v>
      </c>
      <c r="CO14" s="8">
        <f>CN14+真實IC!CO14</f>
        <v>5.5956439347877538</v>
      </c>
      <c r="CP14" s="8">
        <f>CO14+真實IC!CP14</f>
        <v>5.6954532662695065</v>
      </c>
      <c r="CQ14" s="8">
        <f>CP14+真實IC!CQ14</f>
        <v>5.727681166156894</v>
      </c>
      <c r="CR14" s="8">
        <f>CQ14+真實IC!CR14</f>
        <v>5.9354008787475419</v>
      </c>
      <c r="CS14" s="8">
        <f>CR14+真實IC!CS14</f>
        <v>5.9309882452142926</v>
      </c>
      <c r="CT14" s="8">
        <f>CS14+真實IC!CT14</f>
        <v>5.9928604557406082</v>
      </c>
      <c r="CU14" s="8">
        <f>CT14+真實IC!CU14</f>
        <v>6.0944054556973226</v>
      </c>
      <c r="CV14" s="8">
        <f>CU14+真實IC!CV14</f>
        <v>6.245802296854956</v>
      </c>
      <c r="CW14" s="8">
        <f>CV14+真實IC!CW14</f>
        <v>6.2905661812982157</v>
      </c>
      <c r="CX14" s="8">
        <f>CW14+真實IC!CX14</f>
        <v>6.326865590186455</v>
      </c>
      <c r="CY14" s="8">
        <f>CX14+真實IC!CY14</f>
        <v>6.3770036428180337</v>
      </c>
      <c r="CZ14" s="8">
        <f>CY14+真實IC!CZ14</f>
        <v>6.4410672061684169</v>
      </c>
      <c r="DA14" s="8">
        <f>CZ14+真實IC!DA14</f>
        <v>6.5064597851157853</v>
      </c>
      <c r="DB14" s="8">
        <f>DA14+真實IC!DB14</f>
        <v>6.6110678377473642</v>
      </c>
      <c r="DC14" s="8">
        <f>DB14+真實IC!DC14</f>
        <v>6.6347004469522117</v>
      </c>
      <c r="DD14" s="8">
        <f>DC14+真實IC!DD14</f>
        <v>6.7139057988003961</v>
      </c>
      <c r="DE14" s="8">
        <f>DD14+真實IC!DE14</f>
        <v>6.776432722806855</v>
      </c>
      <c r="DF14" s="8">
        <f>DE14+真實IC!DF14</f>
        <v>6.9779971964910654</v>
      </c>
      <c r="DG14" s="8">
        <f>DF14+真實IC!DG14</f>
        <v>7.0235808280700125</v>
      </c>
      <c r="DH14" s="8">
        <f>DG14+真實IC!DH14</f>
        <v>7.0823234070173813</v>
      </c>
      <c r="DI14" s="8">
        <f>DH14+真實IC!DI14</f>
        <v>7.168970196491065</v>
      </c>
      <c r="DJ14" s="8">
        <f>DI14+真實IC!DJ14</f>
        <v>7.177764225878386</v>
      </c>
      <c r="DK14" s="8">
        <f>DJ14+真實IC!DK14</f>
        <v>7.2593859100889127</v>
      </c>
      <c r="DL14" s="8">
        <f>DK14+真實IC!DL14</f>
        <v>7.3001407819208115</v>
      </c>
      <c r="DM14" s="8">
        <f>DL14+真實IC!DM14</f>
        <v>7.3012614661313382</v>
      </c>
      <c r="DN14" s="8">
        <f>DM14+真實IC!DN14</f>
        <v>7.3439239620246024</v>
      </c>
      <c r="DO14" s="8">
        <f>DN14+真實IC!DO14</f>
        <v>7.446515962024602</v>
      </c>
      <c r="DP14" s="8">
        <f>DO14+真實IC!DP14</f>
        <v>7.5094307700949026</v>
      </c>
      <c r="DQ14" s="8">
        <f>DP14+真實IC!DQ14</f>
        <v>7.5806033346760353</v>
      </c>
      <c r="DR14" s="8">
        <f>DQ14+真實IC!DR14</f>
        <v>7.6332258541350351</v>
      </c>
      <c r="DS14" s="8">
        <f>DR14+真實IC!DS14</f>
        <v>7.6892775383455616</v>
      </c>
      <c r="DT14" s="8">
        <f>DS14+真實IC!DT14</f>
        <v>7.6970318286846444</v>
      </c>
      <c r="DU14" s="8">
        <f>DT14+真實IC!DU14</f>
        <v>7.7658280918425389</v>
      </c>
      <c r="DV14" s="8">
        <f>DU14+真實IC!DV14</f>
        <v>7.8740904463726462</v>
      </c>
      <c r="DW14" s="8">
        <f>DV14+真實IC!DW14</f>
        <v>7.8759003411094879</v>
      </c>
      <c r="DX14" s="8">
        <f>DW14+真實IC!DX14</f>
        <v>7.9778318466619087</v>
      </c>
      <c r="DY14" s="8">
        <f>DX14+真實IC!DY14</f>
        <v>8.0520896887671718</v>
      </c>
      <c r="DZ14" s="8">
        <f>DY14+真實IC!DZ14</f>
        <v>8.0871205835040136</v>
      </c>
      <c r="EA14" s="8">
        <f>DZ14+真實IC!EA14</f>
        <v>8.150033268076756</v>
      </c>
      <c r="EB14" s="8">
        <f>EA14+真實IC!EB14</f>
        <v>8.2282130987770188</v>
      </c>
      <c r="EC14" s="8">
        <f>EB14+真實IC!EC14</f>
        <v>8.2342924809251521</v>
      </c>
      <c r="ED14" s="8">
        <f>EC14+真實IC!ED14</f>
        <v>8.3369221901113395</v>
      </c>
      <c r="EE14" s="8">
        <f>ED14+真實IC!EE14</f>
        <v>8.3335229269534441</v>
      </c>
      <c r="EF14" s="8">
        <f>EE14+真實IC!EF14</f>
        <v>8.3590471374797595</v>
      </c>
    </row>
    <row r="15" spans="1:136">
      <c r="A15" s="7">
        <v>100</v>
      </c>
      <c r="B15" s="7">
        <v>10</v>
      </c>
      <c r="C15" s="6">
        <v>0.22764499999999999</v>
      </c>
      <c r="D15" s="8">
        <f>C15+真實IC!D15</f>
        <v>0.60035470000000002</v>
      </c>
      <c r="E15" s="8">
        <f>D15+真實IC!E15</f>
        <v>0.66239930000000002</v>
      </c>
      <c r="F15" s="8">
        <f>E15+真實IC!F15</f>
        <v>0.6274778634433027</v>
      </c>
      <c r="G15" s="8">
        <f>F15+真實IC!G15</f>
        <v>0.66188178441033918</v>
      </c>
      <c r="H15" s="8">
        <f>G15+真實IC!H15</f>
        <v>0.78072618441033914</v>
      </c>
      <c r="I15" s="8">
        <f>H15+真實IC!I15</f>
        <v>0.83915762869020472</v>
      </c>
      <c r="J15" s="8">
        <f>I15+真實IC!J15</f>
        <v>0.88911909393759436</v>
      </c>
      <c r="K15" s="8">
        <f>J15+真實IC!K15</f>
        <v>0.98363389152952529</v>
      </c>
      <c r="L15" s="8">
        <f>K15+真實IC!L15</f>
        <v>0.97066699152952529</v>
      </c>
      <c r="M15" s="8">
        <f>L15+真實IC!M15</f>
        <v>0.96853397509323758</v>
      </c>
      <c r="N15" s="8">
        <f>M15+真實IC!N15</f>
        <v>1.2988435750932377</v>
      </c>
      <c r="O15" s="8">
        <f>N15+真實IC!O15</f>
        <v>1.2865727793340849</v>
      </c>
      <c r="P15" s="8">
        <f>O15+真實IC!P15</f>
        <v>1.3506889623557465</v>
      </c>
      <c r="Q15" s="8">
        <f>P15+真實IC!Q15</f>
        <v>1.506225804463559</v>
      </c>
      <c r="R15" s="8">
        <f>Q15+真實IC!R15</f>
        <v>1.4540961143584417</v>
      </c>
      <c r="S15" s="8">
        <f>R15+真實IC!S15</f>
        <v>1.7241040094405955</v>
      </c>
      <c r="T15" s="8">
        <f>S15+真實IC!T15</f>
        <v>1.7699950865577798</v>
      </c>
      <c r="U15" s="8">
        <f>T15+真實IC!U15</f>
        <v>1.9069631482250486</v>
      </c>
      <c r="V15" s="8">
        <f>U15+真實IC!V15</f>
        <v>1.8898312948769358</v>
      </c>
      <c r="W15" s="8">
        <f>V15+真實IC!W15</f>
        <v>1.9967658948769358</v>
      </c>
      <c r="X15" s="8">
        <f>W15+真實IC!X15</f>
        <v>2.2079522222073176</v>
      </c>
      <c r="Y15" s="8">
        <f>X15+真實IC!Y15</f>
        <v>2.1873222478414975</v>
      </c>
      <c r="Z15" s="8">
        <f>Y15+真實IC!Z15</f>
        <v>2.2340422198948562</v>
      </c>
      <c r="AA15" s="8">
        <f>Z15+真實IC!AA15</f>
        <v>2.3948926041079206</v>
      </c>
      <c r="AB15" s="8">
        <f>AA15+真實IC!AB15</f>
        <v>2.478592776623751</v>
      </c>
      <c r="AC15" s="8">
        <f>AB15+真實IC!AC15</f>
        <v>2.4829104454718061</v>
      </c>
      <c r="AD15" s="8">
        <f>AC15+真實IC!AD15</f>
        <v>2.5226008454718061</v>
      </c>
      <c r="AE15" s="8">
        <f>AD15+真實IC!AE15</f>
        <v>2.7343934885190779</v>
      </c>
      <c r="AF15" s="8">
        <f>AE15+真實IC!AF15</f>
        <v>2.8721197756967323</v>
      </c>
      <c r="AG15" s="8">
        <f>AF15+真實IC!AG15</f>
        <v>2.882243253958388</v>
      </c>
      <c r="AH15" s="8">
        <f>AG15+真實IC!AH15</f>
        <v>2.8486388806007117</v>
      </c>
      <c r="AI15" s="8">
        <f>AH15+真實IC!AI15</f>
        <v>2.9229162806007118</v>
      </c>
      <c r="AJ15" s="8">
        <f>AI15+真實IC!AJ15</f>
        <v>2.9323811405681877</v>
      </c>
      <c r="AK15" s="8">
        <f>AJ15+真實IC!AK15</f>
        <v>2.9941407602266326</v>
      </c>
      <c r="AL15" s="8">
        <f>AK15+真實IC!AL15</f>
        <v>2.9872579602266325</v>
      </c>
      <c r="AM15" s="8">
        <f>AL15+真實IC!AM15</f>
        <v>3.0423805823612597</v>
      </c>
      <c r="AN15" s="8">
        <f>AM15+真實IC!AN15</f>
        <v>3.1440692882736432</v>
      </c>
      <c r="AO15" s="8">
        <f>AN15+真實IC!AO15</f>
        <v>3.092684768033676</v>
      </c>
      <c r="AP15" s="8">
        <f>AO15+真實IC!AP15</f>
        <v>3.1709704619264301</v>
      </c>
      <c r="AQ15" s="8">
        <f>AP15+真實IC!AQ15</f>
        <v>3.1907177619264302</v>
      </c>
      <c r="AR15" s="8">
        <f>AQ15+真實IC!AR15</f>
        <v>3.1661674619264302</v>
      </c>
      <c r="AS15" s="8">
        <f>AR15+真實IC!AS15</f>
        <v>3.1174342405723285</v>
      </c>
      <c r="AT15" s="8">
        <f>AS15+真實IC!AT15</f>
        <v>3.1884240531760337</v>
      </c>
      <c r="AU15" s="8">
        <f>AT15+真實IC!AU15</f>
        <v>3.3555330531760337</v>
      </c>
      <c r="AV15" s="8">
        <f>AU15+真實IC!AV15</f>
        <v>3.3928309818751443</v>
      </c>
      <c r="AW15" s="8">
        <f>AV15+真實IC!AW15</f>
        <v>3.4845584546684951</v>
      </c>
      <c r="AX15" s="8">
        <f>AW15+真實IC!AX15</f>
        <v>3.5659190206232632</v>
      </c>
      <c r="AY15" s="8">
        <f>AX15+真實IC!AY15</f>
        <v>3.5939360847332962</v>
      </c>
      <c r="AZ15" s="8">
        <f>AY15+真實IC!AZ15</f>
        <v>3.630784184733296</v>
      </c>
      <c r="BA15" s="8">
        <f>AZ15+真實IC!BA15</f>
        <v>3.7884724847332958</v>
      </c>
      <c r="BB15" s="8">
        <f>BA15+真實IC!BB15</f>
        <v>3.9861856342376365</v>
      </c>
      <c r="BC15" s="8">
        <f>BB15+真實IC!BC15</f>
        <v>3.9552489426152864</v>
      </c>
      <c r="BD15" s="8">
        <f>BC15+真實IC!BD15</f>
        <v>3.9626136426152865</v>
      </c>
      <c r="BE15" s="8">
        <f>BD15+真實IC!BE15</f>
        <v>4.004011613312195</v>
      </c>
      <c r="BF15" s="8">
        <f>BE15+真實IC!BF15</f>
        <v>4.214883700802182</v>
      </c>
      <c r="BG15" s="8">
        <f>BF15+真實IC!BG15</f>
        <v>4.3809349162667788</v>
      </c>
      <c r="BH15" s="8">
        <f>BG15+真實IC!BH15</f>
        <v>4.4795839626731997</v>
      </c>
      <c r="BI15" s="8">
        <f>BH15+真實IC!BI15</f>
        <v>4.5481706217881692</v>
      </c>
      <c r="BJ15" s="8">
        <f>BI15+真實IC!BJ15</f>
        <v>4.6233256217881689</v>
      </c>
      <c r="BK15" s="8">
        <f>BJ15+真實IC!BK15</f>
        <v>4.5504564217881684</v>
      </c>
      <c r="BL15" s="8">
        <f>BK15+真實IC!BL15</f>
        <v>4.6102118427624896</v>
      </c>
      <c r="BM15" s="8">
        <f>BL15+真實IC!BM15</f>
        <v>4.6584308472502336</v>
      </c>
      <c r="BN15" s="8">
        <f>BM15+真實IC!BN15</f>
        <v>4.5923759472502335</v>
      </c>
      <c r="BO15" s="8">
        <f>BN15+真實IC!BO15</f>
        <v>4.6201104232051646</v>
      </c>
      <c r="BP15" s="8">
        <f>BO15+真實IC!BP15</f>
        <v>4.5684946232051642</v>
      </c>
      <c r="BQ15" s="8">
        <f>BP15+真實IC!BQ15</f>
        <v>4.5812975544954924</v>
      </c>
      <c r="BR15" s="8">
        <f>BQ15+真實IC!BR15</f>
        <v>4.7050596909319475</v>
      </c>
      <c r="BS15" s="8">
        <f>BR15+真實IC!BS15</f>
        <v>4.7169256018405594</v>
      </c>
      <c r="BT15" s="8">
        <f>BS15+真實IC!BT15</f>
        <v>4.7535582018405593</v>
      </c>
      <c r="BU15" s="8">
        <f>BT15+真實IC!BU15</f>
        <v>4.8391047018405597</v>
      </c>
      <c r="BV15" s="8">
        <f>BU15+真實IC!BV15</f>
        <v>4.9437447461342501</v>
      </c>
      <c r="BW15" s="8">
        <f>BV15+真實IC!BW15</f>
        <v>5.2426237357101781</v>
      </c>
      <c r="BX15" s="8">
        <f>BW15+真實IC!BX15</f>
        <v>5.2665737357101783</v>
      </c>
      <c r="BY15" s="8">
        <f>BX15+真實IC!BY15</f>
        <v>5.1405501621330911</v>
      </c>
      <c r="BZ15" s="8">
        <f>BY15+真實IC!BZ15</f>
        <v>5.2434566311104387</v>
      </c>
      <c r="CA15" s="8">
        <f>BZ15+真實IC!CA15</f>
        <v>5.2620486519068805</v>
      </c>
      <c r="CB15" s="8">
        <f>CA15+真實IC!CB15</f>
        <v>5.393140251906881</v>
      </c>
      <c r="CC15" s="8">
        <f>CB15+真實IC!CC15</f>
        <v>5.566789851906881</v>
      </c>
      <c r="CD15" s="8">
        <f>CC15+真實IC!CD15</f>
        <v>5.6869419358699655</v>
      </c>
      <c r="CE15" s="8">
        <f>CD15+真實IC!CE15</f>
        <v>5.760309335869966</v>
      </c>
      <c r="CF15" s="8">
        <f>CE15+真實IC!CF15</f>
        <v>5.8546659862633863</v>
      </c>
      <c r="CG15" s="8">
        <f>CF15+真實IC!CG15</f>
        <v>5.9405520077935501</v>
      </c>
      <c r="CH15" s="8">
        <f>CG15+真實IC!CH15</f>
        <v>6.003437966077251</v>
      </c>
      <c r="CI15" s="8">
        <f>CH15+真實IC!CI15</f>
        <v>6.0422363809722315</v>
      </c>
      <c r="CJ15" s="8">
        <f>CI15+真實IC!CJ15</f>
        <v>6.0829080979192929</v>
      </c>
      <c r="CK15" s="8">
        <f>CJ15+真實IC!CK15</f>
        <v>6.1785488460919984</v>
      </c>
      <c r="CL15" s="8">
        <f>CK15+真實IC!CL15</f>
        <v>6.2099708210852471</v>
      </c>
      <c r="CM15" s="8">
        <f>CL15+真實IC!CM15</f>
        <v>6.318088721085247</v>
      </c>
      <c r="CN15" s="8">
        <f>CM15+真實IC!CN15</f>
        <v>6.4612385380564872</v>
      </c>
      <c r="CO15" s="8">
        <f>CN15+真實IC!CO15</f>
        <v>6.6345984380564875</v>
      </c>
      <c r="CP15" s="8">
        <f>CO15+真實IC!CP15</f>
        <v>6.762134273489437</v>
      </c>
      <c r="CQ15" s="8">
        <f>CP15+真實IC!CQ15</f>
        <v>6.7371709130329984</v>
      </c>
      <c r="CR15" s="8">
        <f>CQ15+真實IC!CR15</f>
        <v>6.9186598452687331</v>
      </c>
      <c r="CS15" s="8">
        <f>CR15+真實IC!CS15</f>
        <v>6.9251428963677784</v>
      </c>
      <c r="CT15" s="8">
        <f>CS15+真實IC!CT15</f>
        <v>6.9573597963677782</v>
      </c>
      <c r="CU15" s="8">
        <f>CT15+真實IC!CU15</f>
        <v>7.0814097277816463</v>
      </c>
      <c r="CV15" s="8">
        <f>CU15+真實IC!CV15</f>
        <v>7.2640212754985622</v>
      </c>
      <c r="CW15" s="8">
        <f>CV15+真實IC!CW15</f>
        <v>7.2900933664016891</v>
      </c>
      <c r="CX15" s="8">
        <f>CW15+真實IC!CX15</f>
        <v>7.3141329734550204</v>
      </c>
      <c r="CY15" s="8">
        <f>CX15+真實IC!CY15</f>
        <v>7.3698658734550202</v>
      </c>
      <c r="CZ15" s="8">
        <f>CY15+真實IC!CZ15</f>
        <v>7.4497528213993629</v>
      </c>
      <c r="DA15" s="8">
        <f>CZ15+真實IC!DA15</f>
        <v>7.538614621399363</v>
      </c>
      <c r="DB15" s="8">
        <f>DA15+真實IC!DB15</f>
        <v>7.6356623213993631</v>
      </c>
      <c r="DC15" s="8">
        <f>DB15+真實IC!DC15</f>
        <v>7.6707374713739451</v>
      </c>
      <c r="DD15" s="8">
        <f>DC15+真實IC!DD15</f>
        <v>7.6852441975053916</v>
      </c>
      <c r="DE15" s="8">
        <f>DD15+真實IC!DE15</f>
        <v>7.7424078322366441</v>
      </c>
      <c r="DF15" s="8">
        <f>DE15+真實IC!DF15</f>
        <v>8.045129432236644</v>
      </c>
      <c r="DG15" s="8">
        <f>DF15+真實IC!DG15</f>
        <v>8.0930472322366445</v>
      </c>
      <c r="DH15" s="8">
        <f>DG15+真實IC!DH15</f>
        <v>8.2226707322366437</v>
      </c>
      <c r="DI15" s="8">
        <f>DH15+真實IC!DI15</f>
        <v>8.2654817322366441</v>
      </c>
      <c r="DJ15" s="8">
        <f>DI15+真實IC!DJ15</f>
        <v>8.3255055089277015</v>
      </c>
      <c r="DK15" s="8">
        <f>DJ15+真實IC!DK15</f>
        <v>8.4258345089277018</v>
      </c>
      <c r="DL15" s="8">
        <f>DK15+真實IC!DL15</f>
        <v>8.4255305157248745</v>
      </c>
      <c r="DM15" s="8">
        <f>DL15+真實IC!DM15</f>
        <v>8.423757015724874</v>
      </c>
      <c r="DN15" s="8">
        <f>DM15+真實IC!DN15</f>
        <v>8.4677535131484944</v>
      </c>
      <c r="DO15" s="8">
        <f>DN15+真實IC!DO15</f>
        <v>8.627299113148494</v>
      </c>
      <c r="DP15" s="8">
        <f>DO15+真實IC!DP15</f>
        <v>8.7616040605138608</v>
      </c>
      <c r="DQ15" s="8">
        <f>DP15+真實IC!DQ15</f>
        <v>8.7986427494660582</v>
      </c>
      <c r="DR15" s="8">
        <f>DQ15+真實IC!DR15</f>
        <v>8.8686533160839964</v>
      </c>
      <c r="DS15" s="8">
        <f>DR15+真實IC!DS15</f>
        <v>8.9061832160839955</v>
      </c>
      <c r="DT15" s="8">
        <f>DS15+真實IC!DT15</f>
        <v>8.9589020060730657</v>
      </c>
      <c r="DU15" s="8">
        <f>DT15+真實IC!DU15</f>
        <v>9.0760305060730655</v>
      </c>
      <c r="DV15" s="8">
        <f>DU15+真實IC!DV15</f>
        <v>9.2157988630139371</v>
      </c>
      <c r="DW15" s="8">
        <f>DV15+真實IC!DW15</f>
        <v>9.154972063013938</v>
      </c>
      <c r="DX15" s="8">
        <f>DW15+真實IC!DX15</f>
        <v>9.2735883136639252</v>
      </c>
      <c r="DY15" s="8">
        <f>DX15+真實IC!DY15</f>
        <v>9.4171979136639248</v>
      </c>
      <c r="DZ15" s="8">
        <f>DY15+真實IC!DZ15</f>
        <v>9.457653113663925</v>
      </c>
      <c r="EA15" s="8">
        <f>DZ15+真實IC!EA15</f>
        <v>9.5011043339442498</v>
      </c>
      <c r="EB15" s="8">
        <f>EA15+真實IC!EB15</f>
        <v>9.5891917834715041</v>
      </c>
      <c r="EC15" s="8">
        <f>EB15+真實IC!EC15</f>
        <v>9.6552736395194501</v>
      </c>
      <c r="ED15" s="8">
        <f>EC15+真實IC!ED15</f>
        <v>9.7686306954547621</v>
      </c>
      <c r="EE15" s="8">
        <f>ED15+真實IC!EE15</f>
        <v>9.7718208954547627</v>
      </c>
      <c r="EF15" s="8">
        <f>EE15+真實IC!EF15</f>
        <v>9.8014649954547632</v>
      </c>
    </row>
    <row r="16" spans="1:136">
      <c r="A16" s="7">
        <v>107</v>
      </c>
      <c r="B16" s="7">
        <v>9</v>
      </c>
      <c r="C16" s="6">
        <v>0.207875</v>
      </c>
      <c r="D16" s="8">
        <f>C16+真實IC!D16</f>
        <v>0.61607044444444437</v>
      </c>
      <c r="E16" s="8">
        <f>D16+真實IC!E16</f>
        <v>0.68107533333333325</v>
      </c>
      <c r="F16" s="8">
        <f>E16+真實IC!F16</f>
        <v>0.60235986142900222</v>
      </c>
      <c r="G16" s="8">
        <f>F16+真實IC!G16</f>
        <v>0.61050641208795153</v>
      </c>
      <c r="H16" s="8">
        <f>G16+真實IC!H16</f>
        <v>0.6833551898657293</v>
      </c>
      <c r="I16" s="8">
        <f>H16+真實IC!I16</f>
        <v>0.74088580853135078</v>
      </c>
      <c r="J16" s="8">
        <f>I16+真實IC!J16</f>
        <v>0.78759573457401699</v>
      </c>
      <c r="K16" s="8">
        <f>J16+真實IC!K16</f>
        <v>0.87401662615640752</v>
      </c>
      <c r="L16" s="8">
        <f>K16+真實IC!L16</f>
        <v>0.84299007060085196</v>
      </c>
      <c r="M16" s="8">
        <f>L16+真實IC!M16</f>
        <v>0.82900263473893487</v>
      </c>
      <c r="N16" s="8">
        <f>M16+真實IC!N16</f>
        <v>1.1959905236278239</v>
      </c>
      <c r="O16" s="8">
        <f>N16+真實IC!O16</f>
        <v>1.1674034467488448</v>
      </c>
      <c r="P16" s="8">
        <f>O16+真實IC!P16</f>
        <v>1.2284486785402671</v>
      </c>
      <c r="Q16" s="8">
        <f>P16+真實IC!Q16</f>
        <v>1.3863517489646051</v>
      </c>
      <c r="R16" s="8">
        <f>Q16+真實IC!R16</f>
        <v>1.3373607706816786</v>
      </c>
      <c r="S16" s="8">
        <f>R16+真實IC!S16</f>
        <v>1.6244237910804733</v>
      </c>
      <c r="T16" s="8">
        <f>S16+真實IC!T16</f>
        <v>1.6628304643740852</v>
      </c>
      <c r="U16" s="8">
        <f>T16+真實IC!U16</f>
        <v>1.7928929358038297</v>
      </c>
      <c r="V16" s="8">
        <f>U16+真實IC!V16</f>
        <v>1.7868707904708641</v>
      </c>
      <c r="W16" s="8">
        <f>V16+真實IC!W16</f>
        <v>1.8652442349153084</v>
      </c>
      <c r="X16" s="8">
        <f>W16+真實IC!X16</f>
        <v>2.1057761965424744</v>
      </c>
      <c r="Y16" s="8">
        <f>X16+真實IC!Y16</f>
        <v>2.0855956081228388</v>
      </c>
      <c r="Z16" s="8">
        <f>Y16+真實IC!Z16</f>
        <v>2.1286535390070505</v>
      </c>
      <c r="AA16" s="8">
        <f>Z16+真實IC!AA16</f>
        <v>2.2948124303043675</v>
      </c>
      <c r="AB16" s="8">
        <f>AA16+真實IC!AB16</f>
        <v>2.369797471942348</v>
      </c>
      <c r="AC16" s="8">
        <f>AB16+真實IC!AC16</f>
        <v>2.3570320239069313</v>
      </c>
      <c r="AD16" s="8">
        <f>AC16+真實IC!AD16</f>
        <v>2.3918430239069313</v>
      </c>
      <c r="AE16" s="8">
        <f>AD16+真實IC!AE16</f>
        <v>2.6014712650838416</v>
      </c>
      <c r="AF16" s="8">
        <f>AE16+真實IC!AF16</f>
        <v>2.749386875348268</v>
      </c>
      <c r="AG16" s="8">
        <f>AF16+真實IC!AG16</f>
        <v>2.7626776283848034</v>
      </c>
      <c r="AH16" s="8">
        <f>AG16+真實IC!AH16</f>
        <v>2.7309122279353626</v>
      </c>
      <c r="AI16" s="8">
        <f>AH16+真實IC!AI16</f>
        <v>2.8214353390464737</v>
      </c>
      <c r="AJ16" s="8">
        <f>AI16+真實IC!AJ16</f>
        <v>2.8144093729745978</v>
      </c>
      <c r="AK16" s="8">
        <f>AJ16+真實IC!AK16</f>
        <v>2.8788307738069698</v>
      </c>
      <c r="AL16" s="8">
        <f>AK16+真實IC!AL16</f>
        <v>2.8643571071403033</v>
      </c>
      <c r="AM16" s="8">
        <f>AL16+真實IC!AM16</f>
        <v>2.9304338377421013</v>
      </c>
      <c r="AN16" s="8">
        <f>AM16+真實IC!AN16</f>
        <v>3.0368900378317769</v>
      </c>
      <c r="AO16" s="8">
        <f>AN16+真實IC!AO16</f>
        <v>2.9957998844700358</v>
      </c>
      <c r="AP16" s="8">
        <f>AO16+真實IC!AP16</f>
        <v>3.0735982526156245</v>
      </c>
      <c r="AQ16" s="8">
        <f>AP16+真實IC!AQ16</f>
        <v>3.0976308081711799</v>
      </c>
      <c r="AR16" s="8">
        <f>AQ16+真實IC!AR16</f>
        <v>3.0651385859489575</v>
      </c>
      <c r="AS16" s="8">
        <f>AR16+真實IC!AS16</f>
        <v>3.0124958677107236</v>
      </c>
      <c r="AT16" s="8">
        <f>AS16+真實IC!AT16</f>
        <v>3.1350599110610085</v>
      </c>
      <c r="AU16" s="8">
        <f>AT16+真實IC!AU16</f>
        <v>3.3052964666165643</v>
      </c>
      <c r="AV16" s="8">
        <f>AU16+真實IC!AV16</f>
        <v>3.357377302053302</v>
      </c>
      <c r="AW16" s="8">
        <f>AV16+真實IC!AW16</f>
        <v>3.4663622406948305</v>
      </c>
      <c r="AX16" s="8">
        <f>AW16+真實IC!AX16</f>
        <v>3.5669835697962333</v>
      </c>
      <c r="AY16" s="8">
        <f>AX16+真實IC!AY16</f>
        <v>3.6007961596405793</v>
      </c>
      <c r="AZ16" s="8">
        <f>AY16+真實IC!AZ16</f>
        <v>3.647624048529468</v>
      </c>
      <c r="BA16" s="8">
        <f>AZ16+真實IC!BA16</f>
        <v>3.8076151596405792</v>
      </c>
      <c r="BB16" s="8">
        <f>BA16+真實IC!BB16</f>
        <v>4.033088722716319</v>
      </c>
      <c r="BC16" s="8">
        <f>BB16+真實IC!BC16</f>
        <v>3.9940893307940875</v>
      </c>
      <c r="BD16" s="8">
        <f>BC16+真實IC!BD16</f>
        <v>4.0003734419051984</v>
      </c>
      <c r="BE16" s="8">
        <f>BD16+真實IC!BE16</f>
        <v>4.061571085831658</v>
      </c>
      <c r="BF16" s="8">
        <f>BE16+真實IC!BF16</f>
        <v>4.3093579449321178</v>
      </c>
      <c r="BG16" s="8">
        <f>BF16+真實IC!BG16</f>
        <v>4.4705875145164686</v>
      </c>
      <c r="BH16" s="8">
        <f>BG16+真實IC!BH16</f>
        <v>4.5667495490242027</v>
      </c>
      <c r="BI16" s="8">
        <f>BH16+真實IC!BI16</f>
        <v>4.6081933567874644</v>
      </c>
      <c r="BJ16" s="8">
        <f>BI16+真實IC!BJ16</f>
        <v>4.689622245676353</v>
      </c>
      <c r="BK16" s="8">
        <f>BJ16+真實IC!BK16</f>
        <v>4.5848490234541304</v>
      </c>
      <c r="BL16" s="8">
        <f>BK16+真實IC!BL16</f>
        <v>4.6460226229386006</v>
      </c>
      <c r="BM16" s="8">
        <f>BL16+真實IC!BM16</f>
        <v>4.685520608429707</v>
      </c>
      <c r="BN16" s="8">
        <f>BM16+真實IC!BN16</f>
        <v>4.618321275096374</v>
      </c>
      <c r="BO16" s="8">
        <f>BN16+真實IC!BO16</f>
        <v>4.640211635050032</v>
      </c>
      <c r="BP16" s="8">
        <f>BO16+真實IC!BP16</f>
        <v>4.5824627461611431</v>
      </c>
      <c r="BQ16" s="8">
        <f>BP16+真實IC!BQ16</f>
        <v>4.5989407624160714</v>
      </c>
      <c r="BR16" s="8">
        <f>BQ16+真實IC!BR16</f>
        <v>4.7295237306410929</v>
      </c>
      <c r="BS16" s="8">
        <f>BR16+真實IC!BS16</f>
        <v>4.7615307178339759</v>
      </c>
      <c r="BT16" s="8">
        <f>BS16+真實IC!BT16</f>
        <v>4.7995960511673088</v>
      </c>
      <c r="BU16" s="8">
        <f>BT16+真實IC!BU16</f>
        <v>4.9011332733895312</v>
      </c>
      <c r="BV16" s="8">
        <f>BU16+真實IC!BV16</f>
        <v>4.9377189113132776</v>
      </c>
      <c r="BW16" s="8">
        <f>BV16+真實IC!BW16</f>
        <v>5.2556897458516447</v>
      </c>
      <c r="BX16" s="8">
        <f>BW16+真實IC!BX16</f>
        <v>5.2797686347405337</v>
      </c>
      <c r="BY16" s="8">
        <f>BX16+真實IC!BY16</f>
        <v>5.1472102254831542</v>
      </c>
      <c r="BZ16" s="8">
        <f>BY16+真實IC!BZ16</f>
        <v>5.258736073984803</v>
      </c>
      <c r="CA16" s="8">
        <f>BZ16+真實IC!CA16</f>
        <v>5.2884504637403662</v>
      </c>
      <c r="CB16" s="8">
        <f>CA16+真實IC!CB16</f>
        <v>5.4277594637403661</v>
      </c>
      <c r="CC16" s="8">
        <f>CB16+真實IC!CC16</f>
        <v>5.4721457970736997</v>
      </c>
      <c r="CD16" s="8">
        <f>CC16+真實IC!CD16</f>
        <v>5.6272170687000616</v>
      </c>
      <c r="CE16" s="8">
        <f>CD16+真實IC!CE16</f>
        <v>5.7208308464778392</v>
      </c>
      <c r="CF16" s="8">
        <f>CE16+真實IC!CF16</f>
        <v>5.8260321104875903</v>
      </c>
      <c r="CG16" s="8">
        <f>CF16+真實IC!CG16</f>
        <v>5.8877599886342571</v>
      </c>
      <c r="CH16" s="8">
        <f>CG16+真實IC!CH16</f>
        <v>5.9294574033372838</v>
      </c>
      <c r="CI16" s="8">
        <f>CH16+真實IC!CI16</f>
        <v>5.9681672851658014</v>
      </c>
      <c r="CJ16" s="8">
        <f>CI16+真實IC!CJ16</f>
        <v>5.997870670659565</v>
      </c>
      <c r="CK16" s="8">
        <f>CJ16+真實IC!CK16</f>
        <v>6.0862933604411724</v>
      </c>
      <c r="CL16" s="8">
        <f>CK16+真實IC!CL16</f>
        <v>6.1021720427758819</v>
      </c>
      <c r="CM16" s="8">
        <f>CL16+真實IC!CM16</f>
        <v>6.2152263761092152</v>
      </c>
      <c r="CN16" s="8">
        <f>CM16+真實IC!CN16</f>
        <v>6.3755862924257425</v>
      </c>
      <c r="CO16" s="8">
        <f>CN16+真實IC!CO16</f>
        <v>6.5851332924257422</v>
      </c>
      <c r="CP16" s="8">
        <f>CO16+真實IC!CP16</f>
        <v>6.7217649819078336</v>
      </c>
      <c r="CQ16" s="8">
        <f>CP16+真實IC!CQ16</f>
        <v>6.7014312020874724</v>
      </c>
      <c r="CR16" s="8">
        <f>CQ16+真實IC!CR16</f>
        <v>6.8907177355548708</v>
      </c>
      <c r="CS16" s="8">
        <f>CR16+真實IC!CS16</f>
        <v>6.9315699231496142</v>
      </c>
      <c r="CT16" s="8">
        <f>CS16+真實IC!CT16</f>
        <v>6.980473812038503</v>
      </c>
      <c r="CU16" s="8">
        <f>CT16+真實IC!CU16</f>
        <v>7.1159455129027087</v>
      </c>
      <c r="CV16" s="8">
        <f>CU16+真實IC!CV16</f>
        <v>7.2881970355411951</v>
      </c>
      <c r="CW16" s="8">
        <f>CV16+真實IC!CW16</f>
        <v>7.335538694715475</v>
      </c>
      <c r="CX16" s="8">
        <f>CW16+真實IC!CX16</f>
        <v>7.3477789794697248</v>
      </c>
      <c r="CY16" s="8">
        <f>CX16+真實IC!CY16</f>
        <v>7.4063335350252801</v>
      </c>
      <c r="CZ16" s="8">
        <f>CY16+真實IC!CZ16</f>
        <v>7.5089667942034124</v>
      </c>
      <c r="DA16" s="8">
        <f>CZ16+真實IC!DA16</f>
        <v>7.6271473497589684</v>
      </c>
      <c r="DB16" s="8">
        <f>DA16+真實IC!DB16</f>
        <v>7.7251640164256354</v>
      </c>
      <c r="DC16" s="8">
        <f>DB16+真實IC!DC16</f>
        <v>7.7681063787461353</v>
      </c>
      <c r="DD16" s="8">
        <f>DC16+真實IC!DD16</f>
        <v>7.7998500892334155</v>
      </c>
      <c r="DE16" s="8">
        <f>DD16+真實IC!DE16</f>
        <v>7.8344024895922058</v>
      </c>
      <c r="DF16" s="8">
        <f>DE16+真實IC!DF16</f>
        <v>8.159983378481094</v>
      </c>
      <c r="DG16" s="8">
        <f>DF16+真實IC!DG16</f>
        <v>8.2056603784810935</v>
      </c>
      <c r="DH16" s="8">
        <f>DG16+真實IC!DH16</f>
        <v>8.3428098229255383</v>
      </c>
      <c r="DI16" s="8">
        <f>DH16+真實IC!DI16</f>
        <v>8.3906386007033156</v>
      </c>
      <c r="DJ16" s="8">
        <f>DI16+真實IC!DJ16</f>
        <v>8.4615936531402003</v>
      </c>
      <c r="DK16" s="8">
        <f>DJ16+真實IC!DK16</f>
        <v>8.5578479864735328</v>
      </c>
      <c r="DL16" s="8">
        <f>DK16+真實IC!DL16</f>
        <v>8.5359751122237579</v>
      </c>
      <c r="DM16" s="8">
        <f>DL16+真實IC!DM16</f>
        <v>8.497839778890425</v>
      </c>
      <c r="DN16" s="8">
        <f>DM16+真實IC!DN16</f>
        <v>8.5402776322498326</v>
      </c>
      <c r="DO16" s="8">
        <f>DN16+真實IC!DO16</f>
        <v>8.7098682989164988</v>
      </c>
      <c r="DP16" s="8">
        <f>DO16+真實IC!DP16</f>
        <v>8.8702022933923121</v>
      </c>
      <c r="DQ16" s="8">
        <f>DP16+真實IC!DQ16</f>
        <v>8.9172724493968438</v>
      </c>
      <c r="DR16" s="8">
        <f>DQ16+真實IC!DR16</f>
        <v>8.9724637010463582</v>
      </c>
      <c r="DS16" s="8">
        <f>DR16+真實IC!DS16</f>
        <v>8.9939035899352469</v>
      </c>
      <c r="DT16" s="8">
        <f>DS16+真實IC!DT16</f>
        <v>9.0530165650134329</v>
      </c>
      <c r="DU16" s="8">
        <f>DT16+真實IC!DU16</f>
        <v>9.1757895650134333</v>
      </c>
      <c r="DV16" s="8">
        <f>DU16+真實IC!DV16</f>
        <v>9.3127432970312274</v>
      </c>
      <c r="DW16" s="8">
        <f>DV16+真實IC!DW16</f>
        <v>9.2414401859201156</v>
      </c>
      <c r="DX16" s="8">
        <f>DW16+真實IC!DX16</f>
        <v>9.3667248922440933</v>
      </c>
      <c r="DY16" s="8">
        <f>DX16+真實IC!DY16</f>
        <v>9.5242966700218705</v>
      </c>
      <c r="DZ16" s="8">
        <f>DY16+真實IC!DZ16</f>
        <v>9.5831071144663156</v>
      </c>
      <c r="EA16" s="8">
        <f>DZ16+真實IC!EA16</f>
        <v>9.583527629706559</v>
      </c>
      <c r="EB16" s="8">
        <f>EA16+真實IC!EB16</f>
        <v>9.6842067303837602</v>
      </c>
      <c r="EC16" s="8">
        <f>EB16+真實IC!EC16</f>
        <v>9.7477387970183305</v>
      </c>
      <c r="ED16" s="8">
        <f>EC16+真實IC!ED16</f>
        <v>9.8631555445172516</v>
      </c>
      <c r="EE16" s="8">
        <f>ED16+真實IC!EE16</f>
        <v>9.8675516556283629</v>
      </c>
      <c r="EF16" s="8">
        <f>EE16+真實IC!EF16</f>
        <v>9.9021001000728077</v>
      </c>
    </row>
    <row r="17" spans="1:136">
      <c r="A17" s="7">
        <v>120</v>
      </c>
      <c r="B17" s="7">
        <v>8</v>
      </c>
      <c r="C17" s="6">
        <v>0.206092</v>
      </c>
      <c r="D17" s="8">
        <f>C17+真實IC!D17</f>
        <v>0.64568037499999997</v>
      </c>
      <c r="E17" s="8">
        <f>D17+真實IC!E17</f>
        <v>0.72526837499999997</v>
      </c>
      <c r="F17" s="8">
        <f>E17+真實IC!F17</f>
        <v>0.64451621084768085</v>
      </c>
      <c r="G17" s="8">
        <f>F17+真實IC!G17</f>
        <v>0.74990328551141161</v>
      </c>
      <c r="H17" s="8">
        <f>G17+真實IC!H17</f>
        <v>0.85489803551141164</v>
      </c>
      <c r="I17" s="8">
        <f>H17+真實IC!I17</f>
        <v>0.96862306331359915</v>
      </c>
      <c r="J17" s="8">
        <f>I17+真實IC!J17</f>
        <v>1.0104814584318282</v>
      </c>
      <c r="K17" s="8">
        <f>J17+真實IC!K17</f>
        <v>1.1120415381541382</v>
      </c>
      <c r="L17" s="8">
        <f>K17+真實IC!L17</f>
        <v>1.0782666631541382</v>
      </c>
      <c r="M17" s="8">
        <f>L17+真實IC!M17</f>
        <v>1.0929258052444266</v>
      </c>
      <c r="N17" s="8">
        <f>M17+真實IC!N17</f>
        <v>1.4980340552444267</v>
      </c>
      <c r="O17" s="8">
        <f>N17+真實IC!O17</f>
        <v>1.4867273791802944</v>
      </c>
      <c r="P17" s="8">
        <f>O17+真實IC!P17</f>
        <v>1.5530667483191254</v>
      </c>
      <c r="Q17" s="8">
        <f>P17+真實IC!Q17</f>
        <v>1.7148680429342522</v>
      </c>
      <c r="R17" s="8">
        <f>Q17+真實IC!R17</f>
        <v>1.6628104340297249</v>
      </c>
      <c r="S17" s="8">
        <f>R17+真實IC!S17</f>
        <v>1.973463866685023</v>
      </c>
      <c r="T17" s="8">
        <f>S17+真實IC!T17</f>
        <v>1.9968064521959639</v>
      </c>
      <c r="U17" s="8">
        <f>T17+真實IC!U17</f>
        <v>2.1380775947345207</v>
      </c>
      <c r="V17" s="8">
        <f>U17+真實IC!V17</f>
        <v>2.1420887845642191</v>
      </c>
      <c r="W17" s="8">
        <f>V17+真實IC!W17</f>
        <v>2.2212309095642193</v>
      </c>
      <c r="X17" s="8">
        <f>W17+真實IC!X17</f>
        <v>2.4592203408845341</v>
      </c>
      <c r="Y17" s="8">
        <f>X17+真實IC!Y17</f>
        <v>2.436292329821879</v>
      </c>
      <c r="Z17" s="8">
        <f>Y17+真實IC!Z17</f>
        <v>2.4901608191127447</v>
      </c>
      <c r="AA17" s="8">
        <f>Z17+真實IC!AA17</f>
        <v>2.6814442560281542</v>
      </c>
      <c r="AB17" s="8">
        <f>AA17+真實IC!AB17</f>
        <v>2.7662963189063263</v>
      </c>
      <c r="AC17" s="8">
        <f>AB17+真實IC!AC17</f>
        <v>2.7462100641683049</v>
      </c>
      <c r="AD17" s="8">
        <f>AC17+真實IC!AD17</f>
        <v>2.8148299391683049</v>
      </c>
      <c r="AE17" s="8">
        <f>AD17+真實IC!AE17</f>
        <v>3.0369526435967558</v>
      </c>
      <c r="AF17" s="8">
        <f>AE17+真實IC!AF17</f>
        <v>3.1572389682526021</v>
      </c>
      <c r="AG17" s="8">
        <f>AF17+真實IC!AG17</f>
        <v>3.1799799490403924</v>
      </c>
      <c r="AH17" s="8">
        <f>AG17+真實IC!AH17</f>
        <v>3.1445073298675035</v>
      </c>
      <c r="AI17" s="8">
        <f>AH17+真實IC!AI17</f>
        <v>3.2593724548675036</v>
      </c>
      <c r="AJ17" s="8">
        <f>AI17+真實IC!AJ17</f>
        <v>3.2167698243485465</v>
      </c>
      <c r="AK17" s="8">
        <f>AJ17+真實IC!AK17</f>
        <v>3.290486099087583</v>
      </c>
      <c r="AL17" s="8">
        <f>AK17+真實IC!AL17</f>
        <v>3.2805012240875833</v>
      </c>
      <c r="AM17" s="8">
        <f>AL17+真實IC!AM17</f>
        <v>3.3558705916752403</v>
      </c>
      <c r="AN17" s="8">
        <f>AM17+真實IC!AN17</f>
        <v>3.4691577120211581</v>
      </c>
      <c r="AO17" s="8">
        <f>AN17+真實IC!AO17</f>
        <v>3.3924631843985349</v>
      </c>
      <c r="AP17" s="8">
        <f>AO17+真實IC!AP17</f>
        <v>3.4697059988181205</v>
      </c>
      <c r="AQ17" s="8">
        <f>AP17+真實IC!AQ17</f>
        <v>3.4789363738181205</v>
      </c>
      <c r="AR17" s="8">
        <f>AQ17+真實IC!AR17</f>
        <v>3.4439397488181207</v>
      </c>
      <c r="AS17" s="8">
        <f>AR17+真實IC!AS17</f>
        <v>3.3851367918738862</v>
      </c>
      <c r="AT17" s="8">
        <f>AS17+真實IC!AT17</f>
        <v>3.512208584981138</v>
      </c>
      <c r="AU17" s="8">
        <f>AT17+真實IC!AU17</f>
        <v>3.6897712099811382</v>
      </c>
      <c r="AV17" s="8">
        <f>AU17+真實IC!AV17</f>
        <v>3.7483006593157695</v>
      </c>
      <c r="AW17" s="8">
        <f>AV17+真實IC!AW17</f>
        <v>3.8244902695455862</v>
      </c>
      <c r="AX17" s="8">
        <f>AW17+真實IC!AX17</f>
        <v>3.9221093746631941</v>
      </c>
      <c r="AY17" s="8">
        <f>AX17+真實IC!AY17</f>
        <v>3.9495330713537951</v>
      </c>
      <c r="AZ17" s="8">
        <f>AY17+真實IC!AZ17</f>
        <v>3.997514446353795</v>
      </c>
      <c r="BA17" s="8">
        <f>AZ17+真實IC!BA17</f>
        <v>4.1603209463537949</v>
      </c>
      <c r="BB17" s="8">
        <f>BA17+真實IC!BB17</f>
        <v>4.3907629913016653</v>
      </c>
      <c r="BC17" s="8">
        <f>BB17+真實IC!BC17</f>
        <v>4.3634701669211751</v>
      </c>
      <c r="BD17" s="8">
        <f>BC17+真實IC!BD17</f>
        <v>4.382884291921175</v>
      </c>
      <c r="BE17" s="8">
        <f>BD17+真實IC!BE17</f>
        <v>4.4269945452660133</v>
      </c>
      <c r="BF17" s="8">
        <f>BE17+真實IC!BF17</f>
        <v>4.5747713755461721</v>
      </c>
      <c r="BG17" s="8">
        <f>BF17+真實IC!BG17</f>
        <v>4.7605229536770528</v>
      </c>
      <c r="BH17" s="8">
        <f>BG17+真實IC!BH17</f>
        <v>4.8937140670023815</v>
      </c>
      <c r="BI17" s="8">
        <f>BH17+真實IC!BI17</f>
        <v>4.9808260124423285</v>
      </c>
      <c r="BJ17" s="8">
        <f>BI17+真實IC!BJ17</f>
        <v>5.0700185124423287</v>
      </c>
      <c r="BK17" s="8">
        <f>BJ17+真實IC!BK17</f>
        <v>4.9552023874423288</v>
      </c>
      <c r="BL17" s="8">
        <f>BK17+真實IC!BL17</f>
        <v>4.9893548347666234</v>
      </c>
      <c r="BM17" s="8">
        <f>BL17+真實IC!BM17</f>
        <v>5.0184138459189773</v>
      </c>
      <c r="BN17" s="8">
        <f>BM17+真實IC!BN17</f>
        <v>4.9447558459189773</v>
      </c>
      <c r="BO17" s="8">
        <f>BN17+真實IC!BO17</f>
        <v>4.9799354613357005</v>
      </c>
      <c r="BP17" s="8">
        <f>BO17+真實IC!BP17</f>
        <v>4.9192985863357004</v>
      </c>
      <c r="BQ17" s="8">
        <f>BP17+真實IC!BQ17</f>
        <v>4.930675096782152</v>
      </c>
      <c r="BR17" s="8">
        <f>BQ17+真實IC!BR17</f>
        <v>5.0456974498079035</v>
      </c>
      <c r="BS17" s="8">
        <f>BR17+真實IC!BS17</f>
        <v>5.066603468021599</v>
      </c>
      <c r="BT17" s="8">
        <f>BS17+真實IC!BT17</f>
        <v>5.1002507180215986</v>
      </c>
      <c r="BU17" s="8">
        <f>BT17+真實IC!BU17</f>
        <v>5.204775093021599</v>
      </c>
      <c r="BV17" s="8">
        <f>BU17+真實IC!BV17</f>
        <v>5.243016049523793</v>
      </c>
      <c r="BW17" s="8">
        <f>BV17+真實IC!BW17</f>
        <v>5.4513528750411817</v>
      </c>
      <c r="BX17" s="8">
        <f>BW17+真實IC!BX17</f>
        <v>5.458449375041182</v>
      </c>
      <c r="BY17" s="8">
        <f>BX17+真實IC!BY17</f>
        <v>5.3159719999147148</v>
      </c>
      <c r="BZ17" s="8">
        <f>BY17+真實IC!BZ17</f>
        <v>5.4365501557957998</v>
      </c>
      <c r="CA17" s="8">
        <f>BZ17+真實IC!CA17</f>
        <v>5.4644849881542896</v>
      </c>
      <c r="CB17" s="8">
        <f>CA17+真實IC!CB17</f>
        <v>5.6141183631542892</v>
      </c>
      <c r="CC17" s="8">
        <f>CB17+真實IC!CC17</f>
        <v>5.6558768631542895</v>
      </c>
      <c r="CD17" s="8">
        <f>CC17+真實IC!CD17</f>
        <v>5.8288366043734383</v>
      </c>
      <c r="CE17" s="8">
        <f>CD17+真實IC!CE17</f>
        <v>5.9245442293734385</v>
      </c>
      <c r="CF17" s="8">
        <f>CE17+真實IC!CF17</f>
        <v>6.0232904267996368</v>
      </c>
      <c r="CG17" s="8">
        <f>CF17+真實IC!CG17</f>
        <v>6.0980054154283678</v>
      </c>
      <c r="CH17" s="8">
        <f>CG17+真實IC!CH17</f>
        <v>6.1566418620354177</v>
      </c>
      <c r="CI17" s="8">
        <f>CH17+真實IC!CI17</f>
        <v>6.1711730470250066</v>
      </c>
      <c r="CJ17" s="8">
        <f>CI17+真實IC!CJ17</f>
        <v>6.1921238745063549</v>
      </c>
      <c r="CK17" s="8">
        <f>CJ17+真實IC!CK17</f>
        <v>6.2760797227659859</v>
      </c>
      <c r="CL17" s="8">
        <f>CK17+真實IC!CL17</f>
        <v>6.2666533779969544</v>
      </c>
      <c r="CM17" s="8">
        <f>CL17+真實IC!CM17</f>
        <v>6.3621460029969548</v>
      </c>
      <c r="CN17" s="8">
        <f>CM17+真實IC!CN17</f>
        <v>6.5386772815783418</v>
      </c>
      <c r="CO17" s="8">
        <f>CN17+真實IC!CO17</f>
        <v>6.7367576565783418</v>
      </c>
      <c r="CP17" s="8">
        <f>CO17+真實IC!CP17</f>
        <v>6.884916925775685</v>
      </c>
      <c r="CQ17" s="8">
        <f>CP17+真實IC!CQ17</f>
        <v>6.9368240291174112</v>
      </c>
      <c r="CR17" s="8">
        <f>CQ17+真實IC!CR17</f>
        <v>7.1332266608797008</v>
      </c>
      <c r="CS17" s="8">
        <f>CR17+真實IC!CS17</f>
        <v>7.1645724792754191</v>
      </c>
      <c r="CT17" s="8">
        <f>CS17+真實IC!CT17</f>
        <v>7.2232267292754191</v>
      </c>
      <c r="CU17" s="8">
        <f>CT17+真實IC!CU17</f>
        <v>7.3785786220751781</v>
      </c>
      <c r="CV17" s="8">
        <f>CU17+真實IC!CV17</f>
        <v>7.5300500069365324</v>
      </c>
      <c r="CW17" s="8">
        <f>CV17+真實IC!CW17</f>
        <v>7.5934432257410203</v>
      </c>
      <c r="CX17" s="8">
        <f>CW17+真實IC!CX17</f>
        <v>7.6042156202649682</v>
      </c>
      <c r="CY17" s="8">
        <f>CX17+真實IC!CY17</f>
        <v>7.6637137452649684</v>
      </c>
      <c r="CZ17" s="8">
        <f>CY17+真實IC!CZ17</f>
        <v>7.7879625831125887</v>
      </c>
      <c r="DA17" s="8">
        <f>CZ17+真實IC!DA17</f>
        <v>7.8824582081125891</v>
      </c>
      <c r="DB17" s="8">
        <f>DA17+真實IC!DB17</f>
        <v>7.9867292081125889</v>
      </c>
      <c r="DC17" s="8">
        <f>DB17+真實IC!DC17</f>
        <v>8.0300926770900887</v>
      </c>
      <c r="DD17" s="8">
        <f>DC17+真實IC!DD17</f>
        <v>8.0592480979729686</v>
      </c>
      <c r="DE17" s="8">
        <f>DD17+真實IC!DE17</f>
        <v>8.0833729613196912</v>
      </c>
      <c r="DF17" s="8">
        <f>DE17+真實IC!DF17</f>
        <v>8.4356003363196912</v>
      </c>
      <c r="DG17" s="8">
        <f>DF17+真實IC!DG17</f>
        <v>8.4828114613196917</v>
      </c>
      <c r="DH17" s="8">
        <f>DG17+真實IC!DH17</f>
        <v>8.646244836319692</v>
      </c>
      <c r="DI17" s="8">
        <f>DH17+真實IC!DI17</f>
        <v>8.7164260863196912</v>
      </c>
      <c r="DJ17" s="8">
        <f>DI17+真實IC!DJ17</f>
        <v>8.8453511461057008</v>
      </c>
      <c r="DK17" s="8">
        <f>DJ17+真實IC!DK17</f>
        <v>8.9481310211057004</v>
      </c>
      <c r="DL17" s="8">
        <f>DK17+真實IC!DL17</f>
        <v>8.9442012894145719</v>
      </c>
      <c r="DM17" s="8">
        <f>DL17+真實IC!DM17</f>
        <v>8.901637789414572</v>
      </c>
      <c r="DN17" s="8">
        <f>DM17+真實IC!DN17</f>
        <v>8.9371268221289117</v>
      </c>
      <c r="DO17" s="8">
        <f>DN17+真實IC!DO17</f>
        <v>9.1168888221289119</v>
      </c>
      <c r="DP17" s="8">
        <f>DO17+真實IC!DP17</f>
        <v>9.2589229803795465</v>
      </c>
      <c r="DQ17" s="8">
        <f>DP17+真實IC!DQ17</f>
        <v>9.3315769854855706</v>
      </c>
      <c r="DR17" s="8">
        <f>DQ17+真實IC!DR17</f>
        <v>9.3874618003618995</v>
      </c>
      <c r="DS17" s="8">
        <f>DR17+真實IC!DS17</f>
        <v>9.4248154253618992</v>
      </c>
      <c r="DT17" s="8">
        <f>DS17+真實IC!DT17</f>
        <v>9.4846273605968747</v>
      </c>
      <c r="DU17" s="8">
        <f>DT17+真實IC!DU17</f>
        <v>9.6141213605968741</v>
      </c>
      <c r="DV17" s="8">
        <f>DU17+真實IC!DV17</f>
        <v>9.7318867587078284</v>
      </c>
      <c r="DW17" s="8">
        <f>DV17+真實IC!DW17</f>
        <v>9.6552870087078286</v>
      </c>
      <c r="DX17" s="8">
        <f>DW17+真實IC!DX17</f>
        <v>9.7848259913043023</v>
      </c>
      <c r="DY17" s="8">
        <f>DX17+真實IC!DY17</f>
        <v>9.8921082413043031</v>
      </c>
      <c r="DZ17" s="8">
        <f>DY17+真實IC!DZ17</f>
        <v>9.9413202413043038</v>
      </c>
      <c r="EA17" s="8">
        <f>DZ17+真實IC!EA17</f>
        <v>9.9366877170875796</v>
      </c>
      <c r="EB17" s="8">
        <f>EA17+真實IC!EB17</f>
        <v>10.043973043841337</v>
      </c>
      <c r="EC17" s="8">
        <f>EB17+真實IC!EC17</f>
        <v>10.060398261057397</v>
      </c>
      <c r="ED17" s="8">
        <f>EC17+真實IC!ED17</f>
        <v>10.18872270498631</v>
      </c>
      <c r="EE17" s="8">
        <f>ED17+真實IC!EE17</f>
        <v>10.18852832998631</v>
      </c>
      <c r="EF17" s="8">
        <f>EE17+真實IC!EF17</f>
        <v>10.22951307998631</v>
      </c>
    </row>
    <row r="18" spans="1:136">
      <c r="A18" s="7">
        <v>137</v>
      </c>
      <c r="B18" s="7">
        <v>7</v>
      </c>
      <c r="C18" s="6">
        <v>0.189751</v>
      </c>
      <c r="D18" s="8">
        <f>C18+真實IC!D18</f>
        <v>0.59163500000000013</v>
      </c>
      <c r="E18" s="8">
        <f>D18+真實IC!E18</f>
        <v>0.64507285714285734</v>
      </c>
      <c r="F18" s="8">
        <f>E18+真實IC!F18</f>
        <v>0.5256898970406676</v>
      </c>
      <c r="G18" s="8">
        <f>F18+真實IC!G18</f>
        <v>0.63400627032574763</v>
      </c>
      <c r="H18" s="8">
        <f>G18+真實IC!H18</f>
        <v>0.76254627032574762</v>
      </c>
      <c r="I18" s="8">
        <f>H18+真實IC!I18</f>
        <v>0.89804645054898868</v>
      </c>
      <c r="J18" s="8">
        <f>I18+真實IC!J18</f>
        <v>0.94145796630063028</v>
      </c>
      <c r="K18" s="8">
        <f>J18+真實IC!K18</f>
        <v>1.0771058550782626</v>
      </c>
      <c r="L18" s="8">
        <f>K18+真實IC!L18</f>
        <v>1.0304342836496911</v>
      </c>
      <c r="M18" s="8">
        <f>L18+真實IC!M18</f>
        <v>1.0594857480261484</v>
      </c>
      <c r="N18" s="8">
        <f>M18+真實IC!N18</f>
        <v>1.5213061765975771</v>
      </c>
      <c r="O18" s="8">
        <f>N18+真實IC!O18</f>
        <v>1.5530441176950753</v>
      </c>
      <c r="P18" s="8">
        <f>O18+真實IC!P18</f>
        <v>1.6355967292650231</v>
      </c>
      <c r="Q18" s="8">
        <f>P18+真實IC!Q18</f>
        <v>1.8245721479545129</v>
      </c>
      <c r="R18" s="8">
        <f>Q18+真實IC!R18</f>
        <v>1.7630799100825381</v>
      </c>
      <c r="S18" s="8">
        <f>R18+真實IC!S18</f>
        <v>2.1468125390144324</v>
      </c>
      <c r="T18" s="8">
        <f>S18+真實IC!T18</f>
        <v>2.199122236565163</v>
      </c>
      <c r="U18" s="8">
        <f>T18+真實IC!U18</f>
        <v>2.3316172609949821</v>
      </c>
      <c r="V18" s="8">
        <f>U18+真實IC!V18</f>
        <v>2.3445123960648329</v>
      </c>
      <c r="W18" s="8">
        <f>V18+真實IC!W18</f>
        <v>2.421809396064833</v>
      </c>
      <c r="X18" s="8">
        <f>W18+真實IC!X18</f>
        <v>2.6369304534647848</v>
      </c>
      <c r="Y18" s="8">
        <f>X18+真實IC!Y18</f>
        <v>2.6176981191073492</v>
      </c>
      <c r="Z18" s="8">
        <f>Y18+真實IC!Z18</f>
        <v>2.706932482547872</v>
      </c>
      <c r="AA18" s="8">
        <f>Z18+真實IC!AA18</f>
        <v>2.8795031400824005</v>
      </c>
      <c r="AB18" s="8">
        <f>AA18+真實IC!AB18</f>
        <v>2.9642014398128849</v>
      </c>
      <c r="AC18" s="8">
        <f>AB18+真實IC!AC18</f>
        <v>2.9655668602897172</v>
      </c>
      <c r="AD18" s="8">
        <f>AC18+真實IC!AD18</f>
        <v>3.0618527174325743</v>
      </c>
      <c r="AE18" s="8">
        <f>AD18+真實IC!AE18</f>
        <v>3.3202440663477826</v>
      </c>
      <c r="AF18" s="8">
        <f>AE18+真實IC!AF18</f>
        <v>3.4707877061718562</v>
      </c>
      <c r="AG18" s="8">
        <f>AF18+真實IC!AG18</f>
        <v>3.503280822269732</v>
      </c>
      <c r="AH18" s="8">
        <f>AG18+真實IC!AH18</f>
        <v>3.4630833613012175</v>
      </c>
      <c r="AI18" s="8">
        <f>AH18+真實IC!AI18</f>
        <v>3.581169789872646</v>
      </c>
      <c r="AJ18" s="8">
        <f>AI18+真實IC!AJ18</f>
        <v>3.533776033706197</v>
      </c>
      <c r="AK18" s="8">
        <f>AJ18+真實IC!AK18</f>
        <v>3.5639285143038228</v>
      </c>
      <c r="AL18" s="8">
        <f>AK18+真實IC!AL18</f>
        <v>3.56307137144668</v>
      </c>
      <c r="AM18" s="8">
        <f>AL18+真實IC!AM18</f>
        <v>3.6297147768714511</v>
      </c>
      <c r="AN18" s="8">
        <f>AM18+真實IC!AN18</f>
        <v>3.7090094168266527</v>
      </c>
      <c r="AO18" s="8">
        <f>AN18+真實IC!AO18</f>
        <v>3.7335936972714596</v>
      </c>
      <c r="AP18" s="8">
        <f>AO18+真實IC!AP18</f>
        <v>3.8118722892052666</v>
      </c>
      <c r="AQ18" s="8">
        <f>AP18+真實IC!AQ18</f>
        <v>3.7950841463481235</v>
      </c>
      <c r="AR18" s="8">
        <f>AQ18+真實IC!AR18</f>
        <v>3.7333897177766948</v>
      </c>
      <c r="AS18" s="8">
        <f>AR18+真實IC!AS18</f>
        <v>3.6501365898875089</v>
      </c>
      <c r="AT18" s="8">
        <f>AS18+真實IC!AT18</f>
        <v>3.8165223993115678</v>
      </c>
      <c r="AU18" s="8">
        <f>AT18+真實IC!AU18</f>
        <v>4.0131825421687104</v>
      </c>
      <c r="AV18" s="8">
        <f>AU18+真實IC!AV18</f>
        <v>4.0734182068751803</v>
      </c>
      <c r="AW18" s="8">
        <f>AV18+真實IC!AW18</f>
        <v>4.1711850686964151</v>
      </c>
      <c r="AX18" s="8">
        <f>AW18+真實IC!AX18</f>
        <v>4.2972494061225426</v>
      </c>
      <c r="AY18" s="8">
        <f>AX18+真實IC!AY18</f>
        <v>4.332032684763691</v>
      </c>
      <c r="AZ18" s="8">
        <f>AY18+真實IC!AZ18</f>
        <v>4.3983746847636906</v>
      </c>
      <c r="BA18" s="8">
        <f>AZ18+真實IC!BA18</f>
        <v>4.5788545419065478</v>
      </c>
      <c r="BB18" s="8">
        <f>BA18+真實IC!BB18</f>
        <v>4.8963119675706608</v>
      </c>
      <c r="BC18" s="8">
        <f>BB18+真實IC!BC18</f>
        <v>4.9242540182726309</v>
      </c>
      <c r="BD18" s="8">
        <f>BC18+真實IC!BD18</f>
        <v>4.9445317325583451</v>
      </c>
      <c r="BE18" s="8">
        <f>BD18+真實IC!BE18</f>
        <v>5.0357045854142672</v>
      </c>
      <c r="BF18" s="8">
        <f>BE18+真實IC!BF18</f>
        <v>5.2006910801102748</v>
      </c>
      <c r="BG18" s="8">
        <f>BF18+真實IC!BG18</f>
        <v>5.3474050549385632</v>
      </c>
      <c r="BH18" s="8">
        <f>BG18+真實IC!BH18</f>
        <v>5.4853033200887058</v>
      </c>
      <c r="BI18" s="8">
        <f>BH18+真實IC!BI18</f>
        <v>5.5943033270073714</v>
      </c>
      <c r="BJ18" s="8">
        <f>BI18+真實IC!BJ18</f>
        <v>5.6938360412930855</v>
      </c>
      <c r="BK18" s="8">
        <f>BJ18+真實IC!BK18</f>
        <v>5.6203798984359423</v>
      </c>
      <c r="BL18" s="8">
        <f>BK18+真實IC!BL18</f>
        <v>5.6761677792977219</v>
      </c>
      <c r="BM18" s="8">
        <f>BL18+真實IC!BM18</f>
        <v>5.7042491356708176</v>
      </c>
      <c r="BN18" s="8">
        <f>BM18+真實IC!BN18</f>
        <v>5.6260389928136751</v>
      </c>
      <c r="BO18" s="8">
        <f>BN18+真實IC!BO18</f>
        <v>5.64626648892005</v>
      </c>
      <c r="BP18" s="8">
        <f>BO18+真實IC!BP18</f>
        <v>5.58380448892005</v>
      </c>
      <c r="BQ18" s="8">
        <f>BP18+真實IC!BQ18</f>
        <v>5.5857212730298986</v>
      </c>
      <c r="BR18" s="8">
        <f>BQ18+真實IC!BR18</f>
        <v>5.7066830909123745</v>
      </c>
      <c r="BS18" s="8">
        <f>BR18+真實IC!BS18</f>
        <v>5.7395563474884064</v>
      </c>
      <c r="BT18" s="8">
        <f>BS18+真實IC!BT18</f>
        <v>5.7528552046312633</v>
      </c>
      <c r="BU18" s="8">
        <f>BT18+真實IC!BU18</f>
        <v>5.8643173474884058</v>
      </c>
      <c r="BV18" s="8">
        <f>BU18+真實IC!BV18</f>
        <v>5.9039417736125532</v>
      </c>
      <c r="BW18" s="8">
        <f>BV18+真實IC!BW18</f>
        <v>6.1223172727435422</v>
      </c>
      <c r="BX18" s="8">
        <f>BW18+真實IC!BX18</f>
        <v>6.106506558457828</v>
      </c>
      <c r="BY18" s="8">
        <f>BX18+真實IC!BY18</f>
        <v>6.0190412901857266</v>
      </c>
      <c r="BZ18" s="8">
        <f>BY18+真實IC!BZ18</f>
        <v>6.1723612779883243</v>
      </c>
      <c r="CA18" s="8">
        <f>BZ18+真實IC!CA18</f>
        <v>6.1884378218811849</v>
      </c>
      <c r="CB18" s="8">
        <f>CA18+真實IC!CB18</f>
        <v>6.2952841075954709</v>
      </c>
      <c r="CC18" s="8">
        <f>CB18+真實IC!CC18</f>
        <v>6.3999438218811848</v>
      </c>
      <c r="CD18" s="8">
        <f>CC18+真實IC!CD18</f>
        <v>6.5936606405280154</v>
      </c>
      <c r="CE18" s="8">
        <f>CD18+真實IC!CE18</f>
        <v>6.6709204976708723</v>
      </c>
      <c r="CF18" s="8">
        <f>CE18+真實IC!CF18</f>
        <v>6.7427380893712465</v>
      </c>
      <c r="CG18" s="8">
        <f>CF18+真實IC!CG18</f>
        <v>6.8343473449351659</v>
      </c>
      <c r="CH18" s="8">
        <f>CG18+真實IC!CH18</f>
        <v>6.997004391622399</v>
      </c>
      <c r="CI18" s="8">
        <f>CH18+真實IC!CI18</f>
        <v>7.0358735315000889</v>
      </c>
      <c r="CJ18" s="8">
        <f>CI18+真實IC!CJ18</f>
        <v>7.0321011649996912</v>
      </c>
      <c r="CK18" s="8">
        <f>CJ18+真實IC!CK18</f>
        <v>7.128159196665214</v>
      </c>
      <c r="CL18" s="8">
        <f>CK18+真實IC!CL18</f>
        <v>7.0971696516070208</v>
      </c>
      <c r="CM18" s="8">
        <f>CL18+真實IC!CM18</f>
        <v>7.1999383658927352</v>
      </c>
      <c r="CN18" s="8">
        <f>CM18+真實IC!CN18</f>
        <v>7.3208814994343099</v>
      </c>
      <c r="CO18" s="8">
        <f>CN18+真實IC!CO18</f>
        <v>7.54916349943431</v>
      </c>
      <c r="CP18" s="8">
        <f>CO18+真實IC!CP18</f>
        <v>7.7120026083823205</v>
      </c>
      <c r="CQ18" s="8">
        <f>CP18+真實IC!CQ18</f>
        <v>7.7502452839772635</v>
      </c>
      <c r="CR18" s="8">
        <f>CQ18+真實IC!CR18</f>
        <v>7.9439676916294726</v>
      </c>
      <c r="CS18" s="8">
        <f>CR18+真實IC!CS18</f>
        <v>8.0016583402808887</v>
      </c>
      <c r="CT18" s="8">
        <f>CS18+真實IC!CT18</f>
        <v>8.0785291974237463</v>
      </c>
      <c r="CU18" s="8">
        <f>CT18+真實IC!CU18</f>
        <v>8.2230940185998804</v>
      </c>
      <c r="CV18" s="8">
        <f>CU18+真實IC!CV18</f>
        <v>8.350116286732888</v>
      </c>
      <c r="CW18" s="8">
        <f>CV18+真實IC!CW18</f>
        <v>8.4166748612312041</v>
      </c>
      <c r="CX18" s="8">
        <f>CW18+真實IC!CX18</f>
        <v>8.4782350470649828</v>
      </c>
      <c r="CY18" s="8">
        <f>CX18+真實IC!CY18</f>
        <v>8.5496671899221255</v>
      </c>
      <c r="CZ18" s="8">
        <f>CY18+真實IC!CZ18</f>
        <v>8.682510053223897</v>
      </c>
      <c r="DA18" s="8">
        <f>CZ18+真實IC!DA18</f>
        <v>8.7608679103667537</v>
      </c>
      <c r="DB18" s="8">
        <f>DA18+真實IC!DB18</f>
        <v>8.878981910366754</v>
      </c>
      <c r="DC18" s="8">
        <f>DB18+真實IC!DC18</f>
        <v>8.9153906918622603</v>
      </c>
      <c r="DD18" s="8">
        <f>DC18+真實IC!DD18</f>
        <v>8.9564048791815942</v>
      </c>
      <c r="DE18" s="8">
        <f>DD18+真實IC!DE18</f>
        <v>8.9948254666680452</v>
      </c>
      <c r="DF18" s="8">
        <f>DE18+真實IC!DF18</f>
        <v>9.3615190380966169</v>
      </c>
      <c r="DG18" s="8">
        <f>DF18+真實IC!DG18</f>
        <v>9.4162897523823315</v>
      </c>
      <c r="DH18" s="8">
        <f>DG18+真實IC!DH18</f>
        <v>9.608692323810903</v>
      </c>
      <c r="DI18" s="8">
        <f>DH18+真實IC!DI18</f>
        <v>9.70665518095376</v>
      </c>
      <c r="DJ18" s="8">
        <f>DI18+真實IC!DJ18</f>
        <v>9.8528512570531728</v>
      </c>
      <c r="DK18" s="8">
        <f>DJ18+真實IC!DK18</f>
        <v>9.9593771141960303</v>
      </c>
      <c r="DL18" s="8">
        <f>DK18+真實IC!DL18</f>
        <v>9.9555468401284379</v>
      </c>
      <c r="DM18" s="8">
        <f>DL18+真實IC!DM18</f>
        <v>9.8970901258427233</v>
      </c>
      <c r="DN18" s="8">
        <f>DM18+真實IC!DN18</f>
        <v>9.8803680617647025</v>
      </c>
      <c r="DO18" s="8">
        <f>DN18+真實IC!DO18</f>
        <v>10.100687633193274</v>
      </c>
      <c r="DP18" s="8">
        <f>DO18+真實IC!DP18</f>
        <v>10.234174105470355</v>
      </c>
      <c r="DQ18" s="8">
        <f>DP18+真實IC!DQ18</f>
        <v>10.299923563654254</v>
      </c>
      <c r="DR18" s="8">
        <f>DQ18+真實IC!DR18</f>
        <v>10.376764218426215</v>
      </c>
      <c r="DS18" s="8">
        <f>DR18+真實IC!DS18</f>
        <v>10.388041361283358</v>
      </c>
      <c r="DT18" s="8">
        <f>DS18+真實IC!DT18</f>
        <v>10.410642396124466</v>
      </c>
      <c r="DU18" s="8">
        <f>DT18+真實IC!DU18</f>
        <v>10.569357824695894</v>
      </c>
      <c r="DV18" s="8">
        <f>DU18+真實IC!DV18</f>
        <v>10.674998433495956</v>
      </c>
      <c r="DW18" s="8">
        <f>DV18+真實IC!DW18</f>
        <v>10.606360576353099</v>
      </c>
      <c r="DX18" s="8">
        <f>DW18+真實IC!DX18</f>
        <v>10.759963553815581</v>
      </c>
      <c r="DY18" s="8">
        <f>DX18+真實IC!DY18</f>
        <v>10.896795839529867</v>
      </c>
      <c r="DZ18" s="8">
        <f>DY18+真實IC!DZ18</f>
        <v>10.95142555381558</v>
      </c>
      <c r="EA18" s="8">
        <f>DZ18+真實IC!EA18</f>
        <v>10.946687256577336</v>
      </c>
      <c r="EB18" s="8">
        <f>EA18+真實IC!EB18</f>
        <v>11.056651611027531</v>
      </c>
      <c r="EC18" s="8">
        <f>EB18+真實IC!EC18</f>
        <v>11.059415726452903</v>
      </c>
      <c r="ED18" s="8">
        <f>EC18+真實IC!ED18</f>
        <v>11.169893748318668</v>
      </c>
      <c r="EE18" s="8">
        <f>ED18+真實IC!EE18</f>
        <v>11.171004034032952</v>
      </c>
      <c r="EF18" s="8">
        <f>EE18+真實IC!EF18</f>
        <v>11.23495589117581</v>
      </c>
    </row>
    <row r="19" spans="1:136">
      <c r="A19" s="7">
        <v>160</v>
      </c>
      <c r="B19" s="7">
        <v>6</v>
      </c>
      <c r="C19" s="6">
        <v>0.1966</v>
      </c>
      <c r="D19" s="8">
        <f>C19+真實IC!D19</f>
        <v>0.6041213333333334</v>
      </c>
      <c r="E19" s="8">
        <f>D19+真實IC!E19</f>
        <v>0.66993383333333334</v>
      </c>
      <c r="F19" s="8">
        <f>E19+真實IC!F19</f>
        <v>0.49224517152777281</v>
      </c>
      <c r="G19" s="8">
        <f>F19+真實IC!G19</f>
        <v>0.58831114338495016</v>
      </c>
      <c r="H19" s="8">
        <f>G19+真實IC!H19</f>
        <v>0.7659213100516169</v>
      </c>
      <c r="I19" s="8">
        <f>H19+真實IC!I19</f>
        <v>0.90057564294308334</v>
      </c>
      <c r="J19" s="8">
        <f>I19+真實IC!J19</f>
        <v>0.93600522746327441</v>
      </c>
      <c r="K19" s="8">
        <f>J19+真實IC!K19</f>
        <v>1.1747946421871911</v>
      </c>
      <c r="L19" s="8">
        <f>K19+真實IC!L19</f>
        <v>1.1444334755205243</v>
      </c>
      <c r="M19" s="8">
        <f>L19+真實IC!M19</f>
        <v>1.1007432393642171</v>
      </c>
      <c r="N19" s="8">
        <f>M19+真實IC!N19</f>
        <v>1.6331177393642171</v>
      </c>
      <c r="O19" s="8">
        <f>N19+真實IC!O19</f>
        <v>1.664679613853133</v>
      </c>
      <c r="P19" s="8">
        <f>O19+真實IC!P19</f>
        <v>1.7572138000398301</v>
      </c>
      <c r="Q19" s="8">
        <f>P19+真實IC!Q19</f>
        <v>1.95437688830435</v>
      </c>
      <c r="R19" s="8">
        <f>Q19+真實IC!R19</f>
        <v>1.8640777976734937</v>
      </c>
      <c r="S19" s="8">
        <f>R19+真實IC!S19</f>
        <v>2.0482379143711018</v>
      </c>
      <c r="T19" s="8">
        <f>S19+真實IC!T19</f>
        <v>2.0997026316164114</v>
      </c>
      <c r="U19" s="8">
        <f>T19+真實IC!U19</f>
        <v>2.2354009702483344</v>
      </c>
      <c r="V19" s="8">
        <f>U19+真實IC!V19</f>
        <v>2.2720196580337859</v>
      </c>
      <c r="W19" s="8">
        <f>V19+真實IC!W19</f>
        <v>2.3444354913671193</v>
      </c>
      <c r="X19" s="8">
        <f>W19+真實IC!X19</f>
        <v>2.4938353647198466</v>
      </c>
      <c r="Y19" s="8">
        <f>X19+真實IC!Y19</f>
        <v>2.4682067271916899</v>
      </c>
      <c r="Z19" s="8">
        <f>Y19+真實IC!Z19</f>
        <v>2.5598258377677134</v>
      </c>
      <c r="AA19" s="8">
        <f>Z19+真實IC!AA19</f>
        <v>2.6916587372488046</v>
      </c>
      <c r="AB19" s="8">
        <f>AA19+真實IC!AB19</f>
        <v>2.7939123431327473</v>
      </c>
      <c r="AC19" s="8">
        <f>AB19+真實IC!AC19</f>
        <v>2.8080538858413573</v>
      </c>
      <c r="AD19" s="8">
        <f>AC19+真實IC!AD19</f>
        <v>2.9040467191746906</v>
      </c>
      <c r="AE19" s="8">
        <f>AD19+真實IC!AE19</f>
        <v>3.2125395771000593</v>
      </c>
      <c r="AF19" s="8">
        <f>AE19+真實IC!AF19</f>
        <v>3.3813701578081026</v>
      </c>
      <c r="AG19" s="8">
        <f>AF19+真實IC!AG19</f>
        <v>3.4035063768806504</v>
      </c>
      <c r="AH19" s="8">
        <f>AG19+真實IC!AH19</f>
        <v>3.346948661658947</v>
      </c>
      <c r="AI19" s="8">
        <f>AH19+真實IC!AI19</f>
        <v>3.4384979949922805</v>
      </c>
      <c r="AJ19" s="8">
        <f>AI19+真實IC!AJ19</f>
        <v>3.3869527046650183</v>
      </c>
      <c r="AK19" s="8">
        <f>AJ19+真實IC!AK19</f>
        <v>3.3945047471709708</v>
      </c>
      <c r="AL19" s="8">
        <f>AK19+真實IC!AL19</f>
        <v>3.3933664138376374</v>
      </c>
      <c r="AM19" s="8">
        <f>AL19+真實IC!AM19</f>
        <v>3.4364724256490424</v>
      </c>
      <c r="AN19" s="8">
        <f>AM19+真實IC!AN19</f>
        <v>3.5200407200147246</v>
      </c>
      <c r="AO19" s="8">
        <f>AN19+真實IC!AO19</f>
        <v>3.575930846143839</v>
      </c>
      <c r="AP19" s="8">
        <f>AO19+真實IC!AP19</f>
        <v>3.6635049664166912</v>
      </c>
      <c r="AQ19" s="8">
        <f>AP19+真實IC!AQ19</f>
        <v>3.608577133083358</v>
      </c>
      <c r="AR19" s="8">
        <f>AQ19+真實IC!AR19</f>
        <v>3.5339602997500248</v>
      </c>
      <c r="AS19" s="8">
        <f>AR19+真實IC!AS19</f>
        <v>3.4247614236969586</v>
      </c>
      <c r="AT19" s="8">
        <f>AS19+真實IC!AT19</f>
        <v>3.6093550875070166</v>
      </c>
      <c r="AU19" s="8">
        <f>AT19+真實IC!AU19</f>
        <v>3.8482002541736833</v>
      </c>
      <c r="AV19" s="8">
        <f>AU19+真實IC!AV19</f>
        <v>3.8451676445710752</v>
      </c>
      <c r="AW19" s="8">
        <f>AV19+真實IC!AW19</f>
        <v>3.9818610416999878</v>
      </c>
      <c r="AX19" s="8">
        <f>AW19+真實IC!AX19</f>
        <v>4.2059848370008437</v>
      </c>
      <c r="AY19" s="8">
        <f>AX19+真實IC!AY19</f>
        <v>4.2355138073942236</v>
      </c>
      <c r="AZ19" s="8">
        <f>AY19+真實IC!AZ19</f>
        <v>4.3195461407275566</v>
      </c>
      <c r="BA19" s="8">
        <f>AZ19+真實IC!BA19</f>
        <v>4.5065431407275565</v>
      </c>
      <c r="BB19" s="8">
        <f>BA19+真實IC!BB19</f>
        <v>4.870704072520776</v>
      </c>
      <c r="BC19" s="8">
        <f>BB19+真實IC!BC19</f>
        <v>5.0552758619272034</v>
      </c>
      <c r="BD19" s="8">
        <f>BC19+真實IC!BD19</f>
        <v>5.0552050285938703</v>
      </c>
      <c r="BE19" s="8">
        <f>BD19+真實IC!BE19</f>
        <v>5.1446857503542418</v>
      </c>
      <c r="BF19" s="8">
        <f>BE19+真實IC!BF19</f>
        <v>5.2864951853179836</v>
      </c>
      <c r="BG19" s="8">
        <f>BF19+真實IC!BG19</f>
        <v>5.4398039364877722</v>
      </c>
      <c r="BH19" s="8">
        <f>BG19+真實IC!BH19</f>
        <v>5.5803008424413454</v>
      </c>
      <c r="BI19" s="8">
        <f>BH19+真實IC!BI19</f>
        <v>5.7080994712605637</v>
      </c>
      <c r="BJ19" s="8">
        <f>BI19+真實IC!BJ19</f>
        <v>5.7599196379272302</v>
      </c>
      <c r="BK19" s="8">
        <f>BJ19+真實IC!BK19</f>
        <v>5.6628808045938968</v>
      </c>
      <c r="BL19" s="8">
        <f>BK19+真實IC!BL19</f>
        <v>5.7260453383409162</v>
      </c>
      <c r="BM19" s="8">
        <f>BL19+真實IC!BM19</f>
        <v>5.7578316032100618</v>
      </c>
      <c r="BN19" s="8">
        <f>BM19+真實IC!BN19</f>
        <v>5.6764164365433949</v>
      </c>
      <c r="BO19" s="8">
        <f>BN19+真實IC!BO19</f>
        <v>5.7021453978085104</v>
      </c>
      <c r="BP19" s="8">
        <f>BO19+真實IC!BP19</f>
        <v>5.6897367311418439</v>
      </c>
      <c r="BQ19" s="8">
        <f>BP19+真實IC!BQ19</f>
        <v>5.6996707755961671</v>
      </c>
      <c r="BR19" s="8">
        <f>BQ19+真實IC!BR19</f>
        <v>5.8365100111393122</v>
      </c>
      <c r="BS19" s="8">
        <f>BR19+真實IC!BS19</f>
        <v>5.8330100791996733</v>
      </c>
      <c r="BT19" s="8">
        <f>BS19+真實IC!BT19</f>
        <v>5.8198152458663399</v>
      </c>
      <c r="BU19" s="8">
        <f>BT19+真實IC!BU19</f>
        <v>5.9504860791996732</v>
      </c>
      <c r="BV19" s="8">
        <f>BU19+真實IC!BV19</f>
        <v>5.9808368711655708</v>
      </c>
      <c r="BW19" s="8">
        <f>BV19+真實IC!BW19</f>
        <v>6.2882898779753038</v>
      </c>
      <c r="BX19" s="8">
        <f>BW19+真實IC!BX19</f>
        <v>6.2518927113086376</v>
      </c>
      <c r="BY19" s="8">
        <f>BX19+真實IC!BY19</f>
        <v>6.1720257842396915</v>
      </c>
      <c r="BZ19" s="8">
        <f>BY19+真實IC!BZ19</f>
        <v>6.2407279090617456</v>
      </c>
      <c r="CA19" s="8">
        <f>BZ19+真實IC!CA19</f>
        <v>6.2700566642855202</v>
      </c>
      <c r="CB19" s="8">
        <f>CA19+真實IC!CB19</f>
        <v>6.3978951642855204</v>
      </c>
      <c r="CC19" s="8">
        <f>CB19+真實IC!CC19</f>
        <v>6.4204008309521869</v>
      </c>
      <c r="CD19" s="8">
        <f>CC19+真實IC!CD19</f>
        <v>6.6360200290459046</v>
      </c>
      <c r="CE19" s="8">
        <f>CD19+真實IC!CE19</f>
        <v>6.7244941957125715</v>
      </c>
      <c r="CF19" s="8">
        <f>CE19+真實IC!CF19</f>
        <v>6.8043985929186208</v>
      </c>
      <c r="CG19" s="8">
        <f>CF19+真實IC!CG19</f>
        <v>6.861516217785578</v>
      </c>
      <c r="CH19" s="8">
        <f>CG19+真實IC!CH19</f>
        <v>7.0144060848355041</v>
      </c>
      <c r="CI19" s="8">
        <f>CH19+真實IC!CI19</f>
        <v>7.051473030995699</v>
      </c>
      <c r="CJ19" s="8">
        <f>CI19+真實IC!CJ19</f>
        <v>7.0396611082337044</v>
      </c>
      <c r="CK19" s="8">
        <f>CJ19+真實IC!CK19</f>
        <v>7.1584583711910392</v>
      </c>
      <c r="CL19" s="8">
        <f>CK19+真實IC!CL19</f>
        <v>7.1152180912162493</v>
      </c>
      <c r="CM19" s="8">
        <f>CL19+真實IC!CM19</f>
        <v>7.2254532578829158</v>
      </c>
      <c r="CN19" s="8">
        <f>CM19+真實IC!CN19</f>
        <v>7.3686464683524502</v>
      </c>
      <c r="CO19" s="8">
        <f>CN19+真實IC!CO19</f>
        <v>7.6198821350191173</v>
      </c>
      <c r="CP19" s="8">
        <f>CO19+真實IC!CP19</f>
        <v>7.7789147340014502</v>
      </c>
      <c r="CQ19" s="8">
        <f>CP19+真實IC!CQ19</f>
        <v>7.8113093415178687</v>
      </c>
      <c r="CR19" s="8">
        <f>CQ19+真實IC!CR19</f>
        <v>7.9876160657640609</v>
      </c>
      <c r="CS19" s="8">
        <f>CR19+真實IC!CS19</f>
        <v>8.0418665153123943</v>
      </c>
      <c r="CT19" s="8">
        <f>CS19+真實IC!CT19</f>
        <v>8.0682885153123944</v>
      </c>
      <c r="CU19" s="8">
        <f>CT19+真實IC!CU19</f>
        <v>8.2148960585733342</v>
      </c>
      <c r="CV19" s="8">
        <f>CU19+真實IC!CV19</f>
        <v>8.3094490665447136</v>
      </c>
      <c r="CW19" s="8">
        <f>CV19+真實IC!CW19</f>
        <v>8.3699649451177507</v>
      </c>
      <c r="CX19" s="8">
        <f>CW19+真實IC!CX19</f>
        <v>8.427599671485936</v>
      </c>
      <c r="CY19" s="8">
        <f>CX19+真實IC!CY19</f>
        <v>8.5007505048192691</v>
      </c>
      <c r="CZ19" s="8">
        <f>CY19+真實IC!CZ19</f>
        <v>8.613602333460733</v>
      </c>
      <c r="DA19" s="8">
        <f>CZ19+真實IC!DA19</f>
        <v>8.6887848334607334</v>
      </c>
      <c r="DB19" s="8">
        <f>DA19+真實IC!DB19</f>
        <v>8.8367458334607338</v>
      </c>
      <c r="DC19" s="8">
        <f>DB19+真實IC!DC19</f>
        <v>8.801566433558639</v>
      </c>
      <c r="DD19" s="8">
        <f>DC19+真實IC!DD19</f>
        <v>8.8077675588134685</v>
      </c>
      <c r="DE19" s="8">
        <f>DD19+真實IC!DE19</f>
        <v>8.8407859734692611</v>
      </c>
      <c r="DF19" s="8">
        <f>DE19+真實IC!DF19</f>
        <v>9.0462888068025951</v>
      </c>
      <c r="DG19" s="8">
        <f>DF19+真實IC!DG19</f>
        <v>9.1126633068025953</v>
      </c>
      <c r="DH19" s="8">
        <f>DG19+真實IC!DH19</f>
        <v>9.337254640135928</v>
      </c>
      <c r="DI19" s="8">
        <f>DH19+真實IC!DI19</f>
        <v>9.4457163068025949</v>
      </c>
      <c r="DJ19" s="8">
        <f>DI19+真實IC!DJ19</f>
        <v>9.6109667757616659</v>
      </c>
      <c r="DK19" s="8">
        <f>DJ19+真實IC!DK19</f>
        <v>9.7324074424283324</v>
      </c>
      <c r="DL19" s="8">
        <f>DK19+真實IC!DL19</f>
        <v>9.7204246565193593</v>
      </c>
      <c r="DM19" s="8">
        <f>DL19+真實IC!DM19</f>
        <v>9.6631248231860258</v>
      </c>
      <c r="DN19" s="8">
        <f>DM19+真實IC!DN19</f>
        <v>9.665599946283665</v>
      </c>
      <c r="DO19" s="8">
        <f>DN19+真實IC!DO19</f>
        <v>9.9148611129503319</v>
      </c>
      <c r="DP19" s="8">
        <f>DO19+真實IC!DP19</f>
        <v>10.085129243630293</v>
      </c>
      <c r="DQ19" s="8">
        <f>DP19+真實IC!DQ19</f>
        <v>10.165503415468368</v>
      </c>
      <c r="DR19" s="8">
        <f>DQ19+真實IC!DR19</f>
        <v>10.241465768793416</v>
      </c>
      <c r="DS19" s="8">
        <f>DR19+真實IC!DS19</f>
        <v>10.235787435460082</v>
      </c>
      <c r="DT19" s="8">
        <f>DS19+真實IC!DT19</f>
        <v>10.240820681980187</v>
      </c>
      <c r="DU19" s="8">
        <f>DT19+真實IC!DU19</f>
        <v>10.391403181980188</v>
      </c>
      <c r="DV19" s="8">
        <f>DU19+真實IC!DV19</f>
        <v>10.502927888420793</v>
      </c>
      <c r="DW19" s="8">
        <f>DV19+真實IC!DW19</f>
        <v>10.401630888420792</v>
      </c>
      <c r="DX19" s="8">
        <f>DW19+真實IC!DX19</f>
        <v>10.53999602265897</v>
      </c>
      <c r="DY19" s="8">
        <f>DX19+真實IC!DY19</f>
        <v>10.67924402265897</v>
      </c>
      <c r="DZ19" s="8">
        <f>DY19+真實IC!DZ19</f>
        <v>10.75778152265897</v>
      </c>
      <c r="EA19" s="8">
        <f>DZ19+真實IC!EA19</f>
        <v>10.790701249853985</v>
      </c>
      <c r="EB19" s="8">
        <f>EA19+真實IC!EB19</f>
        <v>10.899454759492237</v>
      </c>
      <c r="EC19" s="8">
        <f>EB19+真實IC!EC19</f>
        <v>10.887264716268534</v>
      </c>
      <c r="ED19" s="8">
        <f>EC19+真實IC!ED19</f>
        <v>11.038200033258692</v>
      </c>
      <c r="EE19" s="8">
        <f>ED19+真實IC!EE19</f>
        <v>11.030893699925358</v>
      </c>
      <c r="EF19" s="8">
        <f>EE19+真實IC!EF19</f>
        <v>11.104913699925358</v>
      </c>
    </row>
    <row r="20" spans="1:136">
      <c r="A20" s="7">
        <v>192</v>
      </c>
      <c r="B20" s="7">
        <v>5</v>
      </c>
      <c r="C20" s="6">
        <v>0.20155100000000001</v>
      </c>
      <c r="D20" s="8">
        <f>C20+真實IC!D20</f>
        <v>0.58357680000000001</v>
      </c>
      <c r="E20" s="8">
        <f>D20+真實IC!E20</f>
        <v>0.64091200000000004</v>
      </c>
      <c r="F20" s="8">
        <f>E20+真實IC!F20</f>
        <v>0.43538073566682584</v>
      </c>
      <c r="G20" s="8">
        <f>F20+真實IC!G20</f>
        <v>0.55256387695576492</v>
      </c>
      <c r="H20" s="8">
        <f>G20+真實IC!H20</f>
        <v>0.69649607695576488</v>
      </c>
      <c r="I20" s="8">
        <f>H20+真實IC!I20</f>
        <v>0.85464563955686657</v>
      </c>
      <c r="J20" s="8">
        <f>I20+真實IC!J20</f>
        <v>0.88911689828372276</v>
      </c>
      <c r="K20" s="8">
        <f>J20+真實IC!K20</f>
        <v>1.1038414020448046</v>
      </c>
      <c r="L20" s="8">
        <f>K20+真實IC!L20</f>
        <v>1.0731478020448046</v>
      </c>
      <c r="M20" s="8">
        <f>L20+真實IC!M20</f>
        <v>0.99542957375353114</v>
      </c>
      <c r="N20" s="8">
        <f>M20+真實IC!N20</f>
        <v>1.4954411737535311</v>
      </c>
      <c r="O20" s="8">
        <f>N20+真實IC!O20</f>
        <v>1.5453060598228052</v>
      </c>
      <c r="P20" s="8">
        <f>O20+真實IC!P20</f>
        <v>1.6364759874913304</v>
      </c>
      <c r="Q20" s="8">
        <f>P20+真實IC!Q20</f>
        <v>1.8532017264943088</v>
      </c>
      <c r="R20" s="8">
        <f>Q20+真實IC!R20</f>
        <v>1.7439486708568399</v>
      </c>
      <c r="S20" s="8">
        <f>R20+真實IC!S20</f>
        <v>1.8991312891845826</v>
      </c>
      <c r="T20" s="8">
        <f>S20+真實IC!T20</f>
        <v>1.984596744922398</v>
      </c>
      <c r="U20" s="8">
        <f>T20+真實IC!U20</f>
        <v>2.133246425040173</v>
      </c>
      <c r="V20" s="8">
        <f>U20+真實IC!V20</f>
        <v>2.1458905281573619</v>
      </c>
      <c r="W20" s="8">
        <f>V20+真實IC!W20</f>
        <v>2.236975528157362</v>
      </c>
      <c r="X20" s="8">
        <f>W20+真實IC!X20</f>
        <v>2.447361941080147</v>
      </c>
      <c r="Y20" s="8">
        <f>X20+真實IC!Y20</f>
        <v>2.40529445154155</v>
      </c>
      <c r="Z20" s="8">
        <f>Y20+真實IC!Z20</f>
        <v>2.5109114120252092</v>
      </c>
      <c r="AA20" s="8">
        <f>Z20+真實IC!AA20</f>
        <v>2.6413947805058551</v>
      </c>
      <c r="AB20" s="8">
        <f>AA20+真實IC!AB20</f>
        <v>2.7261546212320282</v>
      </c>
      <c r="AC20" s="8">
        <f>AB20+真實IC!AC20</f>
        <v>2.7734028839599958</v>
      </c>
      <c r="AD20" s="8">
        <f>AC20+真實IC!AD20</f>
        <v>2.9032454839599957</v>
      </c>
      <c r="AE20" s="8">
        <f>AD20+真實IC!AE20</f>
        <v>3.0644666911151068</v>
      </c>
      <c r="AF20" s="8">
        <f>AE20+真實IC!AF20</f>
        <v>3.2879645107514794</v>
      </c>
      <c r="AG20" s="8">
        <f>AF20+真實IC!AG20</f>
        <v>3.3156237292913717</v>
      </c>
      <c r="AH20" s="8">
        <f>AG20+真實IC!AH20</f>
        <v>3.2254455285765893</v>
      </c>
      <c r="AI20" s="8">
        <f>AH20+真實IC!AI20</f>
        <v>3.3417827285765891</v>
      </c>
      <c r="AJ20" s="8">
        <f>AI20+真實IC!AJ20</f>
        <v>3.2797926940290414</v>
      </c>
      <c r="AK20" s="8">
        <f>AJ20+真實IC!AK20</f>
        <v>3.2661975785330384</v>
      </c>
      <c r="AL20" s="8">
        <f>AK20+真實IC!AL20</f>
        <v>3.2605795785330383</v>
      </c>
      <c r="AM20" s="8">
        <f>AL20+真實IC!AM20</f>
        <v>3.2936755592818407</v>
      </c>
      <c r="AN20" s="8">
        <f>AM20+真實IC!AN20</f>
        <v>3.3691457528008391</v>
      </c>
      <c r="AO20" s="8">
        <f>AN20+真實IC!AO20</f>
        <v>3.4182540474402385</v>
      </c>
      <c r="AP20" s="8">
        <f>AO20+真實IC!AP20</f>
        <v>3.5499845086956263</v>
      </c>
      <c r="AQ20" s="8">
        <f>AP20+真實IC!AQ20</f>
        <v>3.6228831086956261</v>
      </c>
      <c r="AR20" s="8">
        <f>AQ20+真實IC!AR20</f>
        <v>3.6095939086956261</v>
      </c>
      <c r="AS20" s="8">
        <f>AR20+真實IC!AS20</f>
        <v>3.5673021922466503</v>
      </c>
      <c r="AT20" s="8">
        <f>AS20+真實IC!AT20</f>
        <v>3.8064259396917208</v>
      </c>
      <c r="AU20" s="8">
        <f>AT20+真實IC!AU20</f>
        <v>4.0881249396917205</v>
      </c>
      <c r="AV20" s="8">
        <f>AU20+真實IC!AV20</f>
        <v>4.0558783269049572</v>
      </c>
      <c r="AW20" s="8">
        <f>AV20+真實IC!AW20</f>
        <v>4.280876167683302</v>
      </c>
      <c r="AX20" s="8">
        <f>AW20+真實IC!AX20</f>
        <v>4.4852153876438488</v>
      </c>
      <c r="AY20" s="8">
        <f>AX20+真實IC!AY20</f>
        <v>4.5238900860867579</v>
      </c>
      <c r="AZ20" s="8">
        <f>AY20+真實IC!AZ20</f>
        <v>4.6236942860867583</v>
      </c>
      <c r="BA20" s="8">
        <f>AZ20+真實IC!BA20</f>
        <v>4.7750322860867582</v>
      </c>
      <c r="BB20" s="8">
        <f>BA20+真實IC!BB20</f>
        <v>5.1534790713961023</v>
      </c>
      <c r="BC20" s="8">
        <f>BB20+真實IC!BC20</f>
        <v>5.3936197463865163</v>
      </c>
      <c r="BD20" s="8">
        <f>BC20+真實IC!BD20</f>
        <v>5.4019833463865163</v>
      </c>
      <c r="BE20" s="8">
        <f>BD20+真實IC!BE20</f>
        <v>5.5002617211208724</v>
      </c>
      <c r="BF20" s="8">
        <f>BE20+真實IC!BF20</f>
        <v>5.6382329841898473</v>
      </c>
      <c r="BG20" s="8">
        <f>BF20+真實IC!BG20</f>
        <v>5.7322950397981876</v>
      </c>
      <c r="BH20" s="8">
        <f>BG20+真實IC!BH20</f>
        <v>5.882352340361642</v>
      </c>
      <c r="BI20" s="8">
        <f>BH20+真實IC!BI20</f>
        <v>6.0140976074468169</v>
      </c>
      <c r="BJ20" s="8">
        <f>BI20+真實IC!BJ20</f>
        <v>6.0692554074468168</v>
      </c>
      <c r="BK20" s="8">
        <f>BJ20+真實IC!BK20</f>
        <v>5.9516044074468164</v>
      </c>
      <c r="BL20" s="8">
        <f>BK20+真實IC!BL20</f>
        <v>6.0214638493840367</v>
      </c>
      <c r="BM20" s="8">
        <f>BL20+真實IC!BM20</f>
        <v>6.0689324008482259</v>
      </c>
      <c r="BN20" s="8">
        <f>BM20+真實IC!BN20</f>
        <v>6.0875684008482258</v>
      </c>
      <c r="BO20" s="8">
        <f>BN20+真實IC!BO20</f>
        <v>6.0491066833322469</v>
      </c>
      <c r="BP20" s="8">
        <f>BO20+真實IC!BP20</f>
        <v>6.0563904833322466</v>
      </c>
      <c r="BQ20" s="8">
        <f>BP20+真實IC!BQ20</f>
        <v>6.0718421902930899</v>
      </c>
      <c r="BR20" s="8">
        <f>BQ20+真實IC!BR20</f>
        <v>6.2529692717647514</v>
      </c>
      <c r="BS20" s="8">
        <f>BR20+真實IC!BS20</f>
        <v>6.220433074039895</v>
      </c>
      <c r="BT20" s="8">
        <f>BS20+真實IC!BT20</f>
        <v>6.1679644740398949</v>
      </c>
      <c r="BU20" s="8">
        <f>BT20+真實IC!BU20</f>
        <v>6.3174054740398953</v>
      </c>
      <c r="BV20" s="8">
        <f>BU20+真實IC!BV20</f>
        <v>6.2358620322792966</v>
      </c>
      <c r="BW20" s="8">
        <f>BV20+真實IC!BW20</f>
        <v>6.5876915823277011</v>
      </c>
      <c r="BX20" s="8">
        <f>BW20+真實IC!BX20</f>
        <v>6.5348329823277007</v>
      </c>
      <c r="BY20" s="8">
        <f>BX20+真實IC!BY20</f>
        <v>6.5301936231780324</v>
      </c>
      <c r="BZ20" s="8">
        <f>BY20+真實IC!BZ20</f>
        <v>6.6204650274383159</v>
      </c>
      <c r="CA20" s="8">
        <f>BZ20+真實IC!CA20</f>
        <v>6.6605677554900691</v>
      </c>
      <c r="CB20" s="8">
        <f>CA20+真實IC!CB20</f>
        <v>6.7870631554900687</v>
      </c>
      <c r="CC20" s="8">
        <f>CB20+真實IC!CC20</f>
        <v>6.7999779554900686</v>
      </c>
      <c r="CD20" s="8">
        <f>CC20+真實IC!CD20</f>
        <v>6.981005452980666</v>
      </c>
      <c r="CE20" s="8">
        <f>CD20+真實IC!CE20</f>
        <v>7.0667828529806656</v>
      </c>
      <c r="CF20" s="8">
        <f>CE20+真實IC!CF20</f>
        <v>7.1477407901793422</v>
      </c>
      <c r="CG20" s="8">
        <f>CF20+真實IC!CG20</f>
        <v>7.2237110309224501</v>
      </c>
      <c r="CH20" s="8">
        <f>CG20+真實IC!CH20</f>
        <v>7.2955750565195885</v>
      </c>
      <c r="CI20" s="8">
        <f>CH20+真實IC!CI20</f>
        <v>7.3259697302886702</v>
      </c>
      <c r="CJ20" s="8">
        <f>CI20+真實IC!CJ20</f>
        <v>7.2844597455047415</v>
      </c>
      <c r="CK20" s="8">
        <f>CJ20+真實IC!CK20</f>
        <v>7.3650493694453631</v>
      </c>
      <c r="CL20" s="8">
        <f>CK20+真實IC!CL20</f>
        <v>7.2728644352562339</v>
      </c>
      <c r="CM20" s="8">
        <f>CL20+真實IC!CM20</f>
        <v>7.3696386352562335</v>
      </c>
      <c r="CN20" s="8">
        <f>CM20+真實IC!CN20</f>
        <v>7.5745304688973363</v>
      </c>
      <c r="CO20" s="8">
        <f>CN20+真實IC!CO20</f>
        <v>7.871103868897336</v>
      </c>
      <c r="CP20" s="8">
        <f>CO20+真實IC!CP20</f>
        <v>8.0631350740063628</v>
      </c>
      <c r="CQ20" s="8">
        <f>CP20+真實IC!CQ20</f>
        <v>8.0862531193066456</v>
      </c>
      <c r="CR20" s="8">
        <f>CQ20+真實IC!CR20</f>
        <v>8.2817392297915884</v>
      </c>
      <c r="CS20" s="8">
        <f>CR20+真實IC!CS20</f>
        <v>8.3788763285259105</v>
      </c>
      <c r="CT20" s="8">
        <f>CS20+真實IC!CT20</f>
        <v>8.4072917285259106</v>
      </c>
      <c r="CU20" s="8">
        <f>CT20+真實IC!CU20</f>
        <v>8.5540197375975371</v>
      </c>
      <c r="CV20" s="8">
        <f>CU20+真實IC!CV20</f>
        <v>8.6732338658102215</v>
      </c>
      <c r="CW20" s="8">
        <f>CV20+真實IC!CW20</f>
        <v>8.7411375739850676</v>
      </c>
      <c r="CX20" s="8">
        <f>CW20+真實IC!CX20</f>
        <v>8.8314361248528321</v>
      </c>
      <c r="CY20" s="8">
        <f>CX20+真實IC!CY20</f>
        <v>8.9401683248528325</v>
      </c>
      <c r="CZ20" s="8">
        <f>CY20+真實IC!CZ20</f>
        <v>9.0953299700020303</v>
      </c>
      <c r="DA20" s="8">
        <f>CZ20+真實IC!DA20</f>
        <v>9.1724115700020299</v>
      </c>
      <c r="DB20" s="8">
        <f>DA20+真實IC!DB20</f>
        <v>9.2493785700020297</v>
      </c>
      <c r="DC20" s="8">
        <f>DB20+真實IC!DC20</f>
        <v>9.1997655007664747</v>
      </c>
      <c r="DD20" s="8">
        <f>DC20+真實IC!DD20</f>
        <v>9.203362685523425</v>
      </c>
      <c r="DE20" s="8">
        <f>DD20+真實IC!DE20</f>
        <v>9.213781407130277</v>
      </c>
      <c r="DF20" s="8">
        <f>DE20+真實IC!DF20</f>
        <v>9.4593568071302769</v>
      </c>
      <c r="DG20" s="8">
        <f>DF20+真實IC!DG20</f>
        <v>9.5117026071302764</v>
      </c>
      <c r="DH20" s="8">
        <f>DG20+真實IC!DH20</f>
        <v>9.7900022071302768</v>
      </c>
      <c r="DI20" s="8">
        <f>DH20+真實IC!DI20</f>
        <v>9.9275982071302771</v>
      </c>
      <c r="DJ20" s="8">
        <f>DI20+真實IC!DJ20</f>
        <v>10.064156299562974</v>
      </c>
      <c r="DK20" s="8">
        <f>DJ20+真實IC!DK20</f>
        <v>10.149340899562974</v>
      </c>
      <c r="DL20" s="8">
        <f>DK20+真實IC!DL20</f>
        <v>10.129875526229354</v>
      </c>
      <c r="DM20" s="8">
        <f>DL20+真實IC!DM20</f>
        <v>10.060539726229354</v>
      </c>
      <c r="DN20" s="8">
        <f>DM20+真實IC!DN20</f>
        <v>10.118558932883554</v>
      </c>
      <c r="DO20" s="8">
        <f>DN20+真實IC!DO20</f>
        <v>10.376559932883554</v>
      </c>
      <c r="DP20" s="8">
        <f>DO20+真實IC!DP20</f>
        <v>10.576715367637943</v>
      </c>
      <c r="DQ20" s="8">
        <f>DP20+真實IC!DQ20</f>
        <v>10.634175549262643</v>
      </c>
      <c r="DR20" s="8">
        <f>DQ20+真實IC!DR20</f>
        <v>10.712688209290933</v>
      </c>
      <c r="DS20" s="8">
        <f>DR20+真實IC!DS20</f>
        <v>10.705196209290934</v>
      </c>
      <c r="DT20" s="8">
        <f>DS20+真實IC!DT20</f>
        <v>10.675510870492092</v>
      </c>
      <c r="DU20" s="8">
        <f>DT20+真實IC!DU20</f>
        <v>10.851886670492092</v>
      </c>
      <c r="DV20" s="8">
        <f>DU20+真實IC!DV20</f>
        <v>10.981232142330951</v>
      </c>
      <c r="DW20" s="8">
        <f>DV20+真實IC!DW20</f>
        <v>10.877685542330951</v>
      </c>
      <c r="DX20" s="8">
        <f>DW20+真實IC!DX20</f>
        <v>11.031551871937266</v>
      </c>
      <c r="DY20" s="8">
        <f>DX20+真實IC!DY20</f>
        <v>11.153142471937265</v>
      </c>
      <c r="DZ20" s="8">
        <f>DY20+真實IC!DZ20</f>
        <v>11.243341871937265</v>
      </c>
      <c r="EA20" s="8">
        <f>DZ20+真實IC!EA20</f>
        <v>11.23741627266393</v>
      </c>
      <c r="EB20" s="8">
        <f>EA20+真實IC!EB20</f>
        <v>11.319823415108349</v>
      </c>
      <c r="EC20" s="8">
        <f>EB20+真實IC!EC20</f>
        <v>11.353872996522291</v>
      </c>
      <c r="ED20" s="8">
        <f>EC20+真實IC!ED20</f>
        <v>11.530791857589302</v>
      </c>
      <c r="EE20" s="8">
        <f>ED20+真實IC!EE20</f>
        <v>11.529050257589301</v>
      </c>
      <c r="EF20" s="8">
        <f>EE20+真實IC!EF20</f>
        <v>11.614850257589302</v>
      </c>
    </row>
    <row r="21" spans="1:136">
      <c r="A21" s="7">
        <v>241</v>
      </c>
      <c r="B21" s="7">
        <v>4</v>
      </c>
      <c r="C21" s="6">
        <v>0.21462999999999999</v>
      </c>
      <c r="D21" s="8">
        <f>C21+真實IC!D21</f>
        <v>0.34101899999999996</v>
      </c>
      <c r="E21" s="8">
        <f>D21+真實IC!E21</f>
        <v>0.32732749999999994</v>
      </c>
      <c r="F21" s="8">
        <f>E21+真實IC!F21</f>
        <v>0.14328891839386995</v>
      </c>
      <c r="G21" s="8">
        <f>F21+真實IC!G21</f>
        <v>0.28713106950643441</v>
      </c>
      <c r="H21" s="8">
        <f>G21+真實IC!H21</f>
        <v>0.44929506950643439</v>
      </c>
      <c r="I21" s="8">
        <f>H21+真實IC!I21</f>
        <v>0.59655067763390734</v>
      </c>
      <c r="J21" s="8">
        <f>I21+真實IC!J21</f>
        <v>0.65698600332554968</v>
      </c>
      <c r="K21" s="8">
        <f>J21+真實IC!K21</f>
        <v>0.86386602932894518</v>
      </c>
      <c r="L21" s="8">
        <f>K21+真實IC!L21</f>
        <v>0.86889702932894519</v>
      </c>
      <c r="M21" s="8">
        <f>L21+真實IC!M21</f>
        <v>0.76921243592073396</v>
      </c>
      <c r="N21" s="8">
        <f>M21+真實IC!N21</f>
        <v>1.3541029359207339</v>
      </c>
      <c r="O21" s="8">
        <f>N21+真實IC!O21</f>
        <v>1.3884549253814247</v>
      </c>
      <c r="P21" s="8">
        <f>O21+真實IC!P21</f>
        <v>1.5332275262711095</v>
      </c>
      <c r="Q21" s="8">
        <f>P21+真實IC!Q21</f>
        <v>1.7905376003653617</v>
      </c>
      <c r="R21" s="8">
        <f>Q21+真實IC!R21</f>
        <v>1.6949622892587315</v>
      </c>
      <c r="S21" s="8">
        <f>R21+真實IC!S21</f>
        <v>1.8235525747086885</v>
      </c>
      <c r="T21" s="8">
        <f>S21+真實IC!T21</f>
        <v>1.922014247465486</v>
      </c>
      <c r="U21" s="8">
        <f>T21+真實IC!U21</f>
        <v>2.0082926650772439</v>
      </c>
      <c r="V21" s="8">
        <f>U21+真實IC!V21</f>
        <v>2.0618502844432753</v>
      </c>
      <c r="W21" s="8">
        <f>V21+真實IC!W21</f>
        <v>2.1863490344432752</v>
      </c>
      <c r="X21" s="8">
        <f>W21+真實IC!X21</f>
        <v>2.3999799766483916</v>
      </c>
      <c r="Y21" s="8">
        <f>X21+真實IC!Y21</f>
        <v>2.3791468937559568</v>
      </c>
      <c r="Z21" s="8">
        <f>Y21+真實IC!Z21</f>
        <v>2.4933508809786811</v>
      </c>
      <c r="AA21" s="8">
        <f>Z21+真實IC!AA21</f>
        <v>2.6039867879811598</v>
      </c>
      <c r="AB21" s="8">
        <f>AA21+真實IC!AB21</f>
        <v>2.7338263703782295</v>
      </c>
      <c r="AC21" s="8">
        <f>AB21+真實IC!AC21</f>
        <v>2.7526541070850294</v>
      </c>
      <c r="AD21" s="8">
        <f>AC21+真實IC!AD21</f>
        <v>2.8814786070850293</v>
      </c>
      <c r="AE21" s="8">
        <f>AD21+真實IC!AE21</f>
        <v>3.0095835858812752</v>
      </c>
      <c r="AF21" s="8">
        <f>AE21+真實IC!AF21</f>
        <v>3.3047278439646384</v>
      </c>
      <c r="AG21" s="8">
        <f>AF21+真實IC!AG21</f>
        <v>3.3490306217544323</v>
      </c>
      <c r="AH21" s="8">
        <f>AG21+真實IC!AH21</f>
        <v>3.241449259189634</v>
      </c>
      <c r="AI21" s="8">
        <f>AH21+真實IC!AI21</f>
        <v>3.3435735091896341</v>
      </c>
      <c r="AJ21" s="8">
        <f>AI21+真實IC!AJ21</f>
        <v>3.2731681672431656</v>
      </c>
      <c r="AK21" s="8">
        <f>AJ21+真實IC!AK21</f>
        <v>3.2373649996250555</v>
      </c>
      <c r="AL21" s="8">
        <f>AK21+真實IC!AL21</f>
        <v>3.2571452496250557</v>
      </c>
      <c r="AM21" s="8">
        <f>AL21+真實IC!AM21</f>
        <v>3.3256810570726865</v>
      </c>
      <c r="AN21" s="8">
        <f>AM21+真實IC!AN21</f>
        <v>3.4376371131357808</v>
      </c>
      <c r="AO21" s="8">
        <f>AN21+真實IC!AO21</f>
        <v>3.5232048880496682</v>
      </c>
      <c r="AP21" s="8">
        <f>AO21+真實IC!AP21</f>
        <v>3.5957400316196875</v>
      </c>
      <c r="AQ21" s="8">
        <f>AP21+真實IC!AQ21</f>
        <v>3.7289640316196877</v>
      </c>
      <c r="AR21" s="8">
        <f>AQ21+真實IC!AR21</f>
        <v>3.7769522816196877</v>
      </c>
      <c r="AS21" s="8">
        <f>AR21+真實IC!AS21</f>
        <v>3.7315455995596793</v>
      </c>
      <c r="AT21" s="8">
        <f>AS21+真實IC!AT21</f>
        <v>3.9963838571076766</v>
      </c>
      <c r="AU21" s="8">
        <f>AT21+真實IC!AU21</f>
        <v>4.3428651071076763</v>
      </c>
      <c r="AV21" s="8">
        <f>AU21+真實IC!AV21</f>
        <v>4.2741511944111963</v>
      </c>
      <c r="AW21" s="8">
        <f>AV21+真實IC!AW21</f>
        <v>4.5374061107850112</v>
      </c>
      <c r="AX21" s="8">
        <f>AW21+真實IC!AX21</f>
        <v>4.7551244133020489</v>
      </c>
      <c r="AY21" s="8">
        <f>AX21+真實IC!AY21</f>
        <v>4.802145704280087</v>
      </c>
      <c r="AZ21" s="8">
        <f>AY21+真實IC!AZ21</f>
        <v>4.9106487042800868</v>
      </c>
      <c r="BA21" s="8">
        <f>AZ21+真實IC!BA21</f>
        <v>5.0502412042800868</v>
      </c>
      <c r="BB21" s="8">
        <f>BA21+真實IC!BB21</f>
        <v>5.454672632413236</v>
      </c>
      <c r="BC21" s="8">
        <f>BB21+真實IC!BC21</f>
        <v>5.6191331643420623</v>
      </c>
      <c r="BD21" s="8">
        <f>BC21+真實IC!BD21</f>
        <v>5.6573556643420622</v>
      </c>
      <c r="BE21" s="8">
        <f>BD21+真實IC!BE21</f>
        <v>5.7941010202500269</v>
      </c>
      <c r="BF21" s="8">
        <f>BE21+真實IC!BF21</f>
        <v>5.9932182366806304</v>
      </c>
      <c r="BG21" s="8">
        <f>BF21+真實IC!BG21</f>
        <v>6.0855038081878838</v>
      </c>
      <c r="BH21" s="8">
        <f>BG21+真實IC!BH21</f>
        <v>6.192345917825314</v>
      </c>
      <c r="BI21" s="8">
        <f>BH21+真實IC!BI21</f>
        <v>6.3583155140037055</v>
      </c>
      <c r="BJ21" s="8">
        <f>BI21+真實IC!BJ21</f>
        <v>6.3807117640037054</v>
      </c>
      <c r="BK21" s="8">
        <f>BJ21+真實IC!BK21</f>
        <v>6.3079880140037057</v>
      </c>
      <c r="BL21" s="8">
        <f>BK21+真實IC!BL21</f>
        <v>6.3953288044714043</v>
      </c>
      <c r="BM21" s="8">
        <f>BL21+真實IC!BM21</f>
        <v>6.4361240905001251</v>
      </c>
      <c r="BN21" s="8">
        <f>BM21+真實IC!BN21</f>
        <v>6.4619123405001249</v>
      </c>
      <c r="BO21" s="8">
        <f>BN21+真實IC!BO21</f>
        <v>6.3980551040864446</v>
      </c>
      <c r="BP21" s="8">
        <f>BO21+真實IC!BP21</f>
        <v>6.3938751040864448</v>
      </c>
      <c r="BQ21" s="8">
        <f>BP21+真實IC!BQ21</f>
        <v>6.4484173349209497</v>
      </c>
      <c r="BR21" s="8">
        <f>BQ21+真實IC!BR21</f>
        <v>6.5904787908310452</v>
      </c>
      <c r="BS21" s="8">
        <f>BR21+真實IC!BS21</f>
        <v>6.5247369698706974</v>
      </c>
      <c r="BT21" s="8">
        <f>BS21+真實IC!BT21</f>
        <v>6.4639149698706975</v>
      </c>
      <c r="BU21" s="8">
        <f>BT21+真實IC!BU21</f>
        <v>6.6346529698706975</v>
      </c>
      <c r="BV21" s="8">
        <f>BU21+真實IC!BV21</f>
        <v>6.5903129898294237</v>
      </c>
      <c r="BW21" s="8">
        <f>BV21+真實IC!BW21</f>
        <v>6.7747736605498332</v>
      </c>
      <c r="BX21" s="8">
        <f>BW21+真實IC!BX21</f>
        <v>6.6976104105498333</v>
      </c>
      <c r="BY21" s="8">
        <f>BX21+真實IC!BY21</f>
        <v>6.6419441183075962</v>
      </c>
      <c r="BZ21" s="8">
        <f>BY21+真實IC!BZ21</f>
        <v>6.6896070470283115</v>
      </c>
      <c r="CA21" s="8">
        <f>BZ21+真實IC!CA21</f>
        <v>6.7501246503307097</v>
      </c>
      <c r="CB21" s="8">
        <f>CA21+真實IC!CB21</f>
        <v>6.9579949003307098</v>
      </c>
      <c r="CC21" s="8">
        <f>CB21+真實IC!CC21</f>
        <v>6.9499754003307102</v>
      </c>
      <c r="CD21" s="8">
        <f>CC21+真實IC!CD21</f>
        <v>7.2380314646931829</v>
      </c>
      <c r="CE21" s="8">
        <f>CD21+真實IC!CE21</f>
        <v>7.2995459646931833</v>
      </c>
      <c r="CF21" s="8">
        <f>CE21+真實IC!CF21</f>
        <v>7.4308116414942553</v>
      </c>
      <c r="CG21" s="8">
        <f>CF21+真實IC!CG21</f>
        <v>7.5158969769683868</v>
      </c>
      <c r="CH21" s="8">
        <f>CG21+真實IC!CH21</f>
        <v>7.5959972980445984</v>
      </c>
      <c r="CI21" s="8">
        <f>CH21+真實IC!CI21</f>
        <v>7.6764969144355808</v>
      </c>
      <c r="CJ21" s="8">
        <f>CI21+真實IC!CJ21</f>
        <v>7.6213560658744237</v>
      </c>
      <c r="CK21" s="8">
        <f>CJ21+真實IC!CK21</f>
        <v>7.6885156961712795</v>
      </c>
      <c r="CL21" s="8">
        <f>CK21+真實IC!CL21</f>
        <v>7.5546252715483151</v>
      </c>
      <c r="CM21" s="8">
        <f>CL21+真實IC!CM21</f>
        <v>7.6708555215483152</v>
      </c>
      <c r="CN21" s="8">
        <f>CM21+真實IC!CN21</f>
        <v>7.7517070303777489</v>
      </c>
      <c r="CO21" s="8">
        <f>CN21+真實IC!CO21</f>
        <v>8.087190030377748</v>
      </c>
      <c r="CP21" s="8">
        <f>CO21+真實IC!CP21</f>
        <v>8.3098900912556601</v>
      </c>
      <c r="CQ21" s="8">
        <f>CP21+真實IC!CQ21</f>
        <v>8.3328022854251564</v>
      </c>
      <c r="CR21" s="8">
        <f>CQ21+真實IC!CR21</f>
        <v>8.571862251786424</v>
      </c>
      <c r="CS21" s="8">
        <f>CR21+真實IC!CS21</f>
        <v>8.6331312880057549</v>
      </c>
      <c r="CT21" s="8">
        <f>CS21+真實IC!CT21</f>
        <v>8.6811260380057558</v>
      </c>
      <c r="CU21" s="8">
        <f>CT21+真實IC!CU21</f>
        <v>8.8400426603232063</v>
      </c>
      <c r="CV21" s="8">
        <f>CU21+真實IC!CV21</f>
        <v>8.9943745050977792</v>
      </c>
      <c r="CW21" s="8">
        <f>CV21+真實IC!CW21</f>
        <v>9.0327200219694621</v>
      </c>
      <c r="CX21" s="8">
        <f>CW21+真實IC!CX21</f>
        <v>9.1348421976268686</v>
      </c>
      <c r="CY21" s="8">
        <f>CX21+真實IC!CY21</f>
        <v>9.2373474476268687</v>
      </c>
      <c r="CZ21" s="8">
        <f>CY21+真實IC!CZ21</f>
        <v>9.4747988184526992</v>
      </c>
      <c r="DA21" s="8">
        <f>CZ21+真實IC!DA21</f>
        <v>9.5165085684527</v>
      </c>
      <c r="DB21" s="8">
        <f>DA21+真實IC!DB21</f>
        <v>9.5879680684526996</v>
      </c>
      <c r="DC21" s="8">
        <f>DB21+真實IC!DC21</f>
        <v>9.5429205092294094</v>
      </c>
      <c r="DD21" s="8">
        <f>DC21+真實IC!DD21</f>
        <v>9.545739303620481</v>
      </c>
      <c r="DE21" s="8">
        <f>DD21+真實IC!DE21</f>
        <v>9.5747170406808078</v>
      </c>
      <c r="DF21" s="8">
        <f>DE21+真實IC!DF21</f>
        <v>9.8758687906808085</v>
      </c>
      <c r="DG21" s="8">
        <f>DF21+真實IC!DG21</f>
        <v>9.9352795406808081</v>
      </c>
      <c r="DH21" s="8">
        <f>DG21+真實IC!DH21</f>
        <v>10.016716540680807</v>
      </c>
      <c r="DI21" s="8">
        <f>DH21+真實IC!DI21</f>
        <v>10.196556540680808</v>
      </c>
      <c r="DJ21" s="8">
        <f>DI21+真實IC!DJ21</f>
        <v>10.353162259144449</v>
      </c>
      <c r="DK21" s="8">
        <f>DJ21+真實IC!DK21</f>
        <v>10.44405550914445</v>
      </c>
      <c r="DL21" s="8">
        <f>DK21+真實IC!DL21</f>
        <v>10.431318517643437</v>
      </c>
      <c r="DM21" s="8">
        <f>DL21+真實IC!DM21</f>
        <v>10.406330267643437</v>
      </c>
      <c r="DN21" s="8">
        <f>DM21+真實IC!DN21</f>
        <v>10.47752788013743</v>
      </c>
      <c r="DO21" s="8">
        <f>DN21+真實IC!DO21</f>
        <v>10.809154130137429</v>
      </c>
      <c r="DP21" s="8">
        <f>DO21+真實IC!DP21</f>
        <v>11.038174019817664</v>
      </c>
      <c r="DQ21" s="8">
        <f>DP21+真實IC!DQ21</f>
        <v>11.108596718625847</v>
      </c>
      <c r="DR21" s="8">
        <f>DQ21+真實IC!DR21</f>
        <v>11.158767577662928</v>
      </c>
      <c r="DS21" s="8">
        <f>DR21+真實IC!DS21</f>
        <v>11.157093827662928</v>
      </c>
      <c r="DT21" s="8">
        <f>DS21+真實IC!DT21</f>
        <v>11.15187863731625</v>
      </c>
      <c r="DU21" s="8">
        <f>DT21+真實IC!DU21</f>
        <v>11.30049338731625</v>
      </c>
      <c r="DV21" s="8">
        <f>DU21+真實IC!DV21</f>
        <v>11.440769364186128</v>
      </c>
      <c r="DW21" s="8">
        <f>DV21+真實IC!DW21</f>
        <v>11.337233364186128</v>
      </c>
      <c r="DX21" s="8">
        <f>DW21+真實IC!DX21</f>
        <v>11.52319957821731</v>
      </c>
      <c r="DY21" s="8">
        <f>DX21+真實IC!DY21</f>
        <v>11.68992957821731</v>
      </c>
      <c r="DZ21" s="8">
        <f>DY21+真實IC!DZ21</f>
        <v>11.788859578217309</v>
      </c>
      <c r="EA21" s="8">
        <f>DZ21+真實IC!EA21</f>
        <v>11.753793121032073</v>
      </c>
      <c r="EB21" s="8">
        <f>EA21+真實IC!EB21</f>
        <v>11.780095315030607</v>
      </c>
      <c r="EC21" s="8">
        <f>EB21+真實IC!EC21</f>
        <v>11.794132370128649</v>
      </c>
      <c r="ED21" s="8">
        <f>EC21+真實IC!ED21</f>
        <v>11.848631226476829</v>
      </c>
      <c r="EE21" s="8">
        <f>ED21+真實IC!EE21</f>
        <v>11.869941226476829</v>
      </c>
      <c r="EF21" s="8">
        <f>EE21+真實IC!EF21</f>
        <v>11.898735726476829</v>
      </c>
    </row>
    <row r="22" spans="1:136">
      <c r="A22" s="7">
        <v>321</v>
      </c>
      <c r="B22" s="7">
        <v>3</v>
      </c>
      <c r="C22" s="6">
        <v>0.20527999999999999</v>
      </c>
      <c r="D22" s="8">
        <f>C22+真實IC!D22</f>
        <v>0.34770933333333331</v>
      </c>
      <c r="E22" s="8">
        <f>D22+真實IC!E22</f>
        <v>0.33035266666666663</v>
      </c>
      <c r="F22" s="8">
        <f>E22+真實IC!F22</f>
        <v>0.26252160574538908</v>
      </c>
      <c r="G22" s="8">
        <f>F22+真實IC!G22</f>
        <v>0.3664059690357232</v>
      </c>
      <c r="H22" s="8">
        <f>G22+真實IC!H22</f>
        <v>0.49058396903572321</v>
      </c>
      <c r="I22" s="8">
        <f>H22+真實IC!I22</f>
        <v>0.61407713837379296</v>
      </c>
      <c r="J22" s="8">
        <f>I22+真實IC!J22</f>
        <v>0.66667572763913585</v>
      </c>
      <c r="K22" s="8">
        <f>J22+真實IC!K22</f>
        <v>0.91204164032189161</v>
      </c>
      <c r="L22" s="8">
        <f>K22+真實IC!L22</f>
        <v>0.89776964032189155</v>
      </c>
      <c r="M22" s="8">
        <f>L22+真實IC!M22</f>
        <v>0.82366958155131897</v>
      </c>
      <c r="N22" s="8">
        <f>M22+真實IC!N22</f>
        <v>1.5798119148846523</v>
      </c>
      <c r="O22" s="8">
        <f>N22+真實IC!O22</f>
        <v>1.5730960365732849</v>
      </c>
      <c r="P22" s="8">
        <f>O22+真實IC!P22</f>
        <v>1.6458789207021018</v>
      </c>
      <c r="Q22" s="8">
        <f>P22+真實IC!Q22</f>
        <v>1.9226558145351538</v>
      </c>
      <c r="R22" s="8">
        <f>Q22+真實IC!R22</f>
        <v>1.8860273802635656</v>
      </c>
      <c r="S22" s="8">
        <f>R22+真實IC!S22</f>
        <v>2.0556739358215061</v>
      </c>
      <c r="T22" s="8">
        <f>S22+真實IC!T22</f>
        <v>2.1844863578046292</v>
      </c>
      <c r="U22" s="8">
        <f>T22+真實IC!U22</f>
        <v>2.2950763812071333</v>
      </c>
      <c r="V22" s="8">
        <f>U22+真實IC!V22</f>
        <v>2.3333631577269887</v>
      </c>
      <c r="W22" s="8">
        <f>V22+真實IC!W22</f>
        <v>2.4914111577269886</v>
      </c>
      <c r="X22" s="8">
        <f>W22+真實IC!X22</f>
        <v>2.7131979167608589</v>
      </c>
      <c r="Y22" s="8">
        <f>X22+真實IC!Y22</f>
        <v>2.6974657083473379</v>
      </c>
      <c r="Z22" s="8">
        <f>Y22+真實IC!Z22</f>
        <v>2.7730139774931839</v>
      </c>
      <c r="AA22" s="8">
        <f>Z22+真實IC!AA22</f>
        <v>2.8555384030712969</v>
      </c>
      <c r="AB22" s="8">
        <f>AA22+真實IC!AB22</f>
        <v>2.9899746157846225</v>
      </c>
      <c r="AC22" s="8">
        <f>AB22+真實IC!AC22</f>
        <v>3.0757510765000551</v>
      </c>
      <c r="AD22" s="8">
        <f>AC22+真實IC!AD22</f>
        <v>3.0893224098333882</v>
      </c>
      <c r="AE22" s="8">
        <f>AD22+真實IC!AE22</f>
        <v>3.2201462526497222</v>
      </c>
      <c r="AF22" s="8">
        <f>AE22+真實IC!AF22</f>
        <v>3.650063020698334</v>
      </c>
      <c r="AG22" s="8">
        <f>AF22+真實IC!AG22</f>
        <v>3.7029045608740678</v>
      </c>
      <c r="AH22" s="8">
        <f>AG22+真實IC!AH22</f>
        <v>3.5970386014535953</v>
      </c>
      <c r="AI22" s="8">
        <f>AH22+真實IC!AI22</f>
        <v>3.708043268120262</v>
      </c>
      <c r="AJ22" s="8">
        <f>AI22+真實IC!AJ22</f>
        <v>3.6763434187938535</v>
      </c>
      <c r="AK22" s="8">
        <f>AJ22+真實IC!AK22</f>
        <v>3.7776319795342492</v>
      </c>
      <c r="AL22" s="8">
        <f>AK22+真實IC!AL22</f>
        <v>3.7681923128675825</v>
      </c>
      <c r="AM22" s="8">
        <f>AL22+真實IC!AM22</f>
        <v>3.8522812163352862</v>
      </c>
      <c r="AN22" s="8">
        <f>AM22+真實IC!AN22</f>
        <v>3.9634140259988455</v>
      </c>
      <c r="AO22" s="8">
        <f>AN22+真實IC!AO22</f>
        <v>4.1215669012925726</v>
      </c>
      <c r="AP22" s="8">
        <f>AO22+真實IC!AP22</f>
        <v>4.184103255180565</v>
      </c>
      <c r="AQ22" s="8">
        <f>AP22+真實IC!AQ22</f>
        <v>4.2942325885138981</v>
      </c>
      <c r="AR22" s="8">
        <f>AQ22+真實IC!AR22</f>
        <v>4.3621572551805645</v>
      </c>
      <c r="AS22" s="8">
        <f>AR22+真實IC!AS22</f>
        <v>4.4360009578663977</v>
      </c>
      <c r="AT22" s="8">
        <f>AS22+真實IC!AT22</f>
        <v>4.4537293288608346</v>
      </c>
      <c r="AU22" s="8">
        <f>AT22+真實IC!AU22</f>
        <v>4.8830843288608348</v>
      </c>
      <c r="AV22" s="8">
        <f>AU22+真實IC!AV22</f>
        <v>4.7933303469892019</v>
      </c>
      <c r="AW22" s="8">
        <f>AV22+真實IC!AW22</f>
        <v>5.164129625680375</v>
      </c>
      <c r="AX22" s="8">
        <f>AW22+真實IC!AX22</f>
        <v>5.1542544396746814</v>
      </c>
      <c r="AY22" s="8">
        <f>AX22+真實IC!AY22</f>
        <v>5.2259878250089118</v>
      </c>
      <c r="AZ22" s="8">
        <f>AY22+真實IC!AZ22</f>
        <v>5.3811764916755784</v>
      </c>
      <c r="BA22" s="8">
        <f>AZ22+真實IC!BA22</f>
        <v>5.4309511583422454</v>
      </c>
      <c r="BB22" s="8">
        <f>BA22+真實IC!BB22</f>
        <v>5.9492152077922826</v>
      </c>
      <c r="BC22" s="8">
        <f>BB22+真實IC!BC22</f>
        <v>6.1448412431428006</v>
      </c>
      <c r="BD22" s="8">
        <f>BC22+真實IC!BD22</f>
        <v>6.2241052431428008</v>
      </c>
      <c r="BE22" s="8">
        <f>BD22+真實IC!BE22</f>
        <v>6.3521731271084612</v>
      </c>
      <c r="BF22" s="8">
        <f>BE22+真實IC!BF22</f>
        <v>6.5512755756568994</v>
      </c>
      <c r="BG22" s="8">
        <f>BF22+真實IC!BG22</f>
        <v>6.510044106504119</v>
      </c>
      <c r="BH22" s="8">
        <f>BG22+真實IC!BH22</f>
        <v>6.6377511159005351</v>
      </c>
      <c r="BI22" s="8">
        <f>BH22+真實IC!BI22</f>
        <v>6.7488398353104424</v>
      </c>
      <c r="BJ22" s="8">
        <f>BI22+真實IC!BJ22</f>
        <v>6.7897331686437754</v>
      </c>
      <c r="BK22" s="8">
        <f>BJ22+真實IC!BK22</f>
        <v>6.741417501977109</v>
      </c>
      <c r="BL22" s="8">
        <f>BK22+真實IC!BL22</f>
        <v>6.880888892377973</v>
      </c>
      <c r="BM22" s="8">
        <f>BL22+真實IC!BM22</f>
        <v>6.8833193756235058</v>
      </c>
      <c r="BN22" s="8">
        <f>BM22+真實IC!BN22</f>
        <v>6.966253708956839</v>
      </c>
      <c r="BO22" s="8">
        <f>BN22+真實IC!BO22</f>
        <v>6.9157692798440884</v>
      </c>
      <c r="BP22" s="8">
        <f>BO22+真實IC!BP22</f>
        <v>6.9152292798440884</v>
      </c>
      <c r="BQ22" s="8">
        <f>BP22+真實IC!BQ22</f>
        <v>6.9430593772424007</v>
      </c>
      <c r="BR22" s="8">
        <f>BQ22+真實IC!BR22</f>
        <v>7.0496261592100913</v>
      </c>
      <c r="BS22" s="8">
        <f>BR22+真實IC!BS22</f>
        <v>6.9525785695055466</v>
      </c>
      <c r="BT22" s="8">
        <f>BS22+真實IC!BT22</f>
        <v>7.0413029028388801</v>
      </c>
      <c r="BU22" s="8">
        <f>BT22+真實IC!BU22</f>
        <v>7.1456539028388804</v>
      </c>
      <c r="BV22" s="8">
        <f>BU22+真實IC!BV22</f>
        <v>7.0970503682498025</v>
      </c>
      <c r="BW22" s="8">
        <f>BV22+真實IC!BW22</f>
        <v>7.2292221597855839</v>
      </c>
      <c r="BX22" s="8">
        <f>BW22+真實IC!BX22</f>
        <v>7.1161954931189175</v>
      </c>
      <c r="BY22" s="8">
        <f>BX22+真實IC!BY22</f>
        <v>7.0605984431485469</v>
      </c>
      <c r="BZ22" s="8">
        <f>BY22+真實IC!BZ22</f>
        <v>7.1078561790114394</v>
      </c>
      <c r="CA22" s="8">
        <f>BZ22+真實IC!CA22</f>
        <v>7.1353462574917632</v>
      </c>
      <c r="CB22" s="8">
        <f>CA22+真實IC!CB22</f>
        <v>7.3900862574917632</v>
      </c>
      <c r="CC22" s="8">
        <f>CB22+真實IC!CC22</f>
        <v>7.2649812574917636</v>
      </c>
      <c r="CD22" s="8">
        <f>CC22+真實IC!CD22</f>
        <v>7.5988592942044866</v>
      </c>
      <c r="CE22" s="8">
        <f>CD22+真實IC!CE22</f>
        <v>7.6656992942044866</v>
      </c>
      <c r="CF22" s="8">
        <f>CE22+真實IC!CF22</f>
        <v>7.8544990799647643</v>
      </c>
      <c r="CG22" s="8">
        <f>CF22+真實IC!CG22</f>
        <v>8.0615844125982772</v>
      </c>
      <c r="CH22" s="8">
        <f>CG22+真實IC!CH22</f>
        <v>8.1775031838777252</v>
      </c>
      <c r="CI22" s="8">
        <f>CH22+真實IC!CI22</f>
        <v>8.295282930156084</v>
      </c>
      <c r="CJ22" s="8">
        <f>CI22+真實IC!CJ22</f>
        <v>8.1689575708774971</v>
      </c>
      <c r="CK22" s="8">
        <f>CJ22+真實IC!CK22</f>
        <v>8.2798811111642792</v>
      </c>
      <c r="CL22" s="8">
        <f>CK22+真實IC!CL22</f>
        <v>8.0392293125392378</v>
      </c>
      <c r="CM22" s="8">
        <f>CL22+真實IC!CM22</f>
        <v>8.2590593125392378</v>
      </c>
      <c r="CN22" s="8">
        <f>CM22+真實IC!CN22</f>
        <v>8.4118632293494446</v>
      </c>
      <c r="CO22" s="8">
        <f>CN22+真實IC!CO22</f>
        <v>8.6839222293494451</v>
      </c>
      <c r="CP22" s="8">
        <f>CO22+真實IC!CP22</f>
        <v>8.9433307863188478</v>
      </c>
      <c r="CQ22" s="8">
        <f>CP22+真實IC!CQ22</f>
        <v>8.960490401837971</v>
      </c>
      <c r="CR22" s="8">
        <f>CQ22+真實IC!CR22</f>
        <v>9.2072631718298581</v>
      </c>
      <c r="CS22" s="8">
        <f>CR22+真實IC!CS22</f>
        <v>9.2920451077142232</v>
      </c>
      <c r="CT22" s="8">
        <f>CS22+真實IC!CT22</f>
        <v>9.3303097743808898</v>
      </c>
      <c r="CU22" s="8">
        <f>CT22+真實IC!CU22</f>
        <v>9.4976636855672574</v>
      </c>
      <c r="CV22" s="8">
        <f>CU22+真實IC!CV22</f>
        <v>9.6638863642568111</v>
      </c>
      <c r="CW22" s="8">
        <f>CV22+真實IC!CW22</f>
        <v>9.6867704065887956</v>
      </c>
      <c r="CX22" s="8">
        <f>CW22+真實IC!CX22</f>
        <v>9.6905199998566438</v>
      </c>
      <c r="CY22" s="8">
        <f>CX22+真實IC!CY22</f>
        <v>9.7950309998566443</v>
      </c>
      <c r="CZ22" s="8">
        <f>CY22+真實IC!CZ22</f>
        <v>10.057951484455883</v>
      </c>
      <c r="DA22" s="8">
        <f>CZ22+真實IC!DA22</f>
        <v>10.090405484455882</v>
      </c>
      <c r="DB22" s="8">
        <f>DA22+真實IC!DB22</f>
        <v>10.144446151122549</v>
      </c>
      <c r="DC22" s="8">
        <f>DB22+真實IC!DC22</f>
        <v>10.123721366678392</v>
      </c>
      <c r="DD22" s="8">
        <f>DC22+真實IC!DD22</f>
        <v>10.155431535804217</v>
      </c>
      <c r="DE22" s="8">
        <f>DD22+真實IC!DE22</f>
        <v>10.137675032302285</v>
      </c>
      <c r="DF22" s="8">
        <f>DE22+真實IC!DF22</f>
        <v>10.527343032302285</v>
      </c>
      <c r="DG22" s="8">
        <f>DF22+真實IC!DG22</f>
        <v>10.599234032302286</v>
      </c>
      <c r="DH22" s="8">
        <f>DG22+真實IC!DH22</f>
        <v>10.680689365635619</v>
      </c>
      <c r="DI22" s="8">
        <f>DH22+真實IC!DI22</f>
        <v>10.740811698968953</v>
      </c>
      <c r="DJ22" s="8">
        <f>DI22+真實IC!DJ22</f>
        <v>10.894511461799283</v>
      </c>
      <c r="DK22" s="8">
        <f>DJ22+真實IC!DK22</f>
        <v>10.985939128465949</v>
      </c>
      <c r="DL22" s="8">
        <f>DK22+真實IC!DL22</f>
        <v>10.982725797722811</v>
      </c>
      <c r="DM22" s="8">
        <f>DL22+真實IC!DM22</f>
        <v>10.950841464389477</v>
      </c>
      <c r="DN22" s="8">
        <f>DM22+真實IC!DN22</f>
        <v>10.997604792593485</v>
      </c>
      <c r="DO22" s="8">
        <f>DN22+真實IC!DO22</f>
        <v>11.073320125926818</v>
      </c>
      <c r="DP22" s="8">
        <f>DO22+真實IC!DP22</f>
        <v>11.242882558067549</v>
      </c>
      <c r="DQ22" s="8">
        <f>DP22+真實IC!DQ22</f>
        <v>11.408286724612189</v>
      </c>
      <c r="DR22" s="8">
        <f>DQ22+真實IC!DR22</f>
        <v>11.402194171996872</v>
      </c>
      <c r="DS22" s="8">
        <f>DR22+真實IC!DS22</f>
        <v>11.365845171996872</v>
      </c>
      <c r="DT22" s="8">
        <f>DS22+真實IC!DT22</f>
        <v>11.392973925975042</v>
      </c>
      <c r="DU22" s="8">
        <f>DT22+真實IC!DU22</f>
        <v>11.554519592641709</v>
      </c>
      <c r="DV22" s="8">
        <f>DU22+真實IC!DV22</f>
        <v>11.680224710319887</v>
      </c>
      <c r="DW22" s="8">
        <f>DV22+真實IC!DW22</f>
        <v>11.598808710319886</v>
      </c>
      <c r="DX22" s="8">
        <f>DW22+真實IC!DX22</f>
        <v>11.821251318768182</v>
      </c>
      <c r="DY22" s="8">
        <f>DX22+真實IC!DY22</f>
        <v>11.941207652101514</v>
      </c>
      <c r="DZ22" s="8">
        <f>DY22+真實IC!DZ22</f>
        <v>12.052041318768181</v>
      </c>
      <c r="EA22" s="8">
        <f>DZ22+真實IC!EA22</f>
        <v>12.017850076358307</v>
      </c>
      <c r="EB22" s="8">
        <f>EA22+真實IC!EB22</f>
        <v>12.147616026664377</v>
      </c>
      <c r="EC22" s="8">
        <f>EB22+真實IC!EC22</f>
        <v>12.169111128240015</v>
      </c>
      <c r="ED22" s="8">
        <f>EC22+真實IC!ED22</f>
        <v>12.246524695297623</v>
      </c>
      <c r="EE22" s="8">
        <f>ED22+真實IC!EE22</f>
        <v>12.294160695297624</v>
      </c>
      <c r="EF22" s="8">
        <f>EE22+真實IC!EF22</f>
        <v>12.330753361964291</v>
      </c>
    </row>
    <row r="23" spans="1:136">
      <c r="A23" s="7">
        <v>482</v>
      </c>
      <c r="B23" s="7">
        <v>2</v>
      </c>
      <c r="C23" s="6">
        <v>0.28298899999999999</v>
      </c>
      <c r="D23" s="8">
        <f>C23+真實IC!D23</f>
        <v>0.53708299999999998</v>
      </c>
      <c r="E23" s="8">
        <f>D23+真實IC!E23</f>
        <v>0.67008800000000002</v>
      </c>
      <c r="F23" s="8">
        <f>E23+真實IC!F23</f>
        <v>0.48769192467912131</v>
      </c>
      <c r="G23" s="8">
        <f>F23+真實IC!G23</f>
        <v>0.46072035615475332</v>
      </c>
      <c r="H23" s="8">
        <f>G23+真實IC!H23</f>
        <v>0.44253185615475332</v>
      </c>
      <c r="I23" s="8">
        <f>H23+真實IC!I23</f>
        <v>0.59068388475504729</v>
      </c>
      <c r="J23" s="8">
        <f>I23+真實IC!J23</f>
        <v>0.49252159360859493</v>
      </c>
      <c r="K23" s="8">
        <f>J23+真實IC!K23</f>
        <v>0.63512916873324987</v>
      </c>
      <c r="L23" s="8">
        <f>K23+真實IC!L23</f>
        <v>0.58435816873324986</v>
      </c>
      <c r="M23" s="8">
        <f>L23+真實IC!M23</f>
        <v>0.32590825237460747</v>
      </c>
      <c r="N23" s="8">
        <f>M23+真實IC!N23</f>
        <v>1.3018092523746074</v>
      </c>
      <c r="O23" s="8">
        <f>N23+真實IC!O23</f>
        <v>1.2824015411078382</v>
      </c>
      <c r="P23" s="8">
        <f>O23+真實IC!P23</f>
        <v>1.3728032522899636</v>
      </c>
      <c r="Q23" s="8">
        <f>P23+真實IC!Q23</f>
        <v>1.313235235389443</v>
      </c>
      <c r="R23" s="8">
        <f>Q23+真實IC!R23</f>
        <v>1.2570240920761879</v>
      </c>
      <c r="S23" s="8">
        <f>R23+真實IC!S23</f>
        <v>1.37074862490345</v>
      </c>
      <c r="T23" s="8">
        <f>S23+真實IC!T23</f>
        <v>1.5253513182308784</v>
      </c>
      <c r="U23" s="8">
        <f>T23+真實IC!U23</f>
        <v>1.6191087406716729</v>
      </c>
      <c r="V23" s="8">
        <f>U23+真實IC!V23</f>
        <v>1.5960792835618818</v>
      </c>
      <c r="W23" s="8">
        <f>V23+真實IC!W23</f>
        <v>1.8556262835618818</v>
      </c>
      <c r="X23" s="8">
        <f>W23+真實IC!X23</f>
        <v>2.0374074693597048</v>
      </c>
      <c r="Y23" s="8">
        <f>X23+真實IC!Y23</f>
        <v>2.0227476678292144</v>
      </c>
      <c r="Z23" s="8">
        <f>Y23+真實IC!Z23</f>
        <v>2.0557801832730895</v>
      </c>
      <c r="AA23" s="8">
        <f>Z23+真實IC!AA23</f>
        <v>1.9990317373129793</v>
      </c>
      <c r="AB23" s="8">
        <f>AA23+真實IC!AB23</f>
        <v>2.0630715171897629</v>
      </c>
      <c r="AC23" s="8">
        <f>AB23+真實IC!AC23</f>
        <v>2.2318263168266754</v>
      </c>
      <c r="AD23" s="8">
        <f>AC23+真實IC!AD23</f>
        <v>2.3034533168266753</v>
      </c>
      <c r="AE23" s="8">
        <f>AD23+真實IC!AE23</f>
        <v>2.4406653055843353</v>
      </c>
      <c r="AF23" s="8">
        <f>AE23+真實IC!AF23</f>
        <v>2.7653246312245465</v>
      </c>
      <c r="AG23" s="8">
        <f>AF23+真實IC!AG23</f>
        <v>2.8571982888709067</v>
      </c>
      <c r="AH23" s="8">
        <f>AG23+真實IC!AH23</f>
        <v>2.7730267043477235</v>
      </c>
      <c r="AI23" s="8">
        <f>AH23+真實IC!AI23</f>
        <v>2.9821787043477235</v>
      </c>
      <c r="AJ23" s="8">
        <f>AI23+真實IC!AJ23</f>
        <v>2.9878218421958778</v>
      </c>
      <c r="AK23" s="8">
        <f>AJ23+真實IC!AK23</f>
        <v>3.101932941543069</v>
      </c>
      <c r="AL23" s="8">
        <f>AK23+真實IC!AL23</f>
        <v>3.0878664415430688</v>
      </c>
      <c r="AM23" s="8">
        <f>AL23+真實IC!AM23</f>
        <v>3.095635930547934</v>
      </c>
      <c r="AN23" s="8">
        <f>AM23+真實IC!AN23</f>
        <v>3.3379506299052348</v>
      </c>
      <c r="AO23" s="8">
        <f>AN23+真實IC!AO23</f>
        <v>3.4287331094348521</v>
      </c>
      <c r="AP23" s="8">
        <f>AO23+真實IC!AP23</f>
        <v>3.4256120100825465</v>
      </c>
      <c r="AQ23" s="8">
        <f>AP23+真實IC!AQ23</f>
        <v>3.5249910100825463</v>
      </c>
      <c r="AR23" s="8">
        <f>AQ23+真實IC!AR23</f>
        <v>3.6711270100825462</v>
      </c>
      <c r="AS23" s="8">
        <f>AR23+真實IC!AS23</f>
        <v>3.7527906308631165</v>
      </c>
      <c r="AT23" s="8">
        <f>AS23+真實IC!AT23</f>
        <v>3.8622965338280166</v>
      </c>
      <c r="AU23" s="8">
        <f>AT23+真實IC!AU23</f>
        <v>4.4706285338280169</v>
      </c>
      <c r="AV23" s="8">
        <f>AU23+真實IC!AV23</f>
        <v>4.4214784671987246</v>
      </c>
      <c r="AW23" s="8">
        <f>AV23+真實IC!AW23</f>
        <v>5.0037384413729393</v>
      </c>
      <c r="AX23" s="8">
        <f>AW23+真實IC!AX23</f>
        <v>4.9889256623643989</v>
      </c>
      <c r="AY23" s="8">
        <f>AX23+真實IC!AY23</f>
        <v>5.1591596432049807</v>
      </c>
      <c r="AZ23" s="8">
        <f>AY23+真實IC!AZ23</f>
        <v>5.2372306432049811</v>
      </c>
      <c r="BA23" s="8">
        <f>AZ23+真實IC!BA23</f>
        <v>5.2912286432049811</v>
      </c>
      <c r="BB23" s="8">
        <f>BA23+真實IC!BB23</f>
        <v>5.9772519728847149</v>
      </c>
      <c r="BC23" s="8">
        <f>BB23+真實IC!BC23</f>
        <v>6.230121154784654</v>
      </c>
      <c r="BD23" s="8">
        <f>BC23+真實IC!BD23</f>
        <v>6.3561006547846537</v>
      </c>
      <c r="BE23" s="8">
        <f>BD23+真實IC!BE23</f>
        <v>6.4803927978105529</v>
      </c>
      <c r="BF23" s="8">
        <f>BE23+真實IC!BF23</f>
        <v>6.690401910671004</v>
      </c>
      <c r="BG23" s="8">
        <f>BF23+真實IC!BG23</f>
        <v>6.7287247380901496</v>
      </c>
      <c r="BH23" s="8">
        <f>BG23+真實IC!BH23</f>
        <v>6.7920899337933882</v>
      </c>
      <c r="BI23" s="8">
        <f>BH23+真實IC!BI23</f>
        <v>6.9832020131165873</v>
      </c>
      <c r="BJ23" s="8">
        <f>BI23+真實IC!BJ23</f>
        <v>7.0406970131165876</v>
      </c>
      <c r="BK23" s="8">
        <f>BJ23+真實IC!BK23</f>
        <v>6.9928450131165878</v>
      </c>
      <c r="BL23" s="8">
        <f>BK23+真實IC!BL23</f>
        <v>7.1072113032582571</v>
      </c>
      <c r="BM23" s="8">
        <f>BL23+真實IC!BM23</f>
        <v>7.0377158412338066</v>
      </c>
      <c r="BN23" s="8">
        <f>BM23+真實IC!BN23</f>
        <v>7.0761658412338067</v>
      </c>
      <c r="BO23" s="8">
        <f>BN23+真實IC!BO23</f>
        <v>7.1126907829798061</v>
      </c>
      <c r="BP23" s="8">
        <f>BO23+真實IC!BP23</f>
        <v>7.0902167829798062</v>
      </c>
      <c r="BQ23" s="8">
        <f>BP23+真實IC!BQ23</f>
        <v>7.1622646844150726</v>
      </c>
      <c r="BR23" s="8">
        <f>BQ23+真實IC!BR23</f>
        <v>7.2650872745954231</v>
      </c>
      <c r="BS23" s="8">
        <f>BR23+真實IC!BS23</f>
        <v>7.0445201801930324</v>
      </c>
      <c r="BT23" s="8">
        <f>BS23+真實IC!BT23</f>
        <v>7.2627056801930321</v>
      </c>
      <c r="BU23" s="8">
        <f>BT23+真實IC!BU23</f>
        <v>7.3683921801930321</v>
      </c>
      <c r="BV23" s="8">
        <f>BU23+真實IC!BV23</f>
        <v>7.3151231296351433</v>
      </c>
      <c r="BW23" s="8">
        <f>BV23+真實IC!BW23</f>
        <v>7.3304856446782338</v>
      </c>
      <c r="BX23" s="8">
        <f>BW23+真實IC!BX23</f>
        <v>7.2617556446782334</v>
      </c>
      <c r="BY23" s="8">
        <f>BX23+真實IC!BY23</f>
        <v>7.3800048786051891</v>
      </c>
      <c r="BZ23" s="8">
        <f>BY23+真實IC!BZ23</f>
        <v>7.3876746410370338</v>
      </c>
      <c r="CA23" s="8">
        <f>BZ23+真實IC!CA23</f>
        <v>7.4633278407836627</v>
      </c>
      <c r="CB23" s="8">
        <f>CA23+真實IC!CB23</f>
        <v>7.7794953407836624</v>
      </c>
      <c r="CC23" s="8">
        <f>CB23+真實IC!CC23</f>
        <v>7.6949503407836621</v>
      </c>
      <c r="CD23" s="8">
        <f>CC23+真實IC!CD23</f>
        <v>7.8866267957984473</v>
      </c>
      <c r="CE23" s="8">
        <f>CD23+真實IC!CE23</f>
        <v>7.9462287957984472</v>
      </c>
      <c r="CF23" s="8">
        <f>CE23+真實IC!CF23</f>
        <v>8.1033637055896115</v>
      </c>
      <c r="CG23" s="8">
        <f>CF23+真實IC!CG23</f>
        <v>8.3200009472168137</v>
      </c>
      <c r="CH23" s="8">
        <f>CG23+真實IC!CH23</f>
        <v>8.5001973961382422</v>
      </c>
      <c r="CI23" s="8">
        <f>CH23+真實IC!CI23</f>
        <v>8.8100968132663393</v>
      </c>
      <c r="CJ23" s="8">
        <f>CI23+真實IC!CJ23</f>
        <v>8.6535809168484388</v>
      </c>
      <c r="CK23" s="8">
        <f>CJ23+真實IC!CK23</f>
        <v>8.7254373073849827</v>
      </c>
      <c r="CL23" s="8">
        <f>CK23+真實IC!CL23</f>
        <v>8.316776294717565</v>
      </c>
      <c r="CM23" s="8">
        <f>CL23+真實IC!CM23</f>
        <v>8.5514812947175649</v>
      </c>
      <c r="CN23" s="8">
        <f>CM23+真實IC!CN23</f>
        <v>8.8285855566736338</v>
      </c>
      <c r="CO23" s="8">
        <f>CN23+真實IC!CO23</f>
        <v>9.094743056673634</v>
      </c>
      <c r="CP23" s="8">
        <f>CO23+真實IC!CP23</f>
        <v>9.4061037998363908</v>
      </c>
      <c r="CQ23" s="8">
        <f>CP23+真實IC!CQ23</f>
        <v>9.3814015297570101</v>
      </c>
      <c r="CR23" s="8">
        <f>CQ23+真實IC!CR23</f>
        <v>9.5323997002309575</v>
      </c>
      <c r="CS23" s="8">
        <f>CR23+真實IC!CS23</f>
        <v>9.5975595845241699</v>
      </c>
      <c r="CT23" s="8">
        <f>CS23+真實IC!CT23</f>
        <v>9.6629510845241704</v>
      </c>
      <c r="CU23" s="8">
        <f>CT23+真實IC!CU23</f>
        <v>9.865054969511327</v>
      </c>
      <c r="CV23" s="8">
        <f>CU23+真實IC!CV23</f>
        <v>10.018385937782902</v>
      </c>
      <c r="CW23" s="8">
        <f>CV23+真實IC!CW23</f>
        <v>9.9941996499939005</v>
      </c>
      <c r="CX23" s="8">
        <f>CW23+真實IC!CX23</f>
        <v>9.9054826558973748</v>
      </c>
      <c r="CY23" s="8">
        <f>CX23+真實IC!CY23</f>
        <v>10.059233155897374</v>
      </c>
      <c r="CZ23" s="8">
        <f>CY23+真實IC!CZ23</f>
        <v>10.241231949754726</v>
      </c>
      <c r="DA23" s="8">
        <f>CZ23+真實IC!DA23</f>
        <v>10.305876949754726</v>
      </c>
      <c r="DB23" s="8">
        <f>DA23+真實IC!DB23</f>
        <v>10.324624949754726</v>
      </c>
      <c r="DC23" s="8">
        <f>DB23+真實IC!DC23</f>
        <v>10.44381543582514</v>
      </c>
      <c r="DD23" s="8">
        <f>DC23+真實IC!DD23</f>
        <v>10.536614110502294</v>
      </c>
      <c r="DE23" s="8">
        <f>DD23+真實IC!DE23</f>
        <v>10.476528162992123</v>
      </c>
      <c r="DF23" s="8">
        <f>DE23+真實IC!DF23</f>
        <v>10.885325662992123</v>
      </c>
      <c r="DG23" s="8">
        <f>DF23+真實IC!DG23</f>
        <v>10.952948162992124</v>
      </c>
      <c r="DH23" s="8">
        <f>DG23+真實IC!DH23</f>
        <v>11.092176162992123</v>
      </c>
      <c r="DI23" s="8">
        <f>DH23+真實IC!DI23</f>
        <v>11.188217162992123</v>
      </c>
      <c r="DJ23" s="8">
        <f>DI23+真實IC!DJ23</f>
        <v>11.308249744816042</v>
      </c>
      <c r="DK23" s="8">
        <f>DJ23+真實IC!DK23</f>
        <v>11.399493244816041</v>
      </c>
      <c r="DL23" s="8">
        <f>DK23+真實IC!DL23</f>
        <v>11.425735896920665</v>
      </c>
      <c r="DM23" s="8">
        <f>DL23+真實IC!DM23</f>
        <v>11.379258896920666</v>
      </c>
      <c r="DN23" s="8">
        <f>DM23+真實IC!DN23</f>
        <v>11.385756092964636</v>
      </c>
      <c r="DO23" s="8">
        <f>DN23+真實IC!DO23</f>
        <v>11.509824092964635</v>
      </c>
      <c r="DP23" s="8">
        <f>DO23+真實IC!DP23</f>
        <v>11.686663711449542</v>
      </c>
      <c r="DQ23" s="8">
        <f>DP23+真實IC!DQ23</f>
        <v>11.932609819008329</v>
      </c>
      <c r="DR23" s="8">
        <f>DQ23+真實IC!DR23</f>
        <v>11.842723816277022</v>
      </c>
      <c r="DS23" s="8">
        <f>DR23+真實IC!DS23</f>
        <v>11.726145816277022</v>
      </c>
      <c r="DT23" s="8">
        <f>DS23+真實IC!DT23</f>
        <v>11.703849359207265</v>
      </c>
      <c r="DU23" s="8">
        <f>DT23+真實IC!DU23</f>
        <v>11.759487359207265</v>
      </c>
      <c r="DV23" s="8">
        <f>DU23+真實IC!DV23</f>
        <v>12.035758967536704</v>
      </c>
      <c r="DW23" s="8">
        <f>DV23+真實IC!DW23</f>
        <v>12.058811467536705</v>
      </c>
      <c r="DX23" s="8">
        <f>DW23+真實IC!DX23</f>
        <v>12.372304673915671</v>
      </c>
      <c r="DY23" s="8">
        <f>DX23+真實IC!DY23</f>
        <v>12.318379673915672</v>
      </c>
      <c r="DZ23" s="8">
        <f>DY23+真實IC!DZ23</f>
        <v>12.101204673915673</v>
      </c>
      <c r="EA23" s="8">
        <f>DZ23+真實IC!EA23</f>
        <v>12.007842594446704</v>
      </c>
      <c r="EB23" s="8">
        <f>EA23+真實IC!EB23</f>
        <v>12.252127252570626</v>
      </c>
      <c r="EC23" s="8">
        <f>EB23+真實IC!EC23</f>
        <v>12.215542936244812</v>
      </c>
      <c r="ED23" s="8">
        <f>EC23+真實IC!ED23</f>
        <v>12.306968840864593</v>
      </c>
      <c r="EE23" s="8">
        <f>ED23+真實IC!EE23</f>
        <v>12.376179840864593</v>
      </c>
      <c r="EF23" s="8">
        <f>EE23+真實IC!EF23</f>
        <v>12.469593840864592</v>
      </c>
    </row>
    <row r="24" spans="1:136">
      <c r="A24" s="7">
        <v>964</v>
      </c>
      <c r="B24" s="7">
        <v>1</v>
      </c>
      <c r="C24" s="6">
        <v>9.9113000000000007E-2</v>
      </c>
      <c r="D24" s="8">
        <f>C24+真實IC!D24</f>
        <v>0.19972300000000001</v>
      </c>
      <c r="E24" s="8">
        <f>D24+真實IC!E24</f>
        <v>0.48423499999999997</v>
      </c>
      <c r="F24" s="8">
        <f>E24+真實IC!F24</f>
        <v>0.28268928112835379</v>
      </c>
      <c r="G24" s="8">
        <f>F24+真實IC!G24</f>
        <v>0.26006689256573612</v>
      </c>
      <c r="H24" s="8">
        <f>G24+真實IC!H24</f>
        <v>0.29592289256573612</v>
      </c>
      <c r="I24" s="8">
        <f>H24+真實IC!I24</f>
        <v>0.29381095936259261</v>
      </c>
      <c r="J24" s="8">
        <f>I24+真實IC!J24</f>
        <v>0.19383876645245646</v>
      </c>
      <c r="K24" s="8">
        <f>J24+真實IC!K24</f>
        <v>0.24428310244594517</v>
      </c>
      <c r="L24" s="8">
        <f>K24+真實IC!L24</f>
        <v>0.15048310244594515</v>
      </c>
      <c r="M24" s="8">
        <f>L24+真實IC!M24</f>
        <v>3.6637635464366602E-3</v>
      </c>
      <c r="N24" s="8">
        <f>M24+真實IC!N24</f>
        <v>1.7726957635464367</v>
      </c>
      <c r="O24" s="8">
        <f>N24+真實IC!O24</f>
        <v>1.8093445542859803</v>
      </c>
      <c r="P24" s="8">
        <f>O24+真實IC!P24</f>
        <v>1.9135929686949797</v>
      </c>
      <c r="Q24" s="8">
        <f>P24+真實IC!Q24</f>
        <v>1.8526280070482735</v>
      </c>
      <c r="R24" s="8">
        <f>Q24+真實IC!R24</f>
        <v>1.6069306362690137</v>
      </c>
      <c r="S24" s="8">
        <f>R24+真實IC!S24</f>
        <v>1.9594450973291782</v>
      </c>
      <c r="T24" s="8">
        <f>S24+真實IC!T24</f>
        <v>1.6889583826551609</v>
      </c>
      <c r="U24" s="8">
        <f>T24+真實IC!U24</f>
        <v>1.8374770568790788</v>
      </c>
      <c r="V24" s="8">
        <f>U24+真實IC!V24</f>
        <v>1.7703377540414502</v>
      </c>
      <c r="W24" s="8">
        <f>V24+真實IC!W24</f>
        <v>1.6057757540414501</v>
      </c>
      <c r="X24" s="8">
        <f>W24+真實IC!X24</f>
        <v>1.5696178576801982</v>
      </c>
      <c r="Y24" s="8">
        <f>X24+真實IC!Y24</f>
        <v>1.5601408427537811</v>
      </c>
      <c r="Z24" s="8">
        <f>Y24+真實IC!Z24</f>
        <v>1.665983170032588</v>
      </c>
      <c r="AA24" s="8">
        <f>Z24+真實IC!AA24</f>
        <v>1.8845277497237427</v>
      </c>
      <c r="AB24" s="8">
        <f>AA24+真實IC!AB24</f>
        <v>2.0798673723989864</v>
      </c>
      <c r="AC24" s="8">
        <f>AB24+真實IC!AC24</f>
        <v>2.4816147062459413</v>
      </c>
      <c r="AD24" s="8">
        <f>AC24+真實IC!AD24</f>
        <v>2.5827887062459411</v>
      </c>
      <c r="AE24" s="8">
        <f>AD24+真實IC!AE24</f>
        <v>2.7759304959576991</v>
      </c>
      <c r="AF24" s="8">
        <f>AE24+真實IC!AF24</f>
        <v>3.271319908761861</v>
      </c>
      <c r="AG24" s="8">
        <f>AF24+真實IC!AG24</f>
        <v>3.4100556263884987</v>
      </c>
      <c r="AH24" s="8">
        <f>AG24+真實IC!AH24</f>
        <v>3.3533582663207091</v>
      </c>
      <c r="AI24" s="8">
        <f>AH24+真實IC!AI24</f>
        <v>3.6637722663207093</v>
      </c>
      <c r="AJ24" s="8">
        <f>AI24+真實IC!AJ24</f>
        <v>3.5828810223213341</v>
      </c>
      <c r="AK24" s="8">
        <f>AJ24+真實IC!AK24</f>
        <v>3.6677649753895265</v>
      </c>
      <c r="AL24" s="8">
        <f>AK24+真實IC!AL24</f>
        <v>3.7549379753895264</v>
      </c>
      <c r="AM24" s="8">
        <f>AL24+真實IC!AM24</f>
        <v>3.7360186939689997</v>
      </c>
      <c r="AN24" s="8">
        <f>AM24+真實IC!AN24</f>
        <v>3.957208159114431</v>
      </c>
      <c r="AO24" s="8">
        <f>AN24+真實IC!AO24</f>
        <v>4.0601138616922201</v>
      </c>
      <c r="AP24" s="8">
        <f>AO24+真實IC!AP24</f>
        <v>4.0829655771813167</v>
      </c>
      <c r="AQ24" s="8">
        <f>AP24+真實IC!AQ24</f>
        <v>4.3000895771813168</v>
      </c>
      <c r="AR24" s="8">
        <f>AQ24+真實IC!AR24</f>
        <v>4.4709225771813168</v>
      </c>
      <c r="AS24" s="8">
        <f>AR24+真實IC!AS24</f>
        <v>4.4742093508879393</v>
      </c>
      <c r="AT24" s="8">
        <f>AS24+真實IC!AT24</f>
        <v>4.6249783308136196</v>
      </c>
      <c r="AU24" s="8">
        <f>AT24+真實IC!AU24</f>
        <v>5.1020323308136195</v>
      </c>
      <c r="AV24" s="8">
        <f>AU24+真實IC!AV24</f>
        <v>5.3497169910439473</v>
      </c>
      <c r="AW24" s="8">
        <f>AV24+真實IC!AW24</f>
        <v>5.2010060345125071</v>
      </c>
      <c r="AX24" s="8">
        <f>AW24+真實IC!AX24</f>
        <v>5.3124973714287229</v>
      </c>
      <c r="AY24" s="8">
        <f>AX24+真實IC!AY24</f>
        <v>5.4806246653136119</v>
      </c>
      <c r="AZ24" s="8">
        <f>AY24+真實IC!AZ24</f>
        <v>5.5992466653136121</v>
      </c>
      <c r="BA24" s="8">
        <f>AZ24+真實IC!BA24</f>
        <v>5.6497376653136122</v>
      </c>
      <c r="BB24" s="8">
        <f>BA24+真實IC!BB24</f>
        <v>6.5224408144201025</v>
      </c>
      <c r="BC24" s="8">
        <f>BB24+真實IC!BC24</f>
        <v>6.5180739448057192</v>
      </c>
      <c r="BD24" s="8">
        <f>BC24+真實IC!BD24</f>
        <v>6.5367139448057197</v>
      </c>
      <c r="BE24" s="8">
        <f>BD24+真實IC!BE24</f>
        <v>6.4793334068206399</v>
      </c>
      <c r="BF24" s="8">
        <f>BE24+真實IC!BF24</f>
        <v>6.4149629858711767</v>
      </c>
      <c r="BG24" s="8">
        <f>BF24+真實IC!BG24</f>
        <v>6.323978758163741</v>
      </c>
      <c r="BH24" s="8">
        <f>BG24+真實IC!BH24</f>
        <v>6.4716523234154604</v>
      </c>
      <c r="BI24" s="8">
        <f>BH24+真實IC!BI24</f>
        <v>6.6952814294855072</v>
      </c>
      <c r="BJ24" s="8">
        <f>BI24+真實IC!BJ24</f>
        <v>6.8949214294855068</v>
      </c>
      <c r="BK24" s="8">
        <f>BJ24+真實IC!BK24</f>
        <v>6.8600914294855064</v>
      </c>
      <c r="BL24" s="8">
        <f>BK24+真實IC!BL24</f>
        <v>6.9661983496366728</v>
      </c>
      <c r="BM24" s="8">
        <f>BL24+真實IC!BM24</f>
        <v>7.0509812894756614</v>
      </c>
      <c r="BN24" s="8">
        <f>BM24+真實IC!BN24</f>
        <v>7.1598922894756614</v>
      </c>
      <c r="BO24" s="8">
        <f>BN24+真實IC!BO24</f>
        <v>6.9987825983800196</v>
      </c>
      <c r="BP24" s="8">
        <f>BO24+真實IC!BP24</f>
        <v>7.03057559838002</v>
      </c>
      <c r="BQ24" s="8">
        <f>BP24+真實IC!BQ24</f>
        <v>6.9664059650499048</v>
      </c>
      <c r="BR24" s="8">
        <f>BQ24+真實IC!BR24</f>
        <v>7.0653268542351464</v>
      </c>
      <c r="BS24" s="8">
        <f>BR24+真實IC!BS24</f>
        <v>6.9437058177055402</v>
      </c>
      <c r="BT24" s="8">
        <f>BS24+真實IC!BT24</f>
        <v>7.22042381770554</v>
      </c>
      <c r="BU24" s="8">
        <f>BT24+真實IC!BU24</f>
        <v>7.2291728177055399</v>
      </c>
      <c r="BV24" s="8">
        <f>BU24+真實IC!BV24</f>
        <v>7.1829141119648767</v>
      </c>
      <c r="BW24" s="8">
        <f>BV24+真實IC!BW24</f>
        <v>7.3339415573872957</v>
      </c>
      <c r="BX24" s="8">
        <f>BW24+真實IC!BX24</f>
        <v>7.2299915573872955</v>
      </c>
      <c r="BY24" s="8">
        <f>BX24+真實IC!BY24</f>
        <v>7.3483997884375976</v>
      </c>
      <c r="BZ24" s="8">
        <f>BY24+真實IC!BZ24</f>
        <v>7.6072926872875941</v>
      </c>
      <c r="CA24" s="8">
        <f>BZ24+真實IC!CA24</f>
        <v>7.7225143680610087</v>
      </c>
      <c r="CB24" s="8">
        <f>CA24+真實IC!CB24</f>
        <v>8.362213368061008</v>
      </c>
      <c r="CC24" s="8">
        <f>CB24+真實IC!CC24</f>
        <v>8.1797433680610077</v>
      </c>
      <c r="CD24" s="8">
        <f>CC24+真實IC!CD24</f>
        <v>8.3240496788032026</v>
      </c>
      <c r="CE24" s="8">
        <f>CD24+真實IC!CE24</f>
        <v>8.4896146788032034</v>
      </c>
      <c r="CF24" s="8">
        <f>CE24+真實IC!CF24</f>
        <v>8.7113360410485914</v>
      </c>
      <c r="CG24" s="8">
        <f>CF24+真實IC!CG24</f>
        <v>9.2313050071225131</v>
      </c>
      <c r="CH24" s="8">
        <f>CG24+真實IC!CH24</f>
        <v>9.5855823039650154</v>
      </c>
      <c r="CI24" s="8">
        <f>CH24+真實IC!CI24</f>
        <v>9.2571304832557502</v>
      </c>
      <c r="CJ24" s="8">
        <f>CI24+真實IC!CJ24</f>
        <v>8.9569435896654941</v>
      </c>
      <c r="CK24" s="8">
        <f>CJ24+真實IC!CK24</f>
        <v>9.280002854993878</v>
      </c>
      <c r="CL24" s="8">
        <f>CK24+真實IC!CL24</f>
        <v>9.4217581883664181</v>
      </c>
      <c r="CM24" s="8">
        <f>CL24+真實IC!CM24</f>
        <v>10.058198188366418</v>
      </c>
      <c r="CN24" s="8">
        <f>CM24+真實IC!CN24</f>
        <v>10.667875385633494</v>
      </c>
      <c r="CO24" s="8">
        <f>CN24+真實IC!CO24</f>
        <v>11.120349385633494</v>
      </c>
      <c r="CP24" s="8">
        <f>CO24+真實IC!CP24</f>
        <v>11.280693590448337</v>
      </c>
      <c r="CQ24" s="8">
        <f>CP24+真實IC!CQ24</f>
        <v>11.120503943820836</v>
      </c>
      <c r="CR24" s="8">
        <f>CQ24+真實IC!CR24</f>
        <v>11.258291399869538</v>
      </c>
      <c r="CS24" s="8">
        <f>CR24+真實IC!CS24</f>
        <v>11.366265635808565</v>
      </c>
      <c r="CT24" s="8">
        <f>CS24+真實IC!CT24</f>
        <v>11.246723635808566</v>
      </c>
      <c r="CU24" s="8">
        <f>CT24+真實IC!CU24</f>
        <v>11.29945268062222</v>
      </c>
      <c r="CV24" s="8">
        <f>CU24+真實IC!CV24</f>
        <v>11.482316775529444</v>
      </c>
      <c r="CW24" s="8">
        <f>CV24+真實IC!CW24</f>
        <v>11.247323560256598</v>
      </c>
      <c r="CX24" s="8">
        <f>CW24+真實IC!CX24</f>
        <v>11.302530753965286</v>
      </c>
      <c r="CY24" s="8">
        <f>CX24+真實IC!CY24</f>
        <v>11.623678753965287</v>
      </c>
      <c r="CZ24" s="8">
        <f>CY24+真實IC!CZ24</f>
        <v>11.735885382409855</v>
      </c>
      <c r="DA24" s="8">
        <f>CZ24+真實IC!DA24</f>
        <v>11.769865382409854</v>
      </c>
      <c r="DB24" s="8">
        <f>DA24+真實IC!DB24</f>
        <v>11.753365382409854</v>
      </c>
      <c r="DC24" s="8">
        <f>DB24+真實IC!DC24</f>
        <v>11.944541140580389</v>
      </c>
      <c r="DD24" s="8">
        <f>DC24+真實IC!DD24</f>
        <v>11.748696418397948</v>
      </c>
      <c r="DE24" s="8">
        <f>DD24+真實IC!DE24</f>
        <v>11.880282009693481</v>
      </c>
      <c r="DF24" s="8">
        <f>DE24+真實IC!DF24</f>
        <v>12.40587000969348</v>
      </c>
      <c r="DG24" s="8">
        <f>DF24+真實IC!DG24</f>
        <v>12.52541500969348</v>
      </c>
      <c r="DH24" s="8">
        <f>DG24+真實IC!DH24</f>
        <v>12.791220009693481</v>
      </c>
      <c r="DI24" s="8">
        <f>DH24+真實IC!DI24</f>
        <v>12.82840500969348</v>
      </c>
      <c r="DJ24" s="8">
        <f>DI24+真實IC!DJ24</f>
        <v>13.057774884224569</v>
      </c>
      <c r="DK24" s="8">
        <f>DJ24+真實IC!DK24</f>
        <v>13.177453884224569</v>
      </c>
      <c r="DL24" s="8">
        <f>DK24+真實IC!DL24</f>
        <v>13.238814397439986</v>
      </c>
      <c r="DM24" s="8">
        <f>DL24+真實IC!DM24</f>
        <v>13.238404397439986</v>
      </c>
      <c r="DN24" s="8">
        <f>DM24+真實IC!DN24</f>
        <v>13.471738968214682</v>
      </c>
      <c r="DO24" s="8">
        <f>DN24+真實IC!DO24</f>
        <v>13.587353968214682</v>
      </c>
      <c r="DP24" s="8">
        <f>DO24+真實IC!DP24</f>
        <v>13.810925791698379</v>
      </c>
      <c r="DQ24" s="8">
        <f>DP24+真實IC!DQ24</f>
        <v>14.169997093795027</v>
      </c>
      <c r="DR24" s="8">
        <f>DQ24+真實IC!DR24</f>
        <v>14.149481463582998</v>
      </c>
      <c r="DS24" s="8">
        <f>DR24+真實IC!DS24</f>
        <v>14.082115463582998</v>
      </c>
      <c r="DT24" s="8">
        <f>DS24+真實IC!DT24</f>
        <v>14.052679737194135</v>
      </c>
      <c r="DU24" s="8">
        <f>DT24+真實IC!DU24</f>
        <v>14.030897737194135</v>
      </c>
      <c r="DV24" s="8">
        <f>DU24+真實IC!DV24</f>
        <v>14.189122435837948</v>
      </c>
      <c r="DW24" s="8">
        <f>DV24+真實IC!DW24</f>
        <v>14.290305435837949</v>
      </c>
      <c r="DX24" s="8">
        <f>DW24+真實IC!DX24</f>
        <v>14.601898563630453</v>
      </c>
      <c r="DY24" s="8">
        <f>DX24+真實IC!DY24</f>
        <v>14.598658563630453</v>
      </c>
      <c r="DZ24" s="8">
        <f>DY24+真實IC!DZ24</f>
        <v>14.165148563630453</v>
      </c>
      <c r="EA24" s="8">
        <f>DZ24+真實IC!EA24</f>
        <v>14.141977061783779</v>
      </c>
      <c r="EB24" s="8">
        <f>EA24+真實IC!EB24</f>
        <v>14.73167497878287</v>
      </c>
      <c r="EC24" s="8">
        <f>EB24+真實IC!EC24</f>
        <v>14.717365060012192</v>
      </c>
      <c r="ED24" s="8">
        <f>EC24+真實IC!ED24</f>
        <v>14.773537905310555</v>
      </c>
      <c r="EE24" s="8">
        <f>ED24+真實IC!EE24</f>
        <v>14.881019905310554</v>
      </c>
      <c r="EF24" s="8">
        <f>EE24+真實IC!EF24</f>
        <v>15.015104905310555</v>
      </c>
    </row>
    <row r="25" spans="1:136">
      <c r="A25" s="4" t="s">
        <v>145</v>
      </c>
      <c r="B25" s="4" t="s">
        <v>146</v>
      </c>
      <c r="C25" s="3">
        <v>-1.745E-2</v>
      </c>
      <c r="D25" s="3">
        <f>C25+真實IC!D26</f>
        <v>3.2510000000000004E-3</v>
      </c>
      <c r="E25" s="3">
        <f>D25+真實IC!E26</f>
        <v>2.7233E-2</v>
      </c>
      <c r="F25" s="3">
        <f>E25+真實IC!F26</f>
        <v>2.0673E-2</v>
      </c>
      <c r="G25" s="3">
        <f>F25+真實IC!G26</f>
        <v>5.2517999999999995E-2</v>
      </c>
      <c r="H25" s="3">
        <f>G25+真實IC!H26</f>
        <v>8.6867E-2</v>
      </c>
      <c r="I25" s="3">
        <f>H25+真實IC!I26</f>
        <v>7.8616999999999992E-2</v>
      </c>
      <c r="J25" s="3">
        <f>I25+真實IC!J26</f>
        <v>9.1460999999999987E-2</v>
      </c>
      <c r="K25" s="3">
        <f>J25+真實IC!K26</f>
        <v>4.0440999999999984E-2</v>
      </c>
      <c r="L25" s="3">
        <f>K25+真實IC!L26</f>
        <v>4.1314999999999984E-2</v>
      </c>
      <c r="M25" s="3">
        <f>L25+真實IC!M26</f>
        <v>6.4704999999999985E-2</v>
      </c>
      <c r="N25" s="3">
        <f>M25+真實IC!N26</f>
        <v>7.7693999999999985E-2</v>
      </c>
      <c r="O25" s="3">
        <f>N25+真實IC!O26</f>
        <v>8.3548999999999984E-2</v>
      </c>
      <c r="P25" s="3">
        <f>O25+真實IC!P26</f>
        <v>0.11096199999999998</v>
      </c>
      <c r="Q25" s="3">
        <f>P25+真實IC!Q26</f>
        <v>0.10725199999999997</v>
      </c>
      <c r="R25" s="3">
        <f>Q25+真實IC!R26</f>
        <v>0.13132899999999997</v>
      </c>
      <c r="S25" s="3">
        <f>R25+真實IC!S26</f>
        <v>0.11913899999999997</v>
      </c>
      <c r="T25" s="3">
        <f>S25+真實IC!T26</f>
        <v>7.938899999999996E-2</v>
      </c>
      <c r="U25" s="3">
        <f>T25+真實IC!U26</f>
        <v>6.2289999999999568E-3</v>
      </c>
      <c r="V25" s="3">
        <f>U25+真實IC!V26</f>
        <v>-5.2031000000000042E-2</v>
      </c>
      <c r="W25" s="3">
        <f>V25+真實IC!W26</f>
        <v>-5.125800000000004E-2</v>
      </c>
      <c r="X25" s="3">
        <f>W25+真實IC!X26</f>
        <v>-6.6660000000000399E-3</v>
      </c>
      <c r="Y25" s="3">
        <f>X25+真實IC!Y26</f>
        <v>-3.4366000000000035E-2</v>
      </c>
      <c r="Z25" s="3">
        <f>Y25+真實IC!Z26</f>
        <v>-3.2271000000000036E-2</v>
      </c>
      <c r="AA25" s="3">
        <f>Z25+真實IC!AA26</f>
        <v>-5.567100000000004E-2</v>
      </c>
      <c r="AB25" s="3">
        <f>AA25+真實IC!AB26</f>
        <v>-2.3542000000000042E-2</v>
      </c>
      <c r="AC25" s="3">
        <f>AB25+真實IC!AC26</f>
        <v>1.5360999999999958E-2</v>
      </c>
      <c r="AD25" s="3">
        <f>AC25+真實IC!AD26</f>
        <v>-2.750900000000004E-2</v>
      </c>
      <c r="AE25" s="3">
        <f>AD25+真實IC!AE26</f>
        <v>-8.86200000000004E-3</v>
      </c>
      <c r="AF25" s="3">
        <f>AE25+真實IC!AF26</f>
        <v>6.3679999999999605E-3</v>
      </c>
      <c r="AG25" s="3">
        <f>AF25+真實IC!AG26</f>
        <v>4.2384999999999964E-2</v>
      </c>
      <c r="AH25" s="3">
        <f>AG25+真實IC!AH26</f>
        <v>5.1739999999999967E-2</v>
      </c>
      <c r="AI25" s="3">
        <f>AH25+真實IC!AI26</f>
        <v>6.2487999999999967E-2</v>
      </c>
      <c r="AJ25" s="3">
        <f>AI25+真實IC!AJ26</f>
        <v>7.5845999999999969E-2</v>
      </c>
      <c r="AK25" s="3">
        <f>AJ25+真實IC!AK26</f>
        <v>7.0515999999999968E-2</v>
      </c>
      <c r="AL25" s="3">
        <f>AK25+真實IC!AL26</f>
        <v>7.1898999999999963E-2</v>
      </c>
      <c r="AM25" s="3">
        <f>AL25+真實IC!AM26</f>
        <v>9.2694999999999958E-2</v>
      </c>
      <c r="AN25" s="3">
        <f>AM25+真實IC!AN26</f>
        <v>0.12421299999999996</v>
      </c>
      <c r="AO25" s="3">
        <f>AN25+真實IC!AO26</f>
        <v>0.13045499999999996</v>
      </c>
      <c r="AP25" s="3">
        <f>AO25+真實IC!AP26</f>
        <v>0.13659999999999997</v>
      </c>
      <c r="AQ25" s="3">
        <f>AP25+真實IC!AQ26</f>
        <v>0.15354599999999996</v>
      </c>
      <c r="AR25" s="3">
        <f>AQ25+真實IC!AR26</f>
        <v>0.18822899999999995</v>
      </c>
      <c r="AS25" s="3">
        <f>AR25+真實IC!AS26</f>
        <v>0.19132799999999994</v>
      </c>
      <c r="AT25" s="3">
        <f>AS25+真實IC!AT26</f>
        <v>0.20640899999999995</v>
      </c>
      <c r="AU25" s="3">
        <f>AT25+真實IC!AU26</f>
        <v>0.18715899999999996</v>
      </c>
      <c r="AV25" s="3">
        <f>AU25+真實IC!AV26</f>
        <v>0.22587099999999996</v>
      </c>
      <c r="AW25" s="3">
        <f>AV25+真實IC!AW26</f>
        <v>0.20401099999999997</v>
      </c>
      <c r="AX25" s="3">
        <f>AW25+真實IC!AX26</f>
        <v>0.21178499999999997</v>
      </c>
      <c r="AY25" s="3">
        <f>AX25+真實IC!AY26</f>
        <v>0.25418199999999996</v>
      </c>
      <c r="AZ25" s="3">
        <f>AY25+真實IC!AZ26</f>
        <v>0.22787199999999996</v>
      </c>
      <c r="BA25" s="3">
        <f>AZ25+真實IC!BA26</f>
        <v>0.23744399999999996</v>
      </c>
      <c r="BB25" s="3">
        <f>BA25+真實IC!BB26</f>
        <v>0.21319399999999997</v>
      </c>
      <c r="BC25" s="3">
        <f>BB25+真實IC!BC26</f>
        <v>0.23335699999999998</v>
      </c>
      <c r="BD25" s="3">
        <f>BC25+真實IC!BD26</f>
        <v>0.22985699999999998</v>
      </c>
      <c r="BE25" s="3">
        <f>BD25+真實IC!BE26</f>
        <v>0.25000899999999998</v>
      </c>
      <c r="BF25" s="3">
        <f>BE25+真實IC!BF26</f>
        <v>0.25058999999999998</v>
      </c>
      <c r="BG25" s="3">
        <f>BF25+真實IC!BG26</f>
        <v>0.24536999999999998</v>
      </c>
      <c r="BH25" s="3">
        <f>BG25+真實IC!BH26</f>
        <v>0.12949999999999998</v>
      </c>
      <c r="BI25" s="3">
        <f>BH25+真實IC!BI26</f>
        <v>0.13822499999999999</v>
      </c>
      <c r="BJ25" s="3">
        <f>BI25+真實IC!BJ26</f>
        <v>0.12184499999999998</v>
      </c>
      <c r="BK25" s="3">
        <f>BJ25+真實IC!BK26</f>
        <v>0.14268499999999998</v>
      </c>
      <c r="BL25" s="3">
        <f>BK25+真實IC!BL26</f>
        <v>0.18766099999999997</v>
      </c>
      <c r="BM25" s="3">
        <f>BL25+真實IC!BM26</f>
        <v>0.21161499999999997</v>
      </c>
      <c r="BN25" s="3">
        <f>BM25+真實IC!BN26</f>
        <v>0.24185399999999996</v>
      </c>
      <c r="BO25" s="3">
        <f>BN25+真實IC!BO26</f>
        <v>0.19812399999999997</v>
      </c>
      <c r="BP25" s="3">
        <f>BO25+真實IC!BP26</f>
        <v>0.22001299999999996</v>
      </c>
      <c r="BQ25" s="3">
        <f>BP25+真實IC!BQ26</f>
        <v>0.22863999999999995</v>
      </c>
      <c r="BR25" s="3">
        <f>BQ25+真實IC!BR26</f>
        <v>0.20944999999999997</v>
      </c>
      <c r="BS25" s="3">
        <f>BR25+真實IC!BS26</f>
        <v>0.22918499999999997</v>
      </c>
      <c r="BT25" s="3">
        <f>BS25+真實IC!BT26</f>
        <v>0.27687899999999999</v>
      </c>
      <c r="BU25" s="3">
        <f>BT25+真實IC!BU26</f>
        <v>0.28833399999999998</v>
      </c>
      <c r="BV25" s="3">
        <f>BU25+真實IC!BV26</f>
        <v>0.331563</v>
      </c>
      <c r="BW25" s="3">
        <f>BV25+真實IC!BW26</f>
        <v>0.28881299999999999</v>
      </c>
      <c r="BX25" s="3">
        <f>BW25+真實IC!BX26</f>
        <v>0.27100299999999999</v>
      </c>
      <c r="BY25" s="3">
        <f>BX25+真實IC!BY26</f>
        <v>0.11985299999999999</v>
      </c>
      <c r="BZ25" s="3">
        <f>BY25+真實IC!BZ26</f>
        <v>0.24407699999999999</v>
      </c>
      <c r="CA25" s="3">
        <f>BZ25+真實IC!CA26</f>
        <v>0.23951699999999998</v>
      </c>
      <c r="CB25" s="3">
        <f>CA25+真實IC!CB26</f>
        <v>0.29972799999999999</v>
      </c>
      <c r="CC25" s="3">
        <f>CB25+真實IC!CC26</f>
        <v>0.38572000000000001</v>
      </c>
      <c r="CD25" s="3">
        <f>CC25+真實IC!CD26</f>
        <v>0.37991000000000003</v>
      </c>
      <c r="CE25" s="3">
        <f>CD25+真實IC!CE26</f>
        <v>0.37387000000000004</v>
      </c>
      <c r="CF25" s="3">
        <f>CE25+真實IC!CF26</f>
        <v>0.37632200000000005</v>
      </c>
      <c r="CG25" s="3">
        <f>CF25+真實IC!CG26</f>
        <v>0.46595800000000004</v>
      </c>
      <c r="CH25" s="3">
        <f>CG25+真實IC!CH26</f>
        <v>0.53695100000000007</v>
      </c>
      <c r="CI25" s="3">
        <f>CH25+真實IC!CI26</f>
        <v>0.56412200000000001</v>
      </c>
      <c r="CJ25" s="3">
        <f>CI25+真實IC!CJ26</f>
        <v>0.61658999999999997</v>
      </c>
      <c r="CK25" s="3">
        <f>CJ25+真實IC!CK26</f>
        <v>0.64607099999999995</v>
      </c>
      <c r="CL25" s="3">
        <f>CK25+真實IC!CL26</f>
        <v>0.71289599999999997</v>
      </c>
      <c r="CM25" s="3">
        <f>CL25+真實IC!CM26</f>
        <v>0.68412600000000001</v>
      </c>
      <c r="CN25" s="3">
        <f>CM25+真實IC!CN26</f>
        <v>0.72358900000000004</v>
      </c>
      <c r="CO25" s="3">
        <f>CN25+真實IC!CO26</f>
        <v>0.69455900000000004</v>
      </c>
      <c r="CP25" s="3">
        <f>CO25+真實IC!CP26</f>
        <v>0.70854300000000003</v>
      </c>
      <c r="CQ25" s="3">
        <f>CP25+真實IC!CQ26</f>
        <v>0.67626300000000006</v>
      </c>
      <c r="CR25" s="3">
        <f>CQ25+真實IC!CR26</f>
        <v>0.67936700000000005</v>
      </c>
      <c r="CS25" s="3">
        <f>CR25+真實IC!CS26</f>
        <v>0.704959</v>
      </c>
      <c r="CT25" s="3">
        <f>CS25+真實IC!CT26</f>
        <v>0.74935099999999999</v>
      </c>
      <c r="CU25" s="3">
        <f>CT25+真實IC!CU26</f>
        <v>0.71901099999999996</v>
      </c>
      <c r="CV25" s="3">
        <f>CU25+真實IC!CV26</f>
        <v>0.71775099999999992</v>
      </c>
      <c r="CW25" s="3">
        <f>CV25+真實IC!CW26</f>
        <v>0.72008699999999992</v>
      </c>
      <c r="CX25" s="3">
        <f>CW25+真實IC!CX26</f>
        <v>0.65582699999999994</v>
      </c>
      <c r="CY25" s="3">
        <f>CX25+真實IC!CY26</f>
        <v>0.66873699999999991</v>
      </c>
      <c r="CZ25" s="3">
        <f>CY25+真實IC!CZ26</f>
        <v>0.54325699999999988</v>
      </c>
      <c r="DA25" s="3">
        <f>CZ25+真實IC!DA26</f>
        <v>0.55494799999999989</v>
      </c>
      <c r="DB25" s="3">
        <f>DA25+真實IC!DB26</f>
        <v>0.56128599999999984</v>
      </c>
      <c r="DC25" s="3">
        <f>DB25+真實IC!DC26</f>
        <v>0.44397599999999982</v>
      </c>
      <c r="DD25" s="3">
        <f>DC25+真實IC!DD26</f>
        <v>0.40796599999999983</v>
      </c>
      <c r="DE25" s="3">
        <f>DD25+真實IC!DE26</f>
        <v>0.54687699999999984</v>
      </c>
      <c r="DF25" s="3">
        <f>DE25+真實IC!DF26</f>
        <v>0.49573699999999982</v>
      </c>
      <c r="DG25" s="3">
        <f>DF25+真實IC!DG26</f>
        <v>0.57246799999999975</v>
      </c>
      <c r="DH25" s="3">
        <f>DG25+真實IC!DH26</f>
        <v>0.58797699999999975</v>
      </c>
      <c r="DI25" s="3">
        <f>DH25+真實IC!DI26</f>
        <v>0.61120099999999977</v>
      </c>
      <c r="DJ25" s="3">
        <f>DI25+真實IC!DJ26</f>
        <v>0.59283099999999977</v>
      </c>
      <c r="DK25" s="3">
        <f>DJ25+真實IC!DK26</f>
        <v>0.65502999999999978</v>
      </c>
      <c r="DL25" s="3">
        <f>DK25+真實IC!DL26</f>
        <v>0.67512799999999973</v>
      </c>
      <c r="DM25" s="3">
        <f>DL25+真實IC!DM26</f>
        <v>0.68862699999999977</v>
      </c>
      <c r="DN25" s="3">
        <f>DM25+真實IC!DN26</f>
        <v>0.65837699999999977</v>
      </c>
      <c r="DO25" s="3">
        <f>DN25+真實IC!DO26</f>
        <v>0.64135699999999973</v>
      </c>
      <c r="DP25" s="3">
        <f>DO25+真實IC!DP26</f>
        <v>0.61956699999999976</v>
      </c>
      <c r="DQ25" s="3">
        <f>DP25+真實IC!DQ26</f>
        <v>0.70531299999999975</v>
      </c>
      <c r="DR25" s="3">
        <f>DQ25+真實IC!DR26</f>
        <v>0.73341999999999974</v>
      </c>
      <c r="DS25" s="3">
        <f>DR25+真實IC!DS26</f>
        <v>0.73111999999999977</v>
      </c>
      <c r="DT25" s="3">
        <f>DS25+真實IC!DT26</f>
        <v>0.78959099999999982</v>
      </c>
      <c r="DU25" s="3">
        <f>DT25+真實IC!DU26</f>
        <v>0.85724999999999985</v>
      </c>
      <c r="DV25" s="3">
        <f>DU25+真實IC!DV26</f>
        <v>0.8622709999999999</v>
      </c>
      <c r="DW25" s="3">
        <f>DV25+真實IC!DW26</f>
        <v>0.8996869999999999</v>
      </c>
      <c r="DX25" s="3">
        <f>DW25+真實IC!DX26</f>
        <v>0.98379799999999995</v>
      </c>
      <c r="DY25" s="3">
        <f>DX25+真實IC!DY26</f>
        <v>0.94696799999999992</v>
      </c>
      <c r="DZ25" s="3">
        <f>DY25+真實IC!DZ26</f>
        <v>0.9500599999999999</v>
      </c>
      <c r="EA25" s="3">
        <f>DZ25+真實IC!EA26</f>
        <v>0.94809999999999994</v>
      </c>
      <c r="EB25" s="3">
        <f>EA25+真實IC!EB26</f>
        <v>0.97455899999999995</v>
      </c>
      <c r="EC25" s="3">
        <f>EB25+真實IC!EC26</f>
        <v>0.9498089999999999</v>
      </c>
      <c r="ED25" s="3">
        <f>EC25+真實IC!ED26</f>
        <v>0.98392399999999991</v>
      </c>
      <c r="EE25" s="3">
        <f>ED25+真實IC!EE26</f>
        <v>1.0049859999999999</v>
      </c>
      <c r="EF25" s="3">
        <f>EE25+真實IC!EF26</f>
        <v>0.98470860729399401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5"/>
  <sheetViews>
    <sheetView topLeftCell="CT4" zoomScale="85" workbookViewId="0">
      <selection activeCell="EE28" sqref="EE28"/>
    </sheetView>
  </sheetViews>
  <sheetFormatPr baseColWidth="10" defaultRowHeight="14"/>
  <cols>
    <col min="1" max="1" width="10.83203125" style="1" customWidth="1"/>
    <col min="2" max="16384" width="10.8320312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>
      <c r="A10" s="25" t="s">
        <v>140</v>
      </c>
      <c r="B10" s="24"/>
      <c r="C10" s="7" t="s">
        <v>141</v>
      </c>
      <c r="D10" s="10">
        <v>964</v>
      </c>
    </row>
    <row r="11" spans="1:136">
      <c r="A11" s="7"/>
      <c r="B11" s="19" t="s">
        <v>220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>
      <c r="A12" s="7"/>
      <c r="B12" s="18" t="s">
        <v>221</v>
      </c>
      <c r="C12" s="9">
        <v>8.4653000000000006E-2</v>
      </c>
      <c r="D12" s="8">
        <f>C12+真實IC!D12</f>
        <v>0.1993415104166667</v>
      </c>
      <c r="E12" s="8">
        <f>D12+真實IC!E12</f>
        <v>0.2473677916666667</v>
      </c>
      <c r="F12" s="8">
        <f>E12+真實IC!F12</f>
        <v>0.30332717645112545</v>
      </c>
      <c r="G12" s="8">
        <f>F12+真實IC!G12</f>
        <v>0.33527462496975591</v>
      </c>
      <c r="H12" s="8">
        <f>G12+真實IC!H12</f>
        <v>0.37380534371975593</v>
      </c>
      <c r="I12" s="8">
        <f>H12+真實IC!I12</f>
        <v>0.41010928056880797</v>
      </c>
      <c r="J12" s="8">
        <f>I12+真實IC!J12</f>
        <v>0.45389385931367948</v>
      </c>
      <c r="K12" s="8">
        <f>J12+真實IC!K12</f>
        <v>0.48308185744737864</v>
      </c>
      <c r="L12" s="8">
        <f>K12+真實IC!L12</f>
        <v>0.52497249286404535</v>
      </c>
      <c r="M12" s="8">
        <f>L12+真實IC!M12</f>
        <v>0.55186166669725234</v>
      </c>
      <c r="N12" s="8">
        <f>M12+真實IC!N12</f>
        <v>0.62118841669725233</v>
      </c>
      <c r="O12" s="8">
        <f>N12+真實IC!O12</f>
        <v>0.64910317576449272</v>
      </c>
      <c r="P12" s="8">
        <f>O12+真實IC!P12</f>
        <v>0.67052359696895503</v>
      </c>
      <c r="Q12" s="8">
        <f>P12+真實IC!Q12</f>
        <v>0.70431638108986272</v>
      </c>
      <c r="R12" s="8">
        <f>Q12+真實IC!R12</f>
        <v>0.71771388732979846</v>
      </c>
      <c r="S12" s="8">
        <f>R12+真實IC!S12</f>
        <v>0.78876778442440554</v>
      </c>
      <c r="T12" s="8">
        <f>S12+真實IC!T12</f>
        <v>0.83663550076993021</v>
      </c>
      <c r="U12" s="8">
        <f>T12+真實IC!U12</f>
        <v>0.85700272132306121</v>
      </c>
      <c r="V12" s="8">
        <f>U12+真實IC!V12</f>
        <v>0.90203271212590996</v>
      </c>
      <c r="W12" s="8">
        <f>V12+真實IC!W12</f>
        <v>0.96607235795924329</v>
      </c>
      <c r="X12" s="8">
        <f>W12+真實IC!X12</f>
        <v>1.0757131093065786</v>
      </c>
      <c r="Y12" s="8">
        <f>X12+真實IC!Y12</f>
        <v>1.0925014865583946</v>
      </c>
      <c r="Z12" s="8">
        <f>Y12+真實IC!Z12</f>
        <v>1.1561251698739685</v>
      </c>
      <c r="AA12" s="8">
        <f>Z12+真實IC!AA12</f>
        <v>1.1830436492947802</v>
      </c>
      <c r="AB12" s="8">
        <f>AA12+真實IC!AB12</f>
        <v>1.2177327598462584</v>
      </c>
      <c r="AC12" s="8">
        <f>AB12+真實IC!AC12</f>
        <v>1.2645057054725697</v>
      </c>
      <c r="AD12" s="8">
        <f>AC12+真實IC!AD12</f>
        <v>1.2738976846392365</v>
      </c>
      <c r="AE12" s="8">
        <f>AD12+真實IC!AE12</f>
        <v>1.3203354013062205</v>
      </c>
      <c r="AF12" s="8">
        <f>AE12+真實IC!AF12</f>
        <v>1.3723475040829882</v>
      </c>
      <c r="AG12" s="8">
        <f>AF12+真實IC!AG12</f>
        <v>1.4023296490157127</v>
      </c>
      <c r="AH12" s="8">
        <f>AG12+真實IC!AH12</f>
        <v>1.4157354536653459</v>
      </c>
      <c r="AI12" s="8">
        <f>AH12+真實IC!AI12</f>
        <v>1.4389824119986792</v>
      </c>
      <c r="AJ12" s="8">
        <f>AI12+真實IC!AJ12</f>
        <v>1.4519661595447337</v>
      </c>
      <c r="AK12" s="8">
        <f>AJ12+真實IC!AK12</f>
        <v>1.5000898636968683</v>
      </c>
      <c r="AL12" s="8">
        <f>AK12+真實IC!AL12</f>
        <v>1.534195124113535</v>
      </c>
      <c r="AM12" s="8">
        <f>AL12+真實IC!AM12</f>
        <v>1.564281239726133</v>
      </c>
      <c r="AN12" s="8">
        <f>AM12+真實IC!AN12</f>
        <v>1.6335144740395615</v>
      </c>
      <c r="AO12" s="8">
        <f>AN12+真實IC!AO12</f>
        <v>1.6485099448826888</v>
      </c>
      <c r="AP12" s="8">
        <f>AO12+真實IC!AP12</f>
        <v>1.682228289664538</v>
      </c>
      <c r="AQ12" s="8">
        <f>AP12+真實IC!AQ12</f>
        <v>1.6889099354978714</v>
      </c>
      <c r="AR12" s="8">
        <f>AQ12+真實IC!AR12</f>
        <v>1.6964143000812046</v>
      </c>
      <c r="AS12" s="8">
        <f>AR12+真實IC!AS12</f>
        <v>1.7163905729915758</v>
      </c>
      <c r="AT12" s="8">
        <f>AS12+真實IC!AT12</f>
        <v>1.7885859553440109</v>
      </c>
      <c r="AU12" s="8">
        <f>AT12+真實IC!AU12</f>
        <v>1.8519961428440108</v>
      </c>
      <c r="AV12" s="8">
        <f>AU12+真實IC!AV12</f>
        <v>1.9057117735007305</v>
      </c>
      <c r="AW12" s="8">
        <f>AV12+真實IC!AW12</f>
        <v>1.9228814782641335</v>
      </c>
      <c r="AX12" s="8">
        <f>AW12+真實IC!AX12</f>
        <v>1.9675774902370313</v>
      </c>
      <c r="AY12" s="8">
        <f>AX12+真實IC!AY12</f>
        <v>1.9925327833047046</v>
      </c>
      <c r="AZ12" s="8">
        <f>AY12+真實IC!AZ12</f>
        <v>2.0590970333047047</v>
      </c>
      <c r="BA12" s="8">
        <f>AZ12+真實IC!BA12</f>
        <v>2.1303733353880379</v>
      </c>
      <c r="BB12" s="8">
        <f>BA12+真實IC!BB12</f>
        <v>2.1594099899576795</v>
      </c>
      <c r="BC12" s="8">
        <f>BB12+真實IC!BC12</f>
        <v>2.1861009562500171</v>
      </c>
      <c r="BD12" s="8">
        <f>BC12+真實IC!BD12</f>
        <v>2.2353349041666837</v>
      </c>
      <c r="BE12" s="8">
        <f>BD12+真實IC!BE12</f>
        <v>2.2707034493092024</v>
      </c>
      <c r="BF12" s="8">
        <f>BE12+真實IC!BF12</f>
        <v>2.3383203985568977</v>
      </c>
      <c r="BG12" s="8">
        <f>BF12+真實IC!BG12</f>
        <v>2.3850781524381812</v>
      </c>
      <c r="BH12" s="8">
        <f>BG12+真實IC!BH12</f>
        <v>2.4201577414680981</v>
      </c>
      <c r="BI12" s="8">
        <f>BH12+真實IC!BI12</f>
        <v>2.4701789944990891</v>
      </c>
      <c r="BJ12" s="8">
        <f>BI12+真實IC!BJ12</f>
        <v>2.5136019632490889</v>
      </c>
      <c r="BK12" s="8">
        <f>BJ12+真實IC!BK12</f>
        <v>2.5336777861657556</v>
      </c>
      <c r="BL12" s="8">
        <f>BK12+真實IC!BL12</f>
        <v>2.5658068844662498</v>
      </c>
      <c r="BM12" s="8">
        <f>BL12+真實IC!BM12</f>
        <v>2.6161125689895743</v>
      </c>
      <c r="BN12" s="8">
        <f>BM12+真實IC!BN12</f>
        <v>2.6356148189895743</v>
      </c>
      <c r="BO12" s="8">
        <f>BN12+真實IC!BO12</f>
        <v>2.6598611292458112</v>
      </c>
      <c r="BP12" s="8">
        <f>BO12+真實IC!BP12</f>
        <v>2.686283629245811</v>
      </c>
      <c r="BQ12" s="8">
        <f>BP12+真實IC!BQ12</f>
        <v>2.7001803788645575</v>
      </c>
      <c r="BR12" s="8">
        <f>BQ12+真實IC!BR12</f>
        <v>2.7688739940116709</v>
      </c>
      <c r="BS12" s="8">
        <f>BR12+真實IC!BS12</f>
        <v>2.8015168489000635</v>
      </c>
      <c r="BT12" s="8">
        <f>BS12+真實IC!BT12</f>
        <v>2.822805025983397</v>
      </c>
      <c r="BU12" s="8">
        <f>BT12+真實IC!BU12</f>
        <v>2.8708882239000637</v>
      </c>
      <c r="BV12" s="8">
        <f>BU12+真實IC!BV12</f>
        <v>2.9131706129859936</v>
      </c>
      <c r="BW12" s="8">
        <f>BV12+真實IC!BW12</f>
        <v>2.9576476168776438</v>
      </c>
      <c r="BX12" s="8">
        <f>BW12+真實IC!BX12</f>
        <v>2.9736319293776439</v>
      </c>
      <c r="BY12" s="8">
        <f>BX12+真實IC!BY12</f>
        <v>3.0325618457352079</v>
      </c>
      <c r="BZ12" s="8">
        <f>BY12+真實IC!BZ12</f>
        <v>3.0779187914264807</v>
      </c>
      <c r="CA12" s="8">
        <f>BZ12+真實IC!CA12</f>
        <v>3.1123190788668231</v>
      </c>
      <c r="CB12" s="8">
        <f>CA12+真實IC!CB12</f>
        <v>3.1847947976168234</v>
      </c>
      <c r="CC12" s="8">
        <f>CB12+真實IC!CC12</f>
        <v>3.25036083928349</v>
      </c>
      <c r="CD12" s="8">
        <f>CC12+真實IC!CD12</f>
        <v>3.3612944728679426</v>
      </c>
      <c r="CE12" s="8">
        <f>CD12+真實IC!CE12</f>
        <v>3.5153016291179426</v>
      </c>
      <c r="CF12" s="8">
        <f>CE12+真實IC!CF12</f>
        <v>3.5430692125317149</v>
      </c>
      <c r="CG12" s="8">
        <f>CF12+真實IC!CG12</f>
        <v>3.5923471724947955</v>
      </c>
      <c r="CH12" s="8">
        <f>CG12+真實IC!CH12</f>
        <v>3.6556445448727555</v>
      </c>
      <c r="CI12" s="8">
        <f>CH12+真實IC!CI12</f>
        <v>3.6903004572849611</v>
      </c>
      <c r="CJ12" s="8">
        <f>CI12+真實IC!CJ12</f>
        <v>3.7444205241991559</v>
      </c>
      <c r="CK12" s="8">
        <f>CJ12+真實IC!CK12</f>
        <v>3.8005219648469462</v>
      </c>
      <c r="CL12" s="8">
        <f>CK12+真實IC!CL12</f>
        <v>3.9185375725165565</v>
      </c>
      <c r="CM12" s="8">
        <f>CL12+真實IC!CM12</f>
        <v>3.9902461350165566</v>
      </c>
      <c r="CN12" s="8">
        <f>CM12+真實IC!CN12</f>
        <v>4.068711339027363</v>
      </c>
      <c r="CO12" s="8">
        <f>CN12+真實IC!CO12</f>
        <v>4.1400031931940298</v>
      </c>
      <c r="CP12" s="8">
        <f>CO12+真實IC!CP12</f>
        <v>4.1853022146615233</v>
      </c>
      <c r="CQ12" s="8">
        <f>CP12+真實IC!CQ12</f>
        <v>4.2479865616650985</v>
      </c>
      <c r="CR12" s="8">
        <f>CQ12+真實IC!CR12</f>
        <v>4.3051465481866122</v>
      </c>
      <c r="CS12" s="8">
        <f>CR12+真實IC!CS12</f>
        <v>4.3061251217814647</v>
      </c>
      <c r="CT12" s="8">
        <f>CS12+真實IC!CT12</f>
        <v>4.3382390801147981</v>
      </c>
      <c r="CU12" s="8">
        <f>CT12+真實IC!CU12</f>
        <v>4.413018609396155</v>
      </c>
      <c r="CV12" s="8">
        <f>CU12+真實IC!CV12</f>
        <v>4.4780519158918439</v>
      </c>
      <c r="CW12" s="8">
        <f>CV12+真實IC!CW12</f>
        <v>4.4910885852704219</v>
      </c>
      <c r="CX12" s="8">
        <f>CW12+真實IC!CX12</f>
        <v>4.552078467807414</v>
      </c>
      <c r="CY12" s="8">
        <f>CX12+真實IC!CY12</f>
        <v>4.5981511240574138</v>
      </c>
      <c r="CZ12" s="8">
        <f>CY12+真實IC!CZ12</f>
        <v>4.6759434513969147</v>
      </c>
      <c r="DA12" s="8">
        <f>CZ12+真實IC!DA12</f>
        <v>4.712921972230248</v>
      </c>
      <c r="DB12" s="8">
        <f>DA12+真實IC!DB12</f>
        <v>4.8019038263969147</v>
      </c>
      <c r="DC12" s="8">
        <f>DB12+真實IC!DC12</f>
        <v>4.8358770292716891</v>
      </c>
      <c r="DD12" s="8">
        <f>DC12+真實IC!DD12</f>
        <v>4.9058375750060321</v>
      </c>
      <c r="DE12" s="8">
        <f>DD12+真實IC!DE12</f>
        <v>4.9305752194211268</v>
      </c>
      <c r="DF12" s="8">
        <f>DE12+真實IC!DF12</f>
        <v>4.9860613235877933</v>
      </c>
      <c r="DG12" s="8">
        <f>DF12+真實IC!DG12</f>
        <v>5.0324713027544599</v>
      </c>
      <c r="DH12" s="8">
        <f>DG12+真實IC!DH12</f>
        <v>5.0936667298377936</v>
      </c>
      <c r="DI12" s="8">
        <f>DH12+真實IC!DI12</f>
        <v>5.1534157402544603</v>
      </c>
      <c r="DJ12" s="8">
        <f>DI12+真實IC!DJ12</f>
        <v>5.1947937831901321</v>
      </c>
      <c r="DK12" s="8">
        <f>DJ12+真實IC!DK12</f>
        <v>5.2267219915234655</v>
      </c>
      <c r="DL12" s="8">
        <f>DK12+真實IC!DL12</f>
        <v>5.2453918248572684</v>
      </c>
      <c r="DM12" s="8">
        <f>DL12+真實IC!DM12</f>
        <v>5.2646294394406015</v>
      </c>
      <c r="DN12" s="8">
        <f>DM12+真實IC!DN12</f>
        <v>5.3070398048266663</v>
      </c>
      <c r="DO12" s="8">
        <f>DN12+真實IC!DO12</f>
        <v>5.3375970652433331</v>
      </c>
      <c r="DP12" s="8">
        <f>DO12+真實IC!DP12</f>
        <v>5.3970057597999936</v>
      </c>
      <c r="DQ12" s="8">
        <f>DP12+真實IC!DQ12</f>
        <v>5.4715464072804663</v>
      </c>
      <c r="DR12" s="8">
        <f>DQ12+真實IC!DR12</f>
        <v>5.4903253505598535</v>
      </c>
      <c r="DS12" s="8">
        <f>DR12+真實IC!DS12</f>
        <v>5.5599763609765205</v>
      </c>
      <c r="DT12" s="8">
        <f>DS12+真實IC!DT12</f>
        <v>5.5847902025391072</v>
      </c>
      <c r="DU12" s="8">
        <f>DT12+真實IC!DU12</f>
        <v>5.6420204317057738</v>
      </c>
      <c r="DV12" s="8">
        <f>DU12+真實IC!DV12</f>
        <v>5.6905712561833042</v>
      </c>
      <c r="DW12" s="8">
        <f>DV12+真實IC!DW12</f>
        <v>5.7355388082666376</v>
      </c>
      <c r="DX12" s="8">
        <f>DW12+真實IC!DX12</f>
        <v>5.7856908888089995</v>
      </c>
      <c r="DY12" s="8">
        <f>DX12+真實IC!DY12</f>
        <v>5.8388362013089994</v>
      </c>
      <c r="DZ12" s="8">
        <f>DY12+真實IC!DZ12</f>
        <v>5.8450630450589998</v>
      </c>
      <c r="EA12" s="8">
        <f>DZ12+真實IC!EA12</f>
        <v>5.9581900868081368</v>
      </c>
      <c r="EB12" s="8">
        <f>EA12+真實IC!EB12</f>
        <v>5.9887158636259787</v>
      </c>
      <c r="EC12" s="8">
        <f>EB12+真實IC!EC12</f>
        <v>6.0153673732056436</v>
      </c>
      <c r="ED12" s="8">
        <f>EC12+真實IC!ED12</f>
        <v>6.0758755260141282</v>
      </c>
      <c r="EE12" s="8">
        <f>ED12+真實IC!EE12</f>
        <v>6.1023822135141286</v>
      </c>
      <c r="EF12" s="8">
        <f>EE12+真實IC!EF12</f>
        <v>6.1316156093474623</v>
      </c>
    </row>
    <row r="13" spans="1:136">
      <c r="A13" s="7"/>
      <c r="B13" s="18" t="s">
        <v>222</v>
      </c>
      <c r="C13" s="6">
        <v>0.104113</v>
      </c>
      <c r="D13" s="8">
        <f>C13+真實IC!D13</f>
        <v>0.2278581041666666</v>
      </c>
      <c r="E13" s="8">
        <f>D13+真實IC!E13</f>
        <v>0.29771939583333329</v>
      </c>
      <c r="F13" s="8">
        <f>E13+真實IC!F13</f>
        <v>0.35770592252625627</v>
      </c>
      <c r="G13" s="8">
        <f>F13+真實IC!G13</f>
        <v>0.36975332682636219</v>
      </c>
      <c r="H13" s="8">
        <f>G13+真實IC!H13</f>
        <v>0.39974368099302882</v>
      </c>
      <c r="I13" s="8">
        <f>H13+真實IC!I13</f>
        <v>0.43242654397775115</v>
      </c>
      <c r="J13" s="8">
        <f>I13+真實IC!J13</f>
        <v>0.46697643594739585</v>
      </c>
      <c r="K13" s="8">
        <f>J13+真實IC!K13</f>
        <v>0.52730257517496604</v>
      </c>
      <c r="L13" s="8">
        <f>K13+真實IC!L13</f>
        <v>0.53332767934163272</v>
      </c>
      <c r="M13" s="8">
        <f>L13+真實IC!M13</f>
        <v>0.5366074375676374</v>
      </c>
      <c r="N13" s="8">
        <f>M13+真實IC!N13</f>
        <v>0.63641416673430407</v>
      </c>
      <c r="O13" s="8">
        <f>N13+真實IC!O13</f>
        <v>0.653836865545254</v>
      </c>
      <c r="P13" s="8">
        <f>O13+真實IC!P13</f>
        <v>0.67469377860665958</v>
      </c>
      <c r="Q13" s="8">
        <f>P13+真實IC!Q13</f>
        <v>0.71891204283462962</v>
      </c>
      <c r="R13" s="8">
        <f>Q13+真實IC!R13</f>
        <v>0.72540195301070398</v>
      </c>
      <c r="S13" s="8">
        <f>R13+真實IC!S13</f>
        <v>0.84831725101425459</v>
      </c>
      <c r="T13" s="8">
        <f>S13+真實IC!T13</f>
        <v>0.92255133252597721</v>
      </c>
      <c r="U13" s="8">
        <f>T13+真實IC!U13</f>
        <v>0.97671240756767141</v>
      </c>
      <c r="V13" s="8">
        <f>U13+真實IC!V13</f>
        <v>1.029492146467905</v>
      </c>
      <c r="W13" s="8">
        <f>V13+真實IC!W13</f>
        <v>1.1049685423012383</v>
      </c>
      <c r="X13" s="8">
        <f>W13+真實IC!X13</f>
        <v>1.2260963131539764</v>
      </c>
      <c r="Y13" s="8">
        <f>X13+真實IC!Y13</f>
        <v>1.2525681963713189</v>
      </c>
      <c r="Z13" s="8">
        <f>Y13+真實IC!Z13</f>
        <v>1.3309926311765023</v>
      </c>
      <c r="AA13" s="8">
        <f>Z13+真實IC!AA13</f>
        <v>1.3787052796267605</v>
      </c>
      <c r="AB13" s="8">
        <f>AA13+真實IC!AB13</f>
        <v>1.4253834997481378</v>
      </c>
      <c r="AC13" s="8">
        <f>AB13+真實IC!AC13</f>
        <v>1.4921552001300677</v>
      </c>
      <c r="AD13" s="8">
        <f>AC13+真實IC!AD13</f>
        <v>1.5136982834634012</v>
      </c>
      <c r="AE13" s="8">
        <f>AD13+真實IC!AE13</f>
        <v>1.5907697001902019</v>
      </c>
      <c r="AF13" s="8">
        <f>AE13+真實IC!AF13</f>
        <v>1.6640508610185132</v>
      </c>
      <c r="AG13" s="8">
        <f>AF13+真實IC!AG13</f>
        <v>1.6957326440735161</v>
      </c>
      <c r="AH13" s="8">
        <f>AG13+真實IC!AH13</f>
        <v>1.7053739833130326</v>
      </c>
      <c r="AI13" s="8">
        <f>AH13+真實IC!AI13</f>
        <v>1.7252840249796992</v>
      </c>
      <c r="AJ13" s="8">
        <f>AI13+真實IC!AJ13</f>
        <v>1.7090035549914235</v>
      </c>
      <c r="AK13" s="8">
        <f>AJ13+真實IC!AK13</f>
        <v>1.7749914678020795</v>
      </c>
      <c r="AL13" s="8">
        <f>AK13+真實IC!AL13</f>
        <v>1.7975415719687462</v>
      </c>
      <c r="AM13" s="8">
        <f>AL13+真實IC!AM13</f>
        <v>1.8438240155055752</v>
      </c>
      <c r="AN13" s="8">
        <f>AM13+真實IC!AN13</f>
        <v>1.9491542536416093</v>
      </c>
      <c r="AO13" s="8">
        <f>AN13+真實IC!AO13</f>
        <v>1.9474454069529739</v>
      </c>
      <c r="AP13" s="8">
        <f>AO13+真實IC!AP13</f>
        <v>2.0069962473149716</v>
      </c>
      <c r="AQ13" s="8">
        <f>AP13+真實IC!AQ13</f>
        <v>2.0180781431483048</v>
      </c>
      <c r="AR13" s="8">
        <f>AQ13+真實IC!AR13</f>
        <v>2.0088277264816381</v>
      </c>
      <c r="AS13" s="8">
        <f>AR13+真實IC!AS13</f>
        <v>2.0322326900232355</v>
      </c>
      <c r="AT13" s="8">
        <f>AS13+真實IC!AT13</f>
        <v>2.1186556047508351</v>
      </c>
      <c r="AU13" s="8">
        <f>AT13+真實IC!AU13</f>
        <v>2.1954395839175018</v>
      </c>
      <c r="AV13" s="8">
        <f>AU13+真實IC!AV13</f>
        <v>2.2751055595659722</v>
      </c>
      <c r="AW13" s="8">
        <f>AV13+真實IC!AW13</f>
        <v>2.3019267975363533</v>
      </c>
      <c r="AX13" s="8">
        <f>AW13+真實IC!AX13</f>
        <v>2.3347266296722089</v>
      </c>
      <c r="AY13" s="8">
        <f>AX13+真實IC!AY13</f>
        <v>2.3522909760208339</v>
      </c>
      <c r="AZ13" s="8">
        <f>AY13+真實IC!AZ13</f>
        <v>2.4077411635208339</v>
      </c>
      <c r="BA13" s="8">
        <f>AZ13+真實IC!BA13</f>
        <v>2.4875704343541671</v>
      </c>
      <c r="BB13" s="8">
        <f>BA13+真實IC!BB13</f>
        <v>2.5101178353289462</v>
      </c>
      <c r="BC13" s="8">
        <f>BB13+真實IC!BC13</f>
        <v>2.5292287026037883</v>
      </c>
      <c r="BD13" s="8">
        <f>BC13+真實IC!BD13</f>
        <v>2.5709054317704552</v>
      </c>
      <c r="BE13" s="8">
        <f>BD13+真實IC!BE13</f>
        <v>2.6146792211562384</v>
      </c>
      <c r="BF13" s="8">
        <f>BE13+真實IC!BF13</f>
        <v>2.7363363644221943</v>
      </c>
      <c r="BG13" s="8">
        <f>BF13+真實IC!BG13</f>
        <v>2.8247339102785149</v>
      </c>
      <c r="BH13" s="8">
        <f>BG13+真實IC!BH13</f>
        <v>2.8657575664707071</v>
      </c>
      <c r="BI13" s="8">
        <f>BH13+真實IC!BI13</f>
        <v>2.9181666989274087</v>
      </c>
      <c r="BJ13" s="8">
        <f>BI13+真實IC!BJ13</f>
        <v>2.9696192614274088</v>
      </c>
      <c r="BK13" s="8">
        <f>BJ13+真實IC!BK13</f>
        <v>2.9947452822607423</v>
      </c>
      <c r="BL13" s="8">
        <f>BK13+真實IC!BL13</f>
        <v>3.0292053227091933</v>
      </c>
      <c r="BM13" s="8">
        <f>BL13+真實IC!BM13</f>
        <v>3.0825770914043842</v>
      </c>
      <c r="BN13" s="8">
        <f>BM13+真實IC!BN13</f>
        <v>3.0777192580710508</v>
      </c>
      <c r="BO13" s="8">
        <f>BN13+真實IC!BO13</f>
        <v>3.1085979743045251</v>
      </c>
      <c r="BP13" s="8">
        <f>BO13+真實IC!BP13</f>
        <v>3.1165500159711916</v>
      </c>
      <c r="BQ13" s="8">
        <f>BP13+真實IC!BQ13</f>
        <v>3.1582030797606175</v>
      </c>
      <c r="BR13" s="8">
        <f>BQ13+真實IC!BR13</f>
        <v>3.2380345365839505</v>
      </c>
      <c r="BS13" s="8">
        <f>BR13+真實IC!BS13</f>
        <v>3.2782150509453674</v>
      </c>
      <c r="BT13" s="8">
        <f>BS13+真實IC!BT13</f>
        <v>3.3118829467787005</v>
      </c>
      <c r="BU13" s="8">
        <f>BT13+真實IC!BU13</f>
        <v>3.3865411134453671</v>
      </c>
      <c r="BV13" s="8">
        <f>BU13+真實IC!BV13</f>
        <v>3.4664719475464247</v>
      </c>
      <c r="BW13" s="8">
        <f>BV13+真實IC!BW13</f>
        <v>3.5421859531831044</v>
      </c>
      <c r="BX13" s="8">
        <f>BW13+真實IC!BX13</f>
        <v>3.5436630573497712</v>
      </c>
      <c r="BY13" s="8">
        <f>BX13+真實IC!BY13</f>
        <v>3.5828650139249127</v>
      </c>
      <c r="BZ13" s="8">
        <f>BY13+真實IC!BZ13</f>
        <v>3.6590031369839631</v>
      </c>
      <c r="CA13" s="8">
        <f>BZ13+真實IC!CA13</f>
        <v>3.6925347025843598</v>
      </c>
      <c r="CB13" s="8">
        <f>CA13+真實IC!CB13</f>
        <v>3.8129616192510265</v>
      </c>
      <c r="CC13" s="8">
        <f>CB13+真實IC!CC13</f>
        <v>3.9330795359176931</v>
      </c>
      <c r="CD13" s="8">
        <f>CC13+真實IC!CD13</f>
        <v>4.0381653688100201</v>
      </c>
      <c r="CE13" s="8">
        <f>CD13+真實IC!CE13</f>
        <v>4.2219930979766866</v>
      </c>
      <c r="CF13" s="8">
        <f>CE13+真實IC!CF13</f>
        <v>4.2665073647017557</v>
      </c>
      <c r="CG13" s="8">
        <f>CF13+真實IC!CG13</f>
        <v>4.3245223325089954</v>
      </c>
      <c r="CH13" s="8">
        <f>CG13+真實IC!CH13</f>
        <v>4.3828569443362024</v>
      </c>
      <c r="CI13" s="8">
        <f>CH13+真實IC!CI13</f>
        <v>4.4347104534704656</v>
      </c>
      <c r="CJ13" s="8">
        <f>CI13+真實IC!CJ13</f>
        <v>4.4895206341493052</v>
      </c>
      <c r="CK13" s="8">
        <f>CJ13+真實IC!CK13</f>
        <v>4.5552077604161028</v>
      </c>
      <c r="CL13" s="8">
        <f>CK13+真實IC!CL13</f>
        <v>4.636661126518284</v>
      </c>
      <c r="CM13" s="8">
        <f>CL13+真實IC!CM13</f>
        <v>4.7381134598516175</v>
      </c>
      <c r="CN13" s="8">
        <f>CM13+真實IC!CN13</f>
        <v>4.8391076264998114</v>
      </c>
      <c r="CO13" s="8">
        <f>CN13+真實IC!CO13</f>
        <v>4.9246737723331444</v>
      </c>
      <c r="CP13" s="8">
        <f>CO13+真實IC!CP13</f>
        <v>4.9944003126108791</v>
      </c>
      <c r="CQ13" s="8">
        <f>CP13+真實IC!CQ13</f>
        <v>5.0655791775792833</v>
      </c>
      <c r="CR13" s="8">
        <f>CQ13+真實IC!CR13</f>
        <v>5.1772240639597582</v>
      </c>
      <c r="CS13" s="8">
        <f>CR13+真實IC!CS13</f>
        <v>5.1867917176248932</v>
      </c>
      <c r="CT13" s="8">
        <f>CS13+真實IC!CT13</f>
        <v>5.2302538842915602</v>
      </c>
      <c r="CU13" s="8">
        <f>CT13+真實IC!CU13</f>
        <v>5.3373448460051973</v>
      </c>
      <c r="CV13" s="8">
        <f>CU13+真實IC!CV13</f>
        <v>5.4150008972621704</v>
      </c>
      <c r="CW13" s="8">
        <f>CV13+真實IC!CW13</f>
        <v>5.4513100170186037</v>
      </c>
      <c r="CX13" s="8">
        <f>CW13+真實IC!CX13</f>
        <v>5.5113432722586566</v>
      </c>
      <c r="CY13" s="8">
        <f>CX13+真實IC!CY13</f>
        <v>5.57363991809199</v>
      </c>
      <c r="CZ13" s="8">
        <f>CY13+真實IC!CZ13</f>
        <v>5.6308641384454754</v>
      </c>
      <c r="DA13" s="8">
        <f>CZ13+真實IC!DA13</f>
        <v>5.680309909278809</v>
      </c>
      <c r="DB13" s="8">
        <f>DA13+真實IC!DB13</f>
        <v>5.7865451592788091</v>
      </c>
      <c r="DC13" s="8">
        <f>DB13+真實IC!DC13</f>
        <v>5.8163207251571016</v>
      </c>
      <c r="DD13" s="8">
        <f>DC13+真實IC!DD13</f>
        <v>5.8852977840814855</v>
      </c>
      <c r="DE13" s="8">
        <f>DD13+真實IC!DE13</f>
        <v>5.9077397805107212</v>
      </c>
      <c r="DF13" s="8">
        <f>DE13+真實IC!DF13</f>
        <v>5.9908624680107216</v>
      </c>
      <c r="DG13" s="8">
        <f>DF13+真實IC!DG13</f>
        <v>6.0385917805107212</v>
      </c>
      <c r="DH13" s="8">
        <f>DG13+真實IC!DH13</f>
        <v>6.1273124888440549</v>
      </c>
      <c r="DI13" s="8">
        <f>DH13+真實IC!DI13</f>
        <v>6.2170606138440547</v>
      </c>
      <c r="DJ13" s="8">
        <f>DI13+真實IC!DJ13</f>
        <v>6.2240817374596125</v>
      </c>
      <c r="DK13" s="8">
        <f>DJ13+真實IC!DK13</f>
        <v>6.2434681332929456</v>
      </c>
      <c r="DL13" s="8">
        <f>DK13+真實IC!DL13</f>
        <v>6.2655188239710338</v>
      </c>
      <c r="DM13" s="8">
        <f>DL13+真實IC!DM13</f>
        <v>6.2649868656377006</v>
      </c>
      <c r="DN13" s="8">
        <f>DM13+真實IC!DN13</f>
        <v>6.2764864435602137</v>
      </c>
      <c r="DO13" s="8">
        <f>DN13+真實IC!DO13</f>
        <v>6.3143502977268806</v>
      </c>
      <c r="DP13" s="8">
        <f>DO13+真實IC!DP13</f>
        <v>6.3723826066175819</v>
      </c>
      <c r="DQ13" s="8">
        <f>DP13+真實IC!DQ13</f>
        <v>6.4595116180101524</v>
      </c>
      <c r="DR13" s="8">
        <f>DQ13+真實IC!DR13</f>
        <v>6.4732828272824641</v>
      </c>
      <c r="DS13" s="8">
        <f>DR13+真實IC!DS13</f>
        <v>6.5418795147824644</v>
      </c>
      <c r="DT13" s="8">
        <f>DS13+真實IC!DT13</f>
        <v>6.5717253239434674</v>
      </c>
      <c r="DU13" s="8">
        <f>DT13+真實IC!DU13</f>
        <v>6.6047312822768012</v>
      </c>
      <c r="DV13" s="8">
        <f>DU13+真實IC!DV13</f>
        <v>6.6843514263009896</v>
      </c>
      <c r="DW13" s="8">
        <f>DV13+真實IC!DW13</f>
        <v>6.7263799054676561</v>
      </c>
      <c r="DX13" s="8">
        <f>DW13+真實IC!DX13</f>
        <v>6.7909032850461521</v>
      </c>
      <c r="DY13" s="8">
        <f>DX13+真實IC!DY13</f>
        <v>6.8478844308794855</v>
      </c>
      <c r="DZ13" s="8">
        <f>DY13+真實IC!DZ13</f>
        <v>6.8661864100461525</v>
      </c>
      <c r="EA13" s="8">
        <f>DZ13+真實IC!EA13</f>
        <v>6.990655368195223</v>
      </c>
      <c r="EB13" s="8">
        <f>EA13+真實IC!EB13</f>
        <v>7.0478606609436119</v>
      </c>
      <c r="EC13" s="8">
        <f>EB13+真實IC!EC13</f>
        <v>7.0895204143788408</v>
      </c>
      <c r="ED13" s="8">
        <f>EC13+真實IC!ED13</f>
        <v>7.1552025080380757</v>
      </c>
      <c r="EE13" s="8">
        <f>ED13+真實IC!EE13</f>
        <v>7.1964368830380758</v>
      </c>
      <c r="EF13" s="8">
        <f>EE13+真實IC!EF13</f>
        <v>7.2409499247047426</v>
      </c>
    </row>
    <row r="14" spans="1:136">
      <c r="A14" s="7"/>
      <c r="B14" s="18" t="s">
        <v>223</v>
      </c>
      <c r="C14" s="6">
        <v>0.11994100000000001</v>
      </c>
      <c r="D14" s="8">
        <f>C14+真實IC!D14</f>
        <v>0.34224978947368423</v>
      </c>
      <c r="E14" s="8">
        <f>D14+真實IC!E14</f>
        <v>0.44101794736842109</v>
      </c>
      <c r="F14" s="8">
        <f>E14+真實IC!F14</f>
        <v>0.50135985227445368</v>
      </c>
      <c r="G14" s="8">
        <f>F14+真實IC!G14</f>
        <v>0.55501648271723436</v>
      </c>
      <c r="H14" s="8">
        <f>G14+真實IC!H14</f>
        <v>0.61460543008565538</v>
      </c>
      <c r="I14" s="8">
        <f>H14+真實IC!I14</f>
        <v>0.65839278990879768</v>
      </c>
      <c r="J14" s="8">
        <f>I14+真實IC!J14</f>
        <v>0.6817027618737086</v>
      </c>
      <c r="K14" s="8">
        <f>J14+真實IC!K14</f>
        <v>0.73253022813455659</v>
      </c>
      <c r="L14" s="8">
        <f>K14+真實IC!L14</f>
        <v>0.74101043866087235</v>
      </c>
      <c r="M14" s="8">
        <f>L14+真實IC!M14</f>
        <v>0.72198872419588833</v>
      </c>
      <c r="N14" s="8">
        <f>M14+真實IC!N14</f>
        <v>0.92682140840641458</v>
      </c>
      <c r="O14" s="8">
        <f>N14+真實IC!O14</f>
        <v>0.92831581634496307</v>
      </c>
      <c r="P14" s="8">
        <f>O14+真實IC!P14</f>
        <v>0.98666173824320436</v>
      </c>
      <c r="Q14" s="8">
        <f>P14+真實IC!Q14</f>
        <v>1.110765609414653</v>
      </c>
      <c r="R14" s="8">
        <f>Q14+真實IC!R14</f>
        <v>1.0948244221175512</v>
      </c>
      <c r="S14" s="8">
        <f>R14+真實IC!S14</f>
        <v>1.2607176493022598</v>
      </c>
      <c r="T14" s="8">
        <f>S14+真實IC!T14</f>
        <v>1.2957372041366599</v>
      </c>
      <c r="U14" s="8">
        <f>T14+真實IC!U14</f>
        <v>1.4000038687723075</v>
      </c>
      <c r="V14" s="8">
        <f>U14+真實IC!V14</f>
        <v>1.420092995957686</v>
      </c>
      <c r="W14" s="8">
        <f>V14+真實IC!W14</f>
        <v>1.5362583643787386</v>
      </c>
      <c r="X14" s="8">
        <f>W14+真實IC!X14</f>
        <v>1.7229440599890855</v>
      </c>
      <c r="Y14" s="8">
        <f>X14+真實IC!Y14</f>
        <v>1.7281639345846174</v>
      </c>
      <c r="Z14" s="8">
        <f>Y14+真實IC!Z14</f>
        <v>1.7666758608649251</v>
      </c>
      <c r="AA14" s="8">
        <f>Z14+真實IC!AA14</f>
        <v>1.8665817403622498</v>
      </c>
      <c r="AB14" s="8">
        <f>AA14+真實IC!AB14</f>
        <v>1.93735111770948</v>
      </c>
      <c r="AC14" s="8">
        <f>AB14+真實IC!AC14</f>
        <v>1.9342645553706908</v>
      </c>
      <c r="AD14" s="8">
        <f>AC14+真實IC!AD14</f>
        <v>1.9735925027391119</v>
      </c>
      <c r="AE14" s="8">
        <f>AD14+真實IC!AE14</f>
        <v>2.0904294225786781</v>
      </c>
      <c r="AF14" s="8">
        <f>AE14+真實IC!AF14</f>
        <v>2.1865095180353116</v>
      </c>
      <c r="AG14" s="8">
        <f>AF14+真實IC!AG14</f>
        <v>2.2070304126818741</v>
      </c>
      <c r="AH14" s="8">
        <f>AG14+真實IC!AH14</f>
        <v>2.21228069061238</v>
      </c>
      <c r="AI14" s="8">
        <f>AH14+真實IC!AI14</f>
        <v>2.2232460064018538</v>
      </c>
      <c r="AJ14" s="8">
        <f>AI14+真實IC!AJ14</f>
        <v>2.2383050424850048</v>
      </c>
      <c r="AK14" s="8">
        <f>AJ14+真實IC!AK14</f>
        <v>2.3152164733433067</v>
      </c>
      <c r="AL14" s="8">
        <f>AK14+真實IC!AL14</f>
        <v>2.3337755786064647</v>
      </c>
      <c r="AM14" s="8">
        <f>AL14+真實IC!AM14</f>
        <v>2.3950177449850898</v>
      </c>
      <c r="AN14" s="8">
        <f>AM14+真實IC!AN14</f>
        <v>2.4936124117546337</v>
      </c>
      <c r="AO14" s="8">
        <f>AN14+真實IC!AO14</f>
        <v>2.4555680592125722</v>
      </c>
      <c r="AP14" s="8">
        <f>AO14+真實IC!AP14</f>
        <v>2.5255445843646562</v>
      </c>
      <c r="AQ14" s="8">
        <f>AP14+真實IC!AQ14</f>
        <v>2.533671005417288</v>
      </c>
      <c r="AR14" s="8">
        <f>AQ14+真實IC!AR14</f>
        <v>2.5155005317330774</v>
      </c>
      <c r="AS14" s="8">
        <f>AR14+真實IC!AS14</f>
        <v>2.5088311933433878</v>
      </c>
      <c r="AT14" s="8">
        <f>AS14+真實IC!AT14</f>
        <v>2.5882346730540258</v>
      </c>
      <c r="AU14" s="8">
        <f>AT14+真實IC!AU14</f>
        <v>2.7260877783171837</v>
      </c>
      <c r="AV14" s="8">
        <f>AU14+真實IC!AV14</f>
        <v>2.7923465275334425</v>
      </c>
      <c r="AW14" s="8">
        <f>AV14+真實IC!AW14</f>
        <v>2.84627520876287</v>
      </c>
      <c r="AX14" s="8">
        <f>AW14+真實IC!AX14</f>
        <v>2.8656454221383605</v>
      </c>
      <c r="AY14" s="8">
        <f>AX14+真實IC!AY14</f>
        <v>2.8807135409101221</v>
      </c>
      <c r="AZ14" s="8">
        <f>AY14+真實IC!AZ14</f>
        <v>2.906342540910122</v>
      </c>
      <c r="BA14" s="8">
        <f>AZ14+真實IC!BA14</f>
        <v>3.0026799619627536</v>
      </c>
      <c r="BB14" s="8">
        <f>BA14+真實IC!BB14</f>
        <v>3.112991210863874</v>
      </c>
      <c r="BC14" s="8">
        <f>BB14+真實IC!BC14</f>
        <v>3.0844855273645679</v>
      </c>
      <c r="BD14" s="8">
        <f>BC14+真實IC!BD14</f>
        <v>3.1009044221014102</v>
      </c>
      <c r="BE14" s="8">
        <f>BD14+真實IC!BE14</f>
        <v>3.170986192250739</v>
      </c>
      <c r="BF14" s="8">
        <f>BE14+真實IC!BF14</f>
        <v>3.3248154538247472</v>
      </c>
      <c r="BG14" s="8">
        <f>BF14+真實IC!BG14</f>
        <v>3.4501207602643369</v>
      </c>
      <c r="BH14" s="8">
        <f>BG14+真實IC!BH14</f>
        <v>3.5235342244430621</v>
      </c>
      <c r="BI14" s="8">
        <f>BH14+真實IC!BI14</f>
        <v>3.5737194373339158</v>
      </c>
      <c r="BJ14" s="8">
        <f>BI14+真實IC!BJ14</f>
        <v>3.597737332070758</v>
      </c>
      <c r="BK14" s="8">
        <f>BJ14+真實IC!BK14</f>
        <v>3.5645001215444423</v>
      </c>
      <c r="BL14" s="8">
        <f>BK14+真實IC!BL14</f>
        <v>3.6244970170718824</v>
      </c>
      <c r="BM14" s="8">
        <f>BL14+真實IC!BM14</f>
        <v>3.670775342074883</v>
      </c>
      <c r="BN14" s="8">
        <f>BM14+真實IC!BN14</f>
        <v>3.6241984999696197</v>
      </c>
      <c r="BO14" s="8">
        <f>BN14+真實IC!BO14</f>
        <v>3.6578075456468842</v>
      </c>
      <c r="BP14" s="8">
        <f>BO14+真實IC!BP14</f>
        <v>3.6074758614363578</v>
      </c>
      <c r="BQ14" s="8">
        <f>BP14+真實IC!BQ14</f>
        <v>3.6233193853063086</v>
      </c>
      <c r="BR14" s="8">
        <f>BQ14+真實IC!BR14</f>
        <v>3.7233718083816951</v>
      </c>
      <c r="BS14" s="8">
        <f>BR14+真實IC!BS14</f>
        <v>3.7537045323684657</v>
      </c>
      <c r="BT14" s="8">
        <f>BS14+真實IC!BT14</f>
        <v>3.738416216578992</v>
      </c>
      <c r="BU14" s="8">
        <f>BT14+真實IC!BU14</f>
        <v>3.8495763218421502</v>
      </c>
      <c r="BV14" s="8">
        <f>BU14+真實IC!BV14</f>
        <v>3.9575579550421449</v>
      </c>
      <c r="BW14" s="8">
        <f>BV14+真實IC!BW14</f>
        <v>4.0884554635993302</v>
      </c>
      <c r="BX14" s="8">
        <f>BW14+真實IC!BX14</f>
        <v>4.0881480951782772</v>
      </c>
      <c r="BY14" s="8">
        <f>BX14+真實IC!BY14</f>
        <v>4.0455436055249283</v>
      </c>
      <c r="BZ14" s="8">
        <f>BY14+真實IC!BZ14</f>
        <v>4.1055776623537108</v>
      </c>
      <c r="CA14" s="8">
        <f>BZ14+真實IC!CA14</f>
        <v>4.1300429284686482</v>
      </c>
      <c r="CB14" s="8">
        <f>CA14+真實IC!CB14</f>
        <v>4.2945087179423327</v>
      </c>
      <c r="CC14" s="8">
        <f>CB14+真實IC!CC14</f>
        <v>4.4151039284686489</v>
      </c>
      <c r="CD14" s="8">
        <f>CC14+真實IC!CD14</f>
        <v>4.5131206384008467</v>
      </c>
      <c r="CE14" s="8">
        <f>CD14+真實IC!CE14</f>
        <v>4.6836754805061096</v>
      </c>
      <c r="CF14" s="8">
        <f>CE14+真實IC!CF14</f>
        <v>4.7760061637881712</v>
      </c>
      <c r="CG14" s="8">
        <f>CF14+真實IC!CG14</f>
        <v>4.8333268274559922</v>
      </c>
      <c r="CH14" s="8">
        <f>CG14+真實IC!CH14</f>
        <v>4.8979882197342093</v>
      </c>
      <c r="CI14" s="8">
        <f>CH14+真實IC!CI14</f>
        <v>5.0038729970975684</v>
      </c>
      <c r="CJ14" s="8">
        <f>CI14+真實IC!CJ14</f>
        <v>5.02166911344671</v>
      </c>
      <c r="CK14" s="8">
        <f>CJ14+真實IC!CK14</f>
        <v>5.0754611999607029</v>
      </c>
      <c r="CL14" s="8">
        <f>CK14+真實IC!CL14</f>
        <v>5.137731154839539</v>
      </c>
      <c r="CM14" s="8">
        <f>CL14+真實IC!CM14</f>
        <v>5.2477989969448018</v>
      </c>
      <c r="CN14" s="8">
        <f>CM14+真實IC!CN14</f>
        <v>5.422394671629859</v>
      </c>
      <c r="CO14" s="8">
        <f>CN14+真實IC!CO14</f>
        <v>5.5956439347877538</v>
      </c>
      <c r="CP14" s="8">
        <f>CO14+真實IC!CP14</f>
        <v>5.6954532662695065</v>
      </c>
      <c r="CQ14" s="8">
        <f>CP14+真實IC!CQ14</f>
        <v>5.727681166156894</v>
      </c>
      <c r="CR14" s="8">
        <f>CQ14+真實IC!CR14</f>
        <v>5.9354008787475419</v>
      </c>
      <c r="CS14" s="8">
        <f>CR14+真實IC!CS14</f>
        <v>5.9309882452142926</v>
      </c>
      <c r="CT14" s="8">
        <f>CS14+真實IC!CT14</f>
        <v>5.9928604557406082</v>
      </c>
      <c r="CU14" s="8">
        <f>CT14+真實IC!CU14</f>
        <v>6.0944054556973226</v>
      </c>
      <c r="CV14" s="8">
        <f>CU14+真實IC!CV14</f>
        <v>6.245802296854956</v>
      </c>
      <c r="CW14" s="8">
        <f>CV14+真實IC!CW14</f>
        <v>6.2905661812982157</v>
      </c>
      <c r="CX14" s="8">
        <f>CW14+真實IC!CX14</f>
        <v>6.326865590186455</v>
      </c>
      <c r="CY14" s="8">
        <f>CX14+真實IC!CY14</f>
        <v>6.3770036428180337</v>
      </c>
      <c r="CZ14" s="8">
        <f>CY14+真實IC!CZ14</f>
        <v>6.4410672061684169</v>
      </c>
      <c r="DA14" s="8">
        <f>CZ14+真實IC!DA14</f>
        <v>6.5064597851157853</v>
      </c>
      <c r="DB14" s="8">
        <f>DA14+真實IC!DB14</f>
        <v>6.6110678377473642</v>
      </c>
      <c r="DC14" s="8">
        <f>DB14+真實IC!DC14</f>
        <v>6.6347004469522117</v>
      </c>
      <c r="DD14" s="8">
        <f>DC14+真實IC!DD14</f>
        <v>6.7139057988003961</v>
      </c>
      <c r="DE14" s="8">
        <f>DD14+真實IC!DE14</f>
        <v>6.776432722806855</v>
      </c>
      <c r="DF14" s="8">
        <f>DE14+真實IC!DF14</f>
        <v>6.9779971964910654</v>
      </c>
      <c r="DG14" s="8">
        <f>DF14+真實IC!DG14</f>
        <v>7.0235808280700125</v>
      </c>
      <c r="DH14" s="8">
        <f>DG14+真實IC!DH14</f>
        <v>7.0823234070173813</v>
      </c>
      <c r="DI14" s="8">
        <f>DH14+真實IC!DI14</f>
        <v>7.168970196491065</v>
      </c>
      <c r="DJ14" s="8">
        <f>DI14+真實IC!DJ14</f>
        <v>7.177764225878386</v>
      </c>
      <c r="DK14" s="8">
        <f>DJ14+真實IC!DK14</f>
        <v>7.2593859100889127</v>
      </c>
      <c r="DL14" s="8">
        <f>DK14+真實IC!DL14</f>
        <v>7.3001407819208115</v>
      </c>
      <c r="DM14" s="8">
        <f>DL14+真實IC!DM14</f>
        <v>7.3012614661313382</v>
      </c>
      <c r="DN14" s="8">
        <f>DM14+真實IC!DN14</f>
        <v>7.3439239620246024</v>
      </c>
      <c r="DO14" s="8">
        <f>DN14+真實IC!DO14</f>
        <v>7.446515962024602</v>
      </c>
      <c r="DP14" s="8">
        <f>DO14+真實IC!DP14</f>
        <v>7.5094307700949026</v>
      </c>
      <c r="DQ14" s="8">
        <f>DP14+真實IC!DQ14</f>
        <v>7.5806033346760353</v>
      </c>
      <c r="DR14" s="8">
        <f>DQ14+真實IC!DR14</f>
        <v>7.6332258541350351</v>
      </c>
      <c r="DS14" s="8">
        <f>DR14+真實IC!DS14</f>
        <v>7.6892775383455616</v>
      </c>
      <c r="DT14" s="8">
        <f>DS14+真實IC!DT14</f>
        <v>7.6970318286846444</v>
      </c>
      <c r="DU14" s="8">
        <f>DT14+真實IC!DU14</f>
        <v>7.7658280918425389</v>
      </c>
      <c r="DV14" s="8">
        <f>DU14+真實IC!DV14</f>
        <v>7.8740904463726462</v>
      </c>
      <c r="DW14" s="8">
        <f>DV14+真實IC!DW14</f>
        <v>7.8759003411094879</v>
      </c>
      <c r="DX14" s="8">
        <f>DW14+真實IC!DX14</f>
        <v>7.9778318466619087</v>
      </c>
      <c r="DY14" s="8">
        <f>DX14+真實IC!DY14</f>
        <v>8.0520896887671718</v>
      </c>
      <c r="DZ14" s="8">
        <f>DY14+真實IC!DZ14</f>
        <v>8.0871205835040136</v>
      </c>
      <c r="EA14" s="8">
        <f>DZ14+真實IC!EA14</f>
        <v>8.150033268076756</v>
      </c>
      <c r="EB14" s="8">
        <f>EA14+真實IC!EB14</f>
        <v>8.2282130987770188</v>
      </c>
      <c r="EC14" s="8">
        <f>EB14+真實IC!EC14</f>
        <v>8.2342924809251521</v>
      </c>
      <c r="ED14" s="8">
        <f>EC14+真實IC!ED14</f>
        <v>8.3369221901113395</v>
      </c>
      <c r="EE14" s="8">
        <f>ED14+真實IC!EE14</f>
        <v>8.3335229269534441</v>
      </c>
      <c r="EF14" s="8">
        <f>EE14+真實IC!EF14</f>
        <v>8.3590471374797595</v>
      </c>
    </row>
    <row r="15" spans="1:136">
      <c r="A15" s="7"/>
      <c r="B15" s="18" t="s">
        <v>224</v>
      </c>
      <c r="C15" s="6">
        <v>0.22764499999999999</v>
      </c>
      <c r="D15" s="8">
        <f>C15+真實IC!D15</f>
        <v>0.60035470000000002</v>
      </c>
      <c r="E15" s="8">
        <f>D15+真實IC!E15</f>
        <v>0.66239930000000002</v>
      </c>
      <c r="F15" s="8">
        <f>E15+真實IC!F15</f>
        <v>0.6274778634433027</v>
      </c>
      <c r="G15" s="8">
        <f>F15+真實IC!G15</f>
        <v>0.66188178441033918</v>
      </c>
      <c r="H15" s="8">
        <f>G15+真實IC!H15</f>
        <v>0.78072618441033914</v>
      </c>
      <c r="I15" s="8">
        <f>H15+真實IC!I15</f>
        <v>0.83915762869020472</v>
      </c>
      <c r="J15" s="8">
        <f>I15+真實IC!J15</f>
        <v>0.88911909393759436</v>
      </c>
      <c r="K15" s="8">
        <f>J15+真實IC!K15</f>
        <v>0.98363389152952529</v>
      </c>
      <c r="L15" s="8">
        <f>K15+真實IC!L15</f>
        <v>0.97066699152952529</v>
      </c>
      <c r="M15" s="8">
        <f>L15+真實IC!M15</f>
        <v>0.96853397509323758</v>
      </c>
      <c r="N15" s="8">
        <f>M15+真實IC!N15</f>
        <v>1.2988435750932377</v>
      </c>
      <c r="O15" s="8">
        <f>N15+真實IC!O15</f>
        <v>1.2865727793340849</v>
      </c>
      <c r="P15" s="8">
        <f>O15+真實IC!P15</f>
        <v>1.3506889623557465</v>
      </c>
      <c r="Q15" s="8">
        <f>P15+真實IC!Q15</f>
        <v>1.506225804463559</v>
      </c>
      <c r="R15" s="8">
        <f>Q15+真實IC!R15</f>
        <v>1.4540961143584417</v>
      </c>
      <c r="S15" s="8">
        <f>R15+真實IC!S15</f>
        <v>1.7241040094405955</v>
      </c>
      <c r="T15" s="8">
        <f>S15+真實IC!T15</f>
        <v>1.7699950865577798</v>
      </c>
      <c r="U15" s="8">
        <f>T15+真實IC!U15</f>
        <v>1.9069631482250486</v>
      </c>
      <c r="V15" s="8">
        <f>U15+真實IC!V15</f>
        <v>1.8898312948769358</v>
      </c>
      <c r="W15" s="8">
        <f>V15+真實IC!W15</f>
        <v>1.9967658948769358</v>
      </c>
      <c r="X15" s="8">
        <f>W15+真實IC!X15</f>
        <v>2.2079522222073176</v>
      </c>
      <c r="Y15" s="8">
        <f>X15+真實IC!Y15</f>
        <v>2.1873222478414975</v>
      </c>
      <c r="Z15" s="8">
        <f>Y15+真實IC!Z15</f>
        <v>2.2340422198948562</v>
      </c>
      <c r="AA15" s="8">
        <f>Z15+真實IC!AA15</f>
        <v>2.3948926041079206</v>
      </c>
      <c r="AB15" s="8">
        <f>AA15+真實IC!AB15</f>
        <v>2.478592776623751</v>
      </c>
      <c r="AC15" s="8">
        <f>AB15+真實IC!AC15</f>
        <v>2.4829104454718061</v>
      </c>
      <c r="AD15" s="8">
        <f>AC15+真實IC!AD15</f>
        <v>2.5226008454718061</v>
      </c>
      <c r="AE15" s="8">
        <f>AD15+真實IC!AE15</f>
        <v>2.7343934885190779</v>
      </c>
      <c r="AF15" s="8">
        <f>AE15+真實IC!AF15</f>
        <v>2.8721197756967323</v>
      </c>
      <c r="AG15" s="8">
        <f>AF15+真實IC!AG15</f>
        <v>2.882243253958388</v>
      </c>
      <c r="AH15" s="8">
        <f>AG15+真實IC!AH15</f>
        <v>2.8486388806007117</v>
      </c>
      <c r="AI15" s="8">
        <f>AH15+真實IC!AI15</f>
        <v>2.9229162806007118</v>
      </c>
      <c r="AJ15" s="8">
        <f>AI15+真實IC!AJ15</f>
        <v>2.9323811405681877</v>
      </c>
      <c r="AK15" s="8">
        <f>AJ15+真實IC!AK15</f>
        <v>2.9941407602266326</v>
      </c>
      <c r="AL15" s="8">
        <f>AK15+真實IC!AL15</f>
        <v>2.9872579602266325</v>
      </c>
      <c r="AM15" s="8">
        <f>AL15+真實IC!AM15</f>
        <v>3.0423805823612597</v>
      </c>
      <c r="AN15" s="8">
        <f>AM15+真實IC!AN15</f>
        <v>3.1440692882736432</v>
      </c>
      <c r="AO15" s="8">
        <f>AN15+真實IC!AO15</f>
        <v>3.092684768033676</v>
      </c>
      <c r="AP15" s="8">
        <f>AO15+真實IC!AP15</f>
        <v>3.1709704619264301</v>
      </c>
      <c r="AQ15" s="8">
        <f>AP15+真實IC!AQ15</f>
        <v>3.1907177619264302</v>
      </c>
      <c r="AR15" s="8">
        <f>AQ15+真實IC!AR15</f>
        <v>3.1661674619264302</v>
      </c>
      <c r="AS15" s="8">
        <f>AR15+真實IC!AS15</f>
        <v>3.1174342405723285</v>
      </c>
      <c r="AT15" s="8">
        <f>AS15+真實IC!AT15</f>
        <v>3.1884240531760337</v>
      </c>
      <c r="AU15" s="8">
        <f>AT15+真實IC!AU15</f>
        <v>3.3555330531760337</v>
      </c>
      <c r="AV15" s="8">
        <f>AU15+真實IC!AV15</f>
        <v>3.3928309818751443</v>
      </c>
      <c r="AW15" s="8">
        <f>AV15+真實IC!AW15</f>
        <v>3.4845584546684951</v>
      </c>
      <c r="AX15" s="8">
        <f>AW15+真實IC!AX15</f>
        <v>3.5659190206232632</v>
      </c>
      <c r="AY15" s="8">
        <f>AX15+真實IC!AY15</f>
        <v>3.5939360847332962</v>
      </c>
      <c r="AZ15" s="8">
        <f>AY15+真實IC!AZ15</f>
        <v>3.630784184733296</v>
      </c>
      <c r="BA15" s="8">
        <f>AZ15+真實IC!BA15</f>
        <v>3.7884724847332958</v>
      </c>
      <c r="BB15" s="8">
        <f>BA15+真實IC!BB15</f>
        <v>3.9861856342376365</v>
      </c>
      <c r="BC15" s="8">
        <f>BB15+真實IC!BC15</f>
        <v>3.9552489426152864</v>
      </c>
      <c r="BD15" s="8">
        <f>BC15+真實IC!BD15</f>
        <v>3.9626136426152865</v>
      </c>
      <c r="BE15" s="8">
        <f>BD15+真實IC!BE15</f>
        <v>4.004011613312195</v>
      </c>
      <c r="BF15" s="8">
        <f>BE15+真實IC!BF15</f>
        <v>4.214883700802182</v>
      </c>
      <c r="BG15" s="8">
        <f>BF15+真實IC!BG15</f>
        <v>4.3809349162667788</v>
      </c>
      <c r="BH15" s="8">
        <f>BG15+真實IC!BH15</f>
        <v>4.4795839626731997</v>
      </c>
      <c r="BI15" s="8">
        <f>BH15+真實IC!BI15</f>
        <v>4.5481706217881692</v>
      </c>
      <c r="BJ15" s="8">
        <f>BI15+真實IC!BJ15</f>
        <v>4.6233256217881689</v>
      </c>
      <c r="BK15" s="8">
        <f>BJ15+真實IC!BK15</f>
        <v>4.5504564217881684</v>
      </c>
      <c r="BL15" s="8">
        <f>BK15+真實IC!BL15</f>
        <v>4.6102118427624896</v>
      </c>
      <c r="BM15" s="8">
        <f>BL15+真實IC!BM15</f>
        <v>4.6584308472502336</v>
      </c>
      <c r="BN15" s="8">
        <f>BM15+真實IC!BN15</f>
        <v>4.5923759472502335</v>
      </c>
      <c r="BO15" s="8">
        <f>BN15+真實IC!BO15</f>
        <v>4.6201104232051646</v>
      </c>
      <c r="BP15" s="8">
        <f>BO15+真實IC!BP15</f>
        <v>4.5684946232051642</v>
      </c>
      <c r="BQ15" s="8">
        <f>BP15+真實IC!BQ15</f>
        <v>4.5812975544954924</v>
      </c>
      <c r="BR15" s="8">
        <f>BQ15+真實IC!BR15</f>
        <v>4.7050596909319475</v>
      </c>
      <c r="BS15" s="8">
        <f>BR15+真實IC!BS15</f>
        <v>4.7169256018405594</v>
      </c>
      <c r="BT15" s="8">
        <f>BS15+真實IC!BT15</f>
        <v>4.7535582018405593</v>
      </c>
      <c r="BU15" s="8">
        <f>BT15+真實IC!BU15</f>
        <v>4.8391047018405597</v>
      </c>
      <c r="BV15" s="8">
        <f>BU15+真實IC!BV15</f>
        <v>4.9437447461342501</v>
      </c>
      <c r="BW15" s="8">
        <f>BV15+真實IC!BW15</f>
        <v>5.2426237357101781</v>
      </c>
      <c r="BX15" s="8">
        <f>BW15+真實IC!BX15</f>
        <v>5.2665737357101783</v>
      </c>
      <c r="BY15" s="8">
        <f>BX15+真實IC!BY15</f>
        <v>5.1405501621330911</v>
      </c>
      <c r="BZ15" s="8">
        <f>BY15+真實IC!BZ15</f>
        <v>5.2434566311104387</v>
      </c>
      <c r="CA15" s="8">
        <f>BZ15+真實IC!CA15</f>
        <v>5.2620486519068805</v>
      </c>
      <c r="CB15" s="8">
        <f>CA15+真實IC!CB15</f>
        <v>5.393140251906881</v>
      </c>
      <c r="CC15" s="8">
        <f>CB15+真實IC!CC15</f>
        <v>5.566789851906881</v>
      </c>
      <c r="CD15" s="8">
        <f>CC15+真實IC!CD15</f>
        <v>5.6869419358699655</v>
      </c>
      <c r="CE15" s="8">
        <f>CD15+真實IC!CE15</f>
        <v>5.760309335869966</v>
      </c>
      <c r="CF15" s="8">
        <f>CE15+真實IC!CF15</f>
        <v>5.8546659862633863</v>
      </c>
      <c r="CG15" s="8">
        <f>CF15+真實IC!CG15</f>
        <v>5.9405520077935501</v>
      </c>
      <c r="CH15" s="8">
        <f>CG15+真實IC!CH15</f>
        <v>6.003437966077251</v>
      </c>
      <c r="CI15" s="8">
        <f>CH15+真實IC!CI15</f>
        <v>6.0422363809722315</v>
      </c>
      <c r="CJ15" s="8">
        <f>CI15+真實IC!CJ15</f>
        <v>6.0829080979192929</v>
      </c>
      <c r="CK15" s="8">
        <f>CJ15+真實IC!CK15</f>
        <v>6.1785488460919984</v>
      </c>
      <c r="CL15" s="8">
        <f>CK15+真實IC!CL15</f>
        <v>6.2099708210852471</v>
      </c>
      <c r="CM15" s="8">
        <f>CL15+真實IC!CM15</f>
        <v>6.318088721085247</v>
      </c>
      <c r="CN15" s="8">
        <f>CM15+真實IC!CN15</f>
        <v>6.4612385380564872</v>
      </c>
      <c r="CO15" s="8">
        <f>CN15+真實IC!CO15</f>
        <v>6.6345984380564875</v>
      </c>
      <c r="CP15" s="8">
        <f>CO15+真實IC!CP15</f>
        <v>6.762134273489437</v>
      </c>
      <c r="CQ15" s="8">
        <f>CP15+真實IC!CQ15</f>
        <v>6.7371709130329984</v>
      </c>
      <c r="CR15" s="8">
        <f>CQ15+真實IC!CR15</f>
        <v>6.9186598452687331</v>
      </c>
      <c r="CS15" s="8">
        <f>CR15+真實IC!CS15</f>
        <v>6.9251428963677784</v>
      </c>
      <c r="CT15" s="8">
        <f>CS15+真實IC!CT15</f>
        <v>6.9573597963677782</v>
      </c>
      <c r="CU15" s="8">
        <f>CT15+真實IC!CU15</f>
        <v>7.0814097277816463</v>
      </c>
      <c r="CV15" s="8">
        <f>CU15+真實IC!CV15</f>
        <v>7.2640212754985622</v>
      </c>
      <c r="CW15" s="8">
        <f>CV15+真實IC!CW15</f>
        <v>7.2900933664016891</v>
      </c>
      <c r="CX15" s="8">
        <f>CW15+真實IC!CX15</f>
        <v>7.3141329734550204</v>
      </c>
      <c r="CY15" s="8">
        <f>CX15+真實IC!CY15</f>
        <v>7.3698658734550202</v>
      </c>
      <c r="CZ15" s="8">
        <f>CY15+真實IC!CZ15</f>
        <v>7.4497528213993629</v>
      </c>
      <c r="DA15" s="8">
        <f>CZ15+真實IC!DA15</f>
        <v>7.538614621399363</v>
      </c>
      <c r="DB15" s="8">
        <f>DA15+真實IC!DB15</f>
        <v>7.6356623213993631</v>
      </c>
      <c r="DC15" s="8">
        <f>DB15+真實IC!DC15</f>
        <v>7.6707374713739451</v>
      </c>
      <c r="DD15" s="8">
        <f>DC15+真實IC!DD15</f>
        <v>7.6852441975053916</v>
      </c>
      <c r="DE15" s="8">
        <f>DD15+真實IC!DE15</f>
        <v>7.7424078322366441</v>
      </c>
      <c r="DF15" s="8">
        <f>DE15+真實IC!DF15</f>
        <v>8.045129432236644</v>
      </c>
      <c r="DG15" s="8">
        <f>DF15+真實IC!DG15</f>
        <v>8.0930472322366445</v>
      </c>
      <c r="DH15" s="8">
        <f>DG15+真實IC!DH15</f>
        <v>8.2226707322366437</v>
      </c>
      <c r="DI15" s="8">
        <f>DH15+真實IC!DI15</f>
        <v>8.2654817322366441</v>
      </c>
      <c r="DJ15" s="8">
        <f>DI15+真實IC!DJ15</f>
        <v>8.3255055089277015</v>
      </c>
      <c r="DK15" s="8">
        <f>DJ15+真實IC!DK15</f>
        <v>8.4258345089277018</v>
      </c>
      <c r="DL15" s="8">
        <f>DK15+真實IC!DL15</f>
        <v>8.4255305157248745</v>
      </c>
      <c r="DM15" s="8">
        <f>DL15+真實IC!DM15</f>
        <v>8.423757015724874</v>
      </c>
      <c r="DN15" s="8">
        <f>DM15+真實IC!DN15</f>
        <v>8.4677535131484944</v>
      </c>
      <c r="DO15" s="8">
        <f>DN15+真實IC!DO15</f>
        <v>8.627299113148494</v>
      </c>
      <c r="DP15" s="8">
        <f>DO15+真實IC!DP15</f>
        <v>8.7616040605138608</v>
      </c>
      <c r="DQ15" s="8">
        <f>DP15+真實IC!DQ15</f>
        <v>8.7986427494660582</v>
      </c>
      <c r="DR15" s="8">
        <f>DQ15+真實IC!DR15</f>
        <v>8.8686533160839964</v>
      </c>
      <c r="DS15" s="8">
        <f>DR15+真實IC!DS15</f>
        <v>8.9061832160839955</v>
      </c>
      <c r="DT15" s="8">
        <f>DS15+真實IC!DT15</f>
        <v>8.9589020060730657</v>
      </c>
      <c r="DU15" s="8">
        <f>DT15+真實IC!DU15</f>
        <v>9.0760305060730655</v>
      </c>
      <c r="DV15" s="8">
        <f>DU15+真實IC!DV15</f>
        <v>9.2157988630139371</v>
      </c>
      <c r="DW15" s="8">
        <f>DV15+真實IC!DW15</f>
        <v>9.154972063013938</v>
      </c>
      <c r="DX15" s="8">
        <f>DW15+真實IC!DX15</f>
        <v>9.2735883136639252</v>
      </c>
      <c r="DY15" s="8">
        <f>DX15+真實IC!DY15</f>
        <v>9.4171979136639248</v>
      </c>
      <c r="DZ15" s="8">
        <f>DY15+真實IC!DZ15</f>
        <v>9.457653113663925</v>
      </c>
      <c r="EA15" s="8">
        <f>DZ15+真實IC!EA15</f>
        <v>9.5011043339442498</v>
      </c>
      <c r="EB15" s="8">
        <f>EA15+真實IC!EB15</f>
        <v>9.5891917834715041</v>
      </c>
      <c r="EC15" s="8">
        <f>EB15+真實IC!EC15</f>
        <v>9.6552736395194501</v>
      </c>
      <c r="ED15" s="8">
        <f>EC15+真實IC!ED15</f>
        <v>9.7686306954547621</v>
      </c>
      <c r="EE15" s="8">
        <f>ED15+真實IC!EE15</f>
        <v>9.7718208954547627</v>
      </c>
      <c r="EF15" s="8">
        <f>EE15+真實IC!EF15</f>
        <v>9.8014649954547632</v>
      </c>
    </row>
    <row r="16" spans="1:136">
      <c r="A16" s="7"/>
      <c r="B16" s="18" t="s">
        <v>225</v>
      </c>
      <c r="C16" s="6">
        <v>0.207875</v>
      </c>
      <c r="D16" s="8">
        <f>C16+真實IC!D16</f>
        <v>0.61607044444444437</v>
      </c>
      <c r="E16" s="8">
        <f>D16+真實IC!E16</f>
        <v>0.68107533333333325</v>
      </c>
      <c r="F16" s="8">
        <f>E16+真實IC!F16</f>
        <v>0.60235986142900222</v>
      </c>
      <c r="G16" s="8">
        <f>F16+真實IC!G16</f>
        <v>0.61050641208795153</v>
      </c>
      <c r="H16" s="8">
        <f>G16+真實IC!H16</f>
        <v>0.6833551898657293</v>
      </c>
      <c r="I16" s="8">
        <f>H16+真實IC!I16</f>
        <v>0.74088580853135078</v>
      </c>
      <c r="J16" s="8">
        <f>I16+真實IC!J16</f>
        <v>0.78759573457401699</v>
      </c>
      <c r="K16" s="8">
        <f>J16+真實IC!K16</f>
        <v>0.87401662615640752</v>
      </c>
      <c r="L16" s="8">
        <f>K16+真實IC!L16</f>
        <v>0.84299007060085196</v>
      </c>
      <c r="M16" s="8">
        <f>L16+真實IC!M16</f>
        <v>0.82900263473893487</v>
      </c>
      <c r="N16" s="8">
        <f>M16+真實IC!N16</f>
        <v>1.1959905236278239</v>
      </c>
      <c r="O16" s="8">
        <f>N16+真實IC!O16</f>
        <v>1.1674034467488448</v>
      </c>
      <c r="P16" s="8">
        <f>O16+真實IC!P16</f>
        <v>1.2284486785402671</v>
      </c>
      <c r="Q16" s="8">
        <f>P16+真實IC!Q16</f>
        <v>1.3863517489646051</v>
      </c>
      <c r="R16" s="8">
        <f>Q16+真實IC!R16</f>
        <v>1.3373607706816786</v>
      </c>
      <c r="S16" s="8">
        <f>R16+真實IC!S16</f>
        <v>1.6244237910804733</v>
      </c>
      <c r="T16" s="8">
        <f>S16+真實IC!T16</f>
        <v>1.6628304643740852</v>
      </c>
      <c r="U16" s="8">
        <f>T16+真實IC!U16</f>
        <v>1.7928929358038297</v>
      </c>
      <c r="V16" s="8">
        <f>U16+真實IC!V16</f>
        <v>1.7868707904708641</v>
      </c>
      <c r="W16" s="8">
        <f>V16+真實IC!W16</f>
        <v>1.8652442349153084</v>
      </c>
      <c r="X16" s="8">
        <f>W16+真實IC!X16</f>
        <v>2.1057761965424744</v>
      </c>
      <c r="Y16" s="8">
        <f>X16+真實IC!Y16</f>
        <v>2.0855956081228388</v>
      </c>
      <c r="Z16" s="8">
        <f>Y16+真實IC!Z16</f>
        <v>2.1286535390070505</v>
      </c>
      <c r="AA16" s="8">
        <f>Z16+真實IC!AA16</f>
        <v>2.2948124303043675</v>
      </c>
      <c r="AB16" s="8">
        <f>AA16+真實IC!AB16</f>
        <v>2.369797471942348</v>
      </c>
      <c r="AC16" s="8">
        <f>AB16+真實IC!AC16</f>
        <v>2.3570320239069313</v>
      </c>
      <c r="AD16" s="8">
        <f>AC16+真實IC!AD16</f>
        <v>2.3918430239069313</v>
      </c>
      <c r="AE16" s="8">
        <f>AD16+真實IC!AE16</f>
        <v>2.6014712650838416</v>
      </c>
      <c r="AF16" s="8">
        <f>AE16+真實IC!AF16</f>
        <v>2.749386875348268</v>
      </c>
      <c r="AG16" s="8">
        <f>AF16+真實IC!AG16</f>
        <v>2.7626776283848034</v>
      </c>
      <c r="AH16" s="8">
        <f>AG16+真實IC!AH16</f>
        <v>2.7309122279353626</v>
      </c>
      <c r="AI16" s="8">
        <f>AH16+真實IC!AI16</f>
        <v>2.8214353390464737</v>
      </c>
      <c r="AJ16" s="8">
        <f>AI16+真實IC!AJ16</f>
        <v>2.8144093729745978</v>
      </c>
      <c r="AK16" s="8">
        <f>AJ16+真實IC!AK16</f>
        <v>2.8788307738069698</v>
      </c>
      <c r="AL16" s="8">
        <f>AK16+真實IC!AL16</f>
        <v>2.8643571071403033</v>
      </c>
      <c r="AM16" s="8">
        <f>AL16+真實IC!AM16</f>
        <v>2.9304338377421013</v>
      </c>
      <c r="AN16" s="8">
        <f>AM16+真實IC!AN16</f>
        <v>3.0368900378317769</v>
      </c>
      <c r="AO16" s="8">
        <f>AN16+真實IC!AO16</f>
        <v>2.9957998844700358</v>
      </c>
      <c r="AP16" s="8">
        <f>AO16+真實IC!AP16</f>
        <v>3.0735982526156245</v>
      </c>
      <c r="AQ16" s="8">
        <f>AP16+真實IC!AQ16</f>
        <v>3.0976308081711799</v>
      </c>
      <c r="AR16" s="8">
        <f>AQ16+真實IC!AR16</f>
        <v>3.0651385859489575</v>
      </c>
      <c r="AS16" s="8">
        <f>AR16+真實IC!AS16</f>
        <v>3.0124958677107236</v>
      </c>
      <c r="AT16" s="8">
        <f>AS16+真實IC!AT16</f>
        <v>3.1350599110610085</v>
      </c>
      <c r="AU16" s="8">
        <f>AT16+真實IC!AU16</f>
        <v>3.3052964666165643</v>
      </c>
      <c r="AV16" s="8">
        <f>AU16+真實IC!AV16</f>
        <v>3.357377302053302</v>
      </c>
      <c r="AW16" s="8">
        <f>AV16+真實IC!AW16</f>
        <v>3.4663622406948305</v>
      </c>
      <c r="AX16" s="8">
        <f>AW16+真實IC!AX16</f>
        <v>3.5669835697962333</v>
      </c>
      <c r="AY16" s="8">
        <f>AX16+真實IC!AY16</f>
        <v>3.6007961596405793</v>
      </c>
      <c r="AZ16" s="8">
        <f>AY16+真實IC!AZ16</f>
        <v>3.647624048529468</v>
      </c>
      <c r="BA16" s="8">
        <f>AZ16+真實IC!BA16</f>
        <v>3.8076151596405792</v>
      </c>
      <c r="BB16" s="8">
        <f>BA16+真實IC!BB16</f>
        <v>4.033088722716319</v>
      </c>
      <c r="BC16" s="8">
        <f>BB16+真實IC!BC16</f>
        <v>3.9940893307940875</v>
      </c>
      <c r="BD16" s="8">
        <f>BC16+真實IC!BD16</f>
        <v>4.0003734419051984</v>
      </c>
      <c r="BE16" s="8">
        <f>BD16+真實IC!BE16</f>
        <v>4.061571085831658</v>
      </c>
      <c r="BF16" s="8">
        <f>BE16+真實IC!BF16</f>
        <v>4.3093579449321178</v>
      </c>
      <c r="BG16" s="8">
        <f>BF16+真實IC!BG16</f>
        <v>4.4705875145164686</v>
      </c>
      <c r="BH16" s="8">
        <f>BG16+真實IC!BH16</f>
        <v>4.5667495490242027</v>
      </c>
      <c r="BI16" s="8">
        <f>BH16+真實IC!BI16</f>
        <v>4.6081933567874644</v>
      </c>
      <c r="BJ16" s="8">
        <f>BI16+真實IC!BJ16</f>
        <v>4.689622245676353</v>
      </c>
      <c r="BK16" s="8">
        <f>BJ16+真實IC!BK16</f>
        <v>4.5848490234541304</v>
      </c>
      <c r="BL16" s="8">
        <f>BK16+真實IC!BL16</f>
        <v>4.6460226229386006</v>
      </c>
      <c r="BM16" s="8">
        <f>BL16+真實IC!BM16</f>
        <v>4.685520608429707</v>
      </c>
      <c r="BN16" s="8">
        <f>BM16+真實IC!BN16</f>
        <v>4.618321275096374</v>
      </c>
      <c r="BO16" s="8">
        <f>BN16+真實IC!BO16</f>
        <v>4.640211635050032</v>
      </c>
      <c r="BP16" s="8">
        <f>BO16+真實IC!BP16</f>
        <v>4.5824627461611431</v>
      </c>
      <c r="BQ16" s="8">
        <f>BP16+真實IC!BQ16</f>
        <v>4.5989407624160714</v>
      </c>
      <c r="BR16" s="8">
        <f>BQ16+真實IC!BR16</f>
        <v>4.7295237306410929</v>
      </c>
      <c r="BS16" s="8">
        <f>BR16+真實IC!BS16</f>
        <v>4.7615307178339759</v>
      </c>
      <c r="BT16" s="8">
        <f>BS16+真實IC!BT16</f>
        <v>4.7995960511673088</v>
      </c>
      <c r="BU16" s="8">
        <f>BT16+真實IC!BU16</f>
        <v>4.9011332733895312</v>
      </c>
      <c r="BV16" s="8">
        <f>BU16+真實IC!BV16</f>
        <v>4.9377189113132776</v>
      </c>
      <c r="BW16" s="8">
        <f>BV16+真實IC!BW16</f>
        <v>5.2556897458516447</v>
      </c>
      <c r="BX16" s="8">
        <f>BW16+真實IC!BX16</f>
        <v>5.2797686347405337</v>
      </c>
      <c r="BY16" s="8">
        <f>BX16+真實IC!BY16</f>
        <v>5.1472102254831542</v>
      </c>
      <c r="BZ16" s="8">
        <f>BY16+真實IC!BZ16</f>
        <v>5.258736073984803</v>
      </c>
      <c r="CA16" s="8">
        <f>BZ16+真實IC!CA16</f>
        <v>5.2884504637403662</v>
      </c>
      <c r="CB16" s="8">
        <f>CA16+真實IC!CB16</f>
        <v>5.4277594637403661</v>
      </c>
      <c r="CC16" s="8">
        <f>CB16+真實IC!CC16</f>
        <v>5.4721457970736997</v>
      </c>
      <c r="CD16" s="8">
        <f>CC16+真實IC!CD16</f>
        <v>5.6272170687000616</v>
      </c>
      <c r="CE16" s="8">
        <f>CD16+真實IC!CE16</f>
        <v>5.7208308464778392</v>
      </c>
      <c r="CF16" s="8">
        <f>CE16+真實IC!CF16</f>
        <v>5.8260321104875903</v>
      </c>
      <c r="CG16" s="8">
        <f>CF16+真實IC!CG16</f>
        <v>5.8877599886342571</v>
      </c>
      <c r="CH16" s="8">
        <f>CG16+真實IC!CH16</f>
        <v>5.9294574033372838</v>
      </c>
      <c r="CI16" s="8">
        <f>CH16+真實IC!CI16</f>
        <v>5.9681672851658014</v>
      </c>
      <c r="CJ16" s="8">
        <f>CI16+真實IC!CJ16</f>
        <v>5.997870670659565</v>
      </c>
      <c r="CK16" s="8">
        <f>CJ16+真實IC!CK16</f>
        <v>6.0862933604411724</v>
      </c>
      <c r="CL16" s="8">
        <f>CK16+真實IC!CL16</f>
        <v>6.1021720427758819</v>
      </c>
      <c r="CM16" s="8">
        <f>CL16+真實IC!CM16</f>
        <v>6.2152263761092152</v>
      </c>
      <c r="CN16" s="8">
        <f>CM16+真實IC!CN16</f>
        <v>6.3755862924257425</v>
      </c>
      <c r="CO16" s="8">
        <f>CN16+真實IC!CO16</f>
        <v>6.5851332924257422</v>
      </c>
      <c r="CP16" s="8">
        <f>CO16+真實IC!CP16</f>
        <v>6.7217649819078336</v>
      </c>
      <c r="CQ16" s="8">
        <f>CP16+真實IC!CQ16</f>
        <v>6.7014312020874724</v>
      </c>
      <c r="CR16" s="8">
        <f>CQ16+真實IC!CR16</f>
        <v>6.8907177355548708</v>
      </c>
      <c r="CS16" s="8">
        <f>CR16+真實IC!CS16</f>
        <v>6.9315699231496142</v>
      </c>
      <c r="CT16" s="8">
        <f>CS16+真實IC!CT16</f>
        <v>6.980473812038503</v>
      </c>
      <c r="CU16" s="8">
        <f>CT16+真實IC!CU16</f>
        <v>7.1159455129027087</v>
      </c>
      <c r="CV16" s="8">
        <f>CU16+真實IC!CV16</f>
        <v>7.2881970355411951</v>
      </c>
      <c r="CW16" s="8">
        <f>CV16+真實IC!CW16</f>
        <v>7.335538694715475</v>
      </c>
      <c r="CX16" s="8">
        <f>CW16+真實IC!CX16</f>
        <v>7.3477789794697248</v>
      </c>
      <c r="CY16" s="8">
        <f>CX16+真實IC!CY16</f>
        <v>7.4063335350252801</v>
      </c>
      <c r="CZ16" s="8">
        <f>CY16+真實IC!CZ16</f>
        <v>7.5089667942034124</v>
      </c>
      <c r="DA16" s="8">
        <f>CZ16+真實IC!DA16</f>
        <v>7.6271473497589684</v>
      </c>
      <c r="DB16" s="8">
        <f>DA16+真實IC!DB16</f>
        <v>7.7251640164256354</v>
      </c>
      <c r="DC16" s="8">
        <f>DB16+真實IC!DC16</f>
        <v>7.7681063787461353</v>
      </c>
      <c r="DD16" s="8">
        <f>DC16+真實IC!DD16</f>
        <v>7.7998500892334155</v>
      </c>
      <c r="DE16" s="8">
        <f>DD16+真實IC!DE16</f>
        <v>7.8344024895922058</v>
      </c>
      <c r="DF16" s="8">
        <f>DE16+真實IC!DF16</f>
        <v>8.159983378481094</v>
      </c>
      <c r="DG16" s="8">
        <f>DF16+真實IC!DG16</f>
        <v>8.2056603784810935</v>
      </c>
      <c r="DH16" s="8">
        <f>DG16+真實IC!DH16</f>
        <v>8.3428098229255383</v>
      </c>
      <c r="DI16" s="8">
        <f>DH16+真實IC!DI16</f>
        <v>8.3906386007033156</v>
      </c>
      <c r="DJ16" s="8">
        <f>DI16+真實IC!DJ16</f>
        <v>8.4615936531402003</v>
      </c>
      <c r="DK16" s="8">
        <f>DJ16+真實IC!DK16</f>
        <v>8.5578479864735328</v>
      </c>
      <c r="DL16" s="8">
        <f>DK16+真實IC!DL16</f>
        <v>8.5359751122237579</v>
      </c>
      <c r="DM16" s="8">
        <f>DL16+真實IC!DM16</f>
        <v>8.497839778890425</v>
      </c>
      <c r="DN16" s="8">
        <f>DM16+真實IC!DN16</f>
        <v>8.5402776322498326</v>
      </c>
      <c r="DO16" s="8">
        <f>DN16+真實IC!DO16</f>
        <v>8.7098682989164988</v>
      </c>
      <c r="DP16" s="8">
        <f>DO16+真實IC!DP16</f>
        <v>8.8702022933923121</v>
      </c>
      <c r="DQ16" s="8">
        <f>DP16+真實IC!DQ16</f>
        <v>8.9172724493968438</v>
      </c>
      <c r="DR16" s="8">
        <f>DQ16+真實IC!DR16</f>
        <v>8.9724637010463582</v>
      </c>
      <c r="DS16" s="8">
        <f>DR16+真實IC!DS16</f>
        <v>8.9939035899352469</v>
      </c>
      <c r="DT16" s="8">
        <f>DS16+真實IC!DT16</f>
        <v>9.0530165650134329</v>
      </c>
      <c r="DU16" s="8">
        <f>DT16+真實IC!DU16</f>
        <v>9.1757895650134333</v>
      </c>
      <c r="DV16" s="8">
        <f>DU16+真實IC!DV16</f>
        <v>9.3127432970312274</v>
      </c>
      <c r="DW16" s="8">
        <f>DV16+真實IC!DW16</f>
        <v>9.2414401859201156</v>
      </c>
      <c r="DX16" s="8">
        <f>DW16+真實IC!DX16</f>
        <v>9.3667248922440933</v>
      </c>
      <c r="DY16" s="8">
        <f>DX16+真實IC!DY16</f>
        <v>9.5242966700218705</v>
      </c>
      <c r="DZ16" s="8">
        <f>DY16+真實IC!DZ16</f>
        <v>9.5831071144663156</v>
      </c>
      <c r="EA16" s="8">
        <f>DZ16+真實IC!EA16</f>
        <v>9.583527629706559</v>
      </c>
      <c r="EB16" s="8">
        <f>EA16+真實IC!EB16</f>
        <v>9.6842067303837602</v>
      </c>
      <c r="EC16" s="8">
        <f>EB16+真實IC!EC16</f>
        <v>9.7477387970183305</v>
      </c>
      <c r="ED16" s="8">
        <f>EC16+真實IC!ED16</f>
        <v>9.8631555445172516</v>
      </c>
      <c r="EE16" s="8">
        <f>ED16+真實IC!EE16</f>
        <v>9.8675516556283629</v>
      </c>
      <c r="EF16" s="8">
        <f>EE16+真實IC!EF16</f>
        <v>9.9021001000728077</v>
      </c>
    </row>
    <row r="17" spans="1:136">
      <c r="A17" s="7"/>
      <c r="B17" s="18" t="s">
        <v>226</v>
      </c>
      <c r="C17" s="6">
        <v>0.206092</v>
      </c>
      <c r="D17" s="8">
        <f>C17+真實IC!D17</f>
        <v>0.64568037499999997</v>
      </c>
      <c r="E17" s="8">
        <f>D17+真實IC!E17</f>
        <v>0.72526837499999997</v>
      </c>
      <c r="F17" s="8">
        <f>E17+真實IC!F17</f>
        <v>0.64451621084768085</v>
      </c>
      <c r="G17" s="8">
        <f>F17+真實IC!G17</f>
        <v>0.74990328551141161</v>
      </c>
      <c r="H17" s="8">
        <f>G17+真實IC!H17</f>
        <v>0.85489803551141164</v>
      </c>
      <c r="I17" s="8">
        <f>H17+真實IC!I17</f>
        <v>0.96862306331359915</v>
      </c>
      <c r="J17" s="8">
        <f>I17+真實IC!J17</f>
        <v>1.0104814584318282</v>
      </c>
      <c r="K17" s="8">
        <f>J17+真實IC!K17</f>
        <v>1.1120415381541382</v>
      </c>
      <c r="L17" s="8">
        <f>K17+真實IC!L17</f>
        <v>1.0782666631541382</v>
      </c>
      <c r="M17" s="8">
        <f>L17+真實IC!M17</f>
        <v>1.0929258052444266</v>
      </c>
      <c r="N17" s="8">
        <f>M17+真實IC!N17</f>
        <v>1.4980340552444267</v>
      </c>
      <c r="O17" s="8">
        <f>N17+真實IC!O17</f>
        <v>1.4867273791802944</v>
      </c>
      <c r="P17" s="8">
        <f>O17+真實IC!P17</f>
        <v>1.5530667483191254</v>
      </c>
      <c r="Q17" s="8">
        <f>P17+真實IC!Q17</f>
        <v>1.7148680429342522</v>
      </c>
      <c r="R17" s="8">
        <f>Q17+真實IC!R17</f>
        <v>1.6628104340297249</v>
      </c>
      <c r="S17" s="8">
        <f>R17+真實IC!S17</f>
        <v>1.973463866685023</v>
      </c>
      <c r="T17" s="8">
        <f>S17+真實IC!T17</f>
        <v>1.9968064521959639</v>
      </c>
      <c r="U17" s="8">
        <f>T17+真實IC!U17</f>
        <v>2.1380775947345207</v>
      </c>
      <c r="V17" s="8">
        <f>U17+真實IC!V17</f>
        <v>2.1420887845642191</v>
      </c>
      <c r="W17" s="8">
        <f>V17+真實IC!W17</f>
        <v>2.2212309095642193</v>
      </c>
      <c r="X17" s="8">
        <f>W17+真實IC!X17</f>
        <v>2.4592203408845341</v>
      </c>
      <c r="Y17" s="8">
        <f>X17+真實IC!Y17</f>
        <v>2.436292329821879</v>
      </c>
      <c r="Z17" s="8">
        <f>Y17+真實IC!Z17</f>
        <v>2.4901608191127447</v>
      </c>
      <c r="AA17" s="8">
        <f>Z17+真實IC!AA17</f>
        <v>2.6814442560281542</v>
      </c>
      <c r="AB17" s="8">
        <f>AA17+真實IC!AB17</f>
        <v>2.7662963189063263</v>
      </c>
      <c r="AC17" s="8">
        <f>AB17+真實IC!AC17</f>
        <v>2.7462100641683049</v>
      </c>
      <c r="AD17" s="8">
        <f>AC17+真實IC!AD17</f>
        <v>2.8148299391683049</v>
      </c>
      <c r="AE17" s="8">
        <f>AD17+真實IC!AE17</f>
        <v>3.0369526435967558</v>
      </c>
      <c r="AF17" s="8">
        <f>AE17+真實IC!AF17</f>
        <v>3.1572389682526021</v>
      </c>
      <c r="AG17" s="8">
        <f>AF17+真實IC!AG17</f>
        <v>3.1799799490403924</v>
      </c>
      <c r="AH17" s="8">
        <f>AG17+真實IC!AH17</f>
        <v>3.1445073298675035</v>
      </c>
      <c r="AI17" s="8">
        <f>AH17+真實IC!AI17</f>
        <v>3.2593724548675036</v>
      </c>
      <c r="AJ17" s="8">
        <f>AI17+真實IC!AJ17</f>
        <v>3.2167698243485465</v>
      </c>
      <c r="AK17" s="8">
        <f>AJ17+真實IC!AK17</f>
        <v>3.290486099087583</v>
      </c>
      <c r="AL17" s="8">
        <f>AK17+真實IC!AL17</f>
        <v>3.2805012240875833</v>
      </c>
      <c r="AM17" s="8">
        <f>AL17+真實IC!AM17</f>
        <v>3.3558705916752403</v>
      </c>
      <c r="AN17" s="8">
        <f>AM17+真實IC!AN17</f>
        <v>3.4691577120211581</v>
      </c>
      <c r="AO17" s="8">
        <f>AN17+真實IC!AO17</f>
        <v>3.3924631843985349</v>
      </c>
      <c r="AP17" s="8">
        <f>AO17+真實IC!AP17</f>
        <v>3.4697059988181205</v>
      </c>
      <c r="AQ17" s="8">
        <f>AP17+真實IC!AQ17</f>
        <v>3.4789363738181205</v>
      </c>
      <c r="AR17" s="8">
        <f>AQ17+真實IC!AR17</f>
        <v>3.4439397488181207</v>
      </c>
      <c r="AS17" s="8">
        <f>AR17+真實IC!AS17</f>
        <v>3.3851367918738862</v>
      </c>
      <c r="AT17" s="8">
        <f>AS17+真實IC!AT17</f>
        <v>3.512208584981138</v>
      </c>
      <c r="AU17" s="8">
        <f>AT17+真實IC!AU17</f>
        <v>3.6897712099811382</v>
      </c>
      <c r="AV17" s="8">
        <f>AU17+真實IC!AV17</f>
        <v>3.7483006593157695</v>
      </c>
      <c r="AW17" s="8">
        <f>AV17+真實IC!AW17</f>
        <v>3.8244902695455862</v>
      </c>
      <c r="AX17" s="8">
        <f>AW17+真實IC!AX17</f>
        <v>3.9221093746631941</v>
      </c>
      <c r="AY17" s="8">
        <f>AX17+真實IC!AY17</f>
        <v>3.9495330713537951</v>
      </c>
      <c r="AZ17" s="8">
        <f>AY17+真實IC!AZ17</f>
        <v>3.997514446353795</v>
      </c>
      <c r="BA17" s="8">
        <f>AZ17+真實IC!BA17</f>
        <v>4.1603209463537949</v>
      </c>
      <c r="BB17" s="8">
        <f>BA17+真實IC!BB17</f>
        <v>4.3907629913016653</v>
      </c>
      <c r="BC17" s="8">
        <f>BB17+真實IC!BC17</f>
        <v>4.3634701669211751</v>
      </c>
      <c r="BD17" s="8">
        <f>BC17+真實IC!BD17</f>
        <v>4.382884291921175</v>
      </c>
      <c r="BE17" s="8">
        <f>BD17+真實IC!BE17</f>
        <v>4.4269945452660133</v>
      </c>
      <c r="BF17" s="8">
        <f>BE17+真實IC!BF17</f>
        <v>4.5747713755461721</v>
      </c>
      <c r="BG17" s="8">
        <f>BF17+真實IC!BG17</f>
        <v>4.7605229536770528</v>
      </c>
      <c r="BH17" s="8">
        <f>BG17+真實IC!BH17</f>
        <v>4.8937140670023815</v>
      </c>
      <c r="BI17" s="8">
        <f>BH17+真實IC!BI17</f>
        <v>4.9808260124423285</v>
      </c>
      <c r="BJ17" s="8">
        <f>BI17+真實IC!BJ17</f>
        <v>5.0700185124423287</v>
      </c>
      <c r="BK17" s="8">
        <f>BJ17+真實IC!BK17</f>
        <v>4.9552023874423288</v>
      </c>
      <c r="BL17" s="8">
        <f>BK17+真實IC!BL17</f>
        <v>4.9893548347666234</v>
      </c>
      <c r="BM17" s="8">
        <f>BL17+真實IC!BM17</f>
        <v>5.0184138459189773</v>
      </c>
      <c r="BN17" s="8">
        <f>BM17+真實IC!BN17</f>
        <v>4.9447558459189773</v>
      </c>
      <c r="BO17" s="8">
        <f>BN17+真實IC!BO17</f>
        <v>4.9799354613357005</v>
      </c>
      <c r="BP17" s="8">
        <f>BO17+真實IC!BP17</f>
        <v>4.9192985863357004</v>
      </c>
      <c r="BQ17" s="8">
        <f>BP17+真實IC!BQ17</f>
        <v>4.930675096782152</v>
      </c>
      <c r="BR17" s="8">
        <f>BQ17+真實IC!BR17</f>
        <v>5.0456974498079035</v>
      </c>
      <c r="BS17" s="8">
        <f>BR17+真實IC!BS17</f>
        <v>5.066603468021599</v>
      </c>
      <c r="BT17" s="8">
        <f>BS17+真實IC!BT17</f>
        <v>5.1002507180215986</v>
      </c>
      <c r="BU17" s="8">
        <f>BT17+真實IC!BU17</f>
        <v>5.204775093021599</v>
      </c>
      <c r="BV17" s="8">
        <f>BU17+真實IC!BV17</f>
        <v>5.243016049523793</v>
      </c>
      <c r="BW17" s="8">
        <f>BV17+真實IC!BW17</f>
        <v>5.4513528750411817</v>
      </c>
      <c r="BX17" s="8">
        <f>BW17+真實IC!BX17</f>
        <v>5.458449375041182</v>
      </c>
      <c r="BY17" s="8">
        <f>BX17+真實IC!BY17</f>
        <v>5.3159719999147148</v>
      </c>
      <c r="BZ17" s="8">
        <f>BY17+真實IC!BZ17</f>
        <v>5.4365501557957998</v>
      </c>
      <c r="CA17" s="8">
        <f>BZ17+真實IC!CA17</f>
        <v>5.4644849881542896</v>
      </c>
      <c r="CB17" s="8">
        <f>CA17+真實IC!CB17</f>
        <v>5.6141183631542892</v>
      </c>
      <c r="CC17" s="8">
        <f>CB17+真實IC!CC17</f>
        <v>5.6558768631542895</v>
      </c>
      <c r="CD17" s="8">
        <f>CC17+真實IC!CD17</f>
        <v>5.8288366043734383</v>
      </c>
      <c r="CE17" s="8">
        <f>CD17+真實IC!CE17</f>
        <v>5.9245442293734385</v>
      </c>
      <c r="CF17" s="8">
        <f>CE17+真實IC!CF17</f>
        <v>6.0232904267996368</v>
      </c>
      <c r="CG17" s="8">
        <f>CF17+真實IC!CG17</f>
        <v>6.0980054154283678</v>
      </c>
      <c r="CH17" s="8">
        <f>CG17+真實IC!CH17</f>
        <v>6.1566418620354177</v>
      </c>
      <c r="CI17" s="8">
        <f>CH17+真實IC!CI17</f>
        <v>6.1711730470250066</v>
      </c>
      <c r="CJ17" s="8">
        <f>CI17+真實IC!CJ17</f>
        <v>6.1921238745063549</v>
      </c>
      <c r="CK17" s="8">
        <f>CJ17+真實IC!CK17</f>
        <v>6.2760797227659859</v>
      </c>
      <c r="CL17" s="8">
        <f>CK17+真實IC!CL17</f>
        <v>6.2666533779969544</v>
      </c>
      <c r="CM17" s="8">
        <f>CL17+真實IC!CM17</f>
        <v>6.3621460029969548</v>
      </c>
      <c r="CN17" s="8">
        <f>CM17+真實IC!CN17</f>
        <v>6.5386772815783418</v>
      </c>
      <c r="CO17" s="8">
        <f>CN17+真實IC!CO17</f>
        <v>6.7367576565783418</v>
      </c>
      <c r="CP17" s="8">
        <f>CO17+真實IC!CP17</f>
        <v>6.884916925775685</v>
      </c>
      <c r="CQ17" s="8">
        <f>CP17+真實IC!CQ17</f>
        <v>6.9368240291174112</v>
      </c>
      <c r="CR17" s="8">
        <f>CQ17+真實IC!CR17</f>
        <v>7.1332266608797008</v>
      </c>
      <c r="CS17" s="8">
        <f>CR17+真實IC!CS17</f>
        <v>7.1645724792754191</v>
      </c>
      <c r="CT17" s="8">
        <f>CS17+真實IC!CT17</f>
        <v>7.2232267292754191</v>
      </c>
      <c r="CU17" s="8">
        <f>CT17+真實IC!CU17</f>
        <v>7.3785786220751781</v>
      </c>
      <c r="CV17" s="8">
        <f>CU17+真實IC!CV17</f>
        <v>7.5300500069365324</v>
      </c>
      <c r="CW17" s="8">
        <f>CV17+真實IC!CW17</f>
        <v>7.5934432257410203</v>
      </c>
      <c r="CX17" s="8">
        <f>CW17+真實IC!CX17</f>
        <v>7.6042156202649682</v>
      </c>
      <c r="CY17" s="8">
        <f>CX17+真實IC!CY17</f>
        <v>7.6637137452649684</v>
      </c>
      <c r="CZ17" s="8">
        <f>CY17+真實IC!CZ17</f>
        <v>7.7879625831125887</v>
      </c>
      <c r="DA17" s="8">
        <f>CZ17+真實IC!DA17</f>
        <v>7.8824582081125891</v>
      </c>
      <c r="DB17" s="8">
        <f>DA17+真實IC!DB17</f>
        <v>7.9867292081125889</v>
      </c>
      <c r="DC17" s="8">
        <f>DB17+真實IC!DC17</f>
        <v>8.0300926770900887</v>
      </c>
      <c r="DD17" s="8">
        <f>DC17+真實IC!DD17</f>
        <v>8.0592480979729686</v>
      </c>
      <c r="DE17" s="8">
        <f>DD17+真實IC!DE17</f>
        <v>8.0833729613196912</v>
      </c>
      <c r="DF17" s="8">
        <f>DE17+真實IC!DF17</f>
        <v>8.4356003363196912</v>
      </c>
      <c r="DG17" s="8">
        <f>DF17+真實IC!DG17</f>
        <v>8.4828114613196917</v>
      </c>
      <c r="DH17" s="8">
        <f>DG17+真實IC!DH17</f>
        <v>8.646244836319692</v>
      </c>
      <c r="DI17" s="8">
        <f>DH17+真實IC!DI17</f>
        <v>8.7164260863196912</v>
      </c>
      <c r="DJ17" s="8">
        <f>DI17+真實IC!DJ17</f>
        <v>8.8453511461057008</v>
      </c>
      <c r="DK17" s="8">
        <f>DJ17+真實IC!DK17</f>
        <v>8.9481310211057004</v>
      </c>
      <c r="DL17" s="8">
        <f>DK17+真實IC!DL17</f>
        <v>8.9442012894145719</v>
      </c>
      <c r="DM17" s="8">
        <f>DL17+真實IC!DM17</f>
        <v>8.901637789414572</v>
      </c>
      <c r="DN17" s="8">
        <f>DM17+真實IC!DN17</f>
        <v>8.9371268221289117</v>
      </c>
      <c r="DO17" s="8">
        <f>DN17+真實IC!DO17</f>
        <v>9.1168888221289119</v>
      </c>
      <c r="DP17" s="8">
        <f>DO17+真實IC!DP17</f>
        <v>9.2589229803795465</v>
      </c>
      <c r="DQ17" s="8">
        <f>DP17+真實IC!DQ17</f>
        <v>9.3315769854855706</v>
      </c>
      <c r="DR17" s="8">
        <f>DQ17+真實IC!DR17</f>
        <v>9.3874618003618995</v>
      </c>
      <c r="DS17" s="8">
        <f>DR17+真實IC!DS17</f>
        <v>9.4248154253618992</v>
      </c>
      <c r="DT17" s="8">
        <f>DS17+真實IC!DT17</f>
        <v>9.4846273605968747</v>
      </c>
      <c r="DU17" s="8">
        <f>DT17+真實IC!DU17</f>
        <v>9.6141213605968741</v>
      </c>
      <c r="DV17" s="8">
        <f>DU17+真實IC!DV17</f>
        <v>9.7318867587078284</v>
      </c>
      <c r="DW17" s="8">
        <f>DV17+真實IC!DW17</f>
        <v>9.6552870087078286</v>
      </c>
      <c r="DX17" s="8">
        <f>DW17+真實IC!DX17</f>
        <v>9.7848259913043023</v>
      </c>
      <c r="DY17" s="8">
        <f>DX17+真實IC!DY17</f>
        <v>9.8921082413043031</v>
      </c>
      <c r="DZ17" s="8">
        <f>DY17+真實IC!DZ17</f>
        <v>9.9413202413043038</v>
      </c>
      <c r="EA17" s="8">
        <f>DZ17+真實IC!EA17</f>
        <v>9.9366877170875796</v>
      </c>
      <c r="EB17" s="8">
        <f>EA17+真實IC!EB17</f>
        <v>10.043973043841337</v>
      </c>
      <c r="EC17" s="8">
        <f>EB17+真實IC!EC17</f>
        <v>10.060398261057397</v>
      </c>
      <c r="ED17" s="8">
        <f>EC17+真實IC!ED17</f>
        <v>10.18872270498631</v>
      </c>
      <c r="EE17" s="8">
        <f>ED17+真實IC!EE17</f>
        <v>10.18852832998631</v>
      </c>
      <c r="EF17" s="8">
        <f>EE17+真實IC!EF17</f>
        <v>10.22951307998631</v>
      </c>
    </row>
    <row r="18" spans="1:136">
      <c r="A18" s="7"/>
      <c r="B18" s="18" t="s">
        <v>227</v>
      </c>
      <c r="C18" s="6">
        <v>0.189751</v>
      </c>
      <c r="D18" s="8">
        <f>C18+真實IC!D18</f>
        <v>0.59163500000000013</v>
      </c>
      <c r="E18" s="8">
        <f>D18+真實IC!E18</f>
        <v>0.64507285714285734</v>
      </c>
      <c r="F18" s="8">
        <f>E18+真實IC!F18</f>
        <v>0.5256898970406676</v>
      </c>
      <c r="G18" s="8">
        <f>F18+真實IC!G18</f>
        <v>0.63400627032574763</v>
      </c>
      <c r="H18" s="8">
        <f>G18+真實IC!H18</f>
        <v>0.76254627032574762</v>
      </c>
      <c r="I18" s="8">
        <f>H18+真實IC!I18</f>
        <v>0.89804645054898868</v>
      </c>
      <c r="J18" s="8">
        <f>I18+真實IC!J18</f>
        <v>0.94145796630063028</v>
      </c>
      <c r="K18" s="8">
        <f>J18+真實IC!K18</f>
        <v>1.0771058550782626</v>
      </c>
      <c r="L18" s="8">
        <f>K18+真實IC!L18</f>
        <v>1.0304342836496911</v>
      </c>
      <c r="M18" s="8">
        <f>L18+真實IC!M18</f>
        <v>1.0594857480261484</v>
      </c>
      <c r="N18" s="8">
        <f>M18+真實IC!N18</f>
        <v>1.5213061765975771</v>
      </c>
      <c r="O18" s="8">
        <f>N18+真實IC!O18</f>
        <v>1.5530441176950753</v>
      </c>
      <c r="P18" s="8">
        <f>O18+真實IC!P18</f>
        <v>1.6355967292650231</v>
      </c>
      <c r="Q18" s="8">
        <f>P18+真實IC!Q18</f>
        <v>1.8245721479545129</v>
      </c>
      <c r="R18" s="8">
        <f>Q18+真實IC!R18</f>
        <v>1.7630799100825381</v>
      </c>
      <c r="S18" s="8">
        <f>R18+真實IC!S18</f>
        <v>2.1468125390144324</v>
      </c>
      <c r="T18" s="8">
        <f>S18+真實IC!T18</f>
        <v>2.199122236565163</v>
      </c>
      <c r="U18" s="8">
        <f>T18+真實IC!U18</f>
        <v>2.3316172609949821</v>
      </c>
      <c r="V18" s="8">
        <f>U18+真實IC!V18</f>
        <v>2.3445123960648329</v>
      </c>
      <c r="W18" s="8">
        <f>V18+真實IC!W18</f>
        <v>2.421809396064833</v>
      </c>
      <c r="X18" s="8">
        <f>W18+真實IC!X18</f>
        <v>2.6369304534647848</v>
      </c>
      <c r="Y18" s="8">
        <f>X18+真實IC!Y18</f>
        <v>2.6176981191073492</v>
      </c>
      <c r="Z18" s="8">
        <f>Y18+真實IC!Z18</f>
        <v>2.706932482547872</v>
      </c>
      <c r="AA18" s="8">
        <f>Z18+真實IC!AA18</f>
        <v>2.8795031400824005</v>
      </c>
      <c r="AB18" s="8">
        <f>AA18+真實IC!AB18</f>
        <v>2.9642014398128849</v>
      </c>
      <c r="AC18" s="8">
        <f>AB18+真實IC!AC18</f>
        <v>2.9655668602897172</v>
      </c>
      <c r="AD18" s="8">
        <f>AC18+真實IC!AD18</f>
        <v>3.0618527174325743</v>
      </c>
      <c r="AE18" s="8">
        <f>AD18+真實IC!AE18</f>
        <v>3.3202440663477826</v>
      </c>
      <c r="AF18" s="8">
        <f>AE18+真實IC!AF18</f>
        <v>3.4707877061718562</v>
      </c>
      <c r="AG18" s="8">
        <f>AF18+真實IC!AG18</f>
        <v>3.503280822269732</v>
      </c>
      <c r="AH18" s="8">
        <f>AG18+真實IC!AH18</f>
        <v>3.4630833613012175</v>
      </c>
      <c r="AI18" s="8">
        <f>AH18+真實IC!AI18</f>
        <v>3.581169789872646</v>
      </c>
      <c r="AJ18" s="8">
        <f>AI18+真實IC!AJ18</f>
        <v>3.533776033706197</v>
      </c>
      <c r="AK18" s="8">
        <f>AJ18+真實IC!AK18</f>
        <v>3.5639285143038228</v>
      </c>
      <c r="AL18" s="8">
        <f>AK18+真實IC!AL18</f>
        <v>3.56307137144668</v>
      </c>
      <c r="AM18" s="8">
        <f>AL18+真實IC!AM18</f>
        <v>3.6297147768714511</v>
      </c>
      <c r="AN18" s="8">
        <f>AM18+真實IC!AN18</f>
        <v>3.7090094168266527</v>
      </c>
      <c r="AO18" s="8">
        <f>AN18+真實IC!AO18</f>
        <v>3.7335936972714596</v>
      </c>
      <c r="AP18" s="8">
        <f>AO18+真實IC!AP18</f>
        <v>3.8118722892052666</v>
      </c>
      <c r="AQ18" s="8">
        <f>AP18+真實IC!AQ18</f>
        <v>3.7950841463481235</v>
      </c>
      <c r="AR18" s="8">
        <f>AQ18+真實IC!AR18</f>
        <v>3.7333897177766948</v>
      </c>
      <c r="AS18" s="8">
        <f>AR18+真實IC!AS18</f>
        <v>3.6501365898875089</v>
      </c>
      <c r="AT18" s="8">
        <f>AS18+真實IC!AT18</f>
        <v>3.8165223993115678</v>
      </c>
      <c r="AU18" s="8">
        <f>AT18+真實IC!AU18</f>
        <v>4.0131825421687104</v>
      </c>
      <c r="AV18" s="8">
        <f>AU18+真實IC!AV18</f>
        <v>4.0734182068751803</v>
      </c>
      <c r="AW18" s="8">
        <f>AV18+真實IC!AW18</f>
        <v>4.1711850686964151</v>
      </c>
      <c r="AX18" s="8">
        <f>AW18+真實IC!AX18</f>
        <v>4.2972494061225426</v>
      </c>
      <c r="AY18" s="8">
        <f>AX18+真實IC!AY18</f>
        <v>4.332032684763691</v>
      </c>
      <c r="AZ18" s="8">
        <f>AY18+真實IC!AZ18</f>
        <v>4.3983746847636906</v>
      </c>
      <c r="BA18" s="8">
        <f>AZ18+真實IC!BA18</f>
        <v>4.5788545419065478</v>
      </c>
      <c r="BB18" s="8">
        <f>BA18+真實IC!BB18</f>
        <v>4.8963119675706608</v>
      </c>
      <c r="BC18" s="8">
        <f>BB18+真實IC!BC18</f>
        <v>4.9242540182726309</v>
      </c>
      <c r="BD18" s="8">
        <f>BC18+真實IC!BD18</f>
        <v>4.9445317325583451</v>
      </c>
      <c r="BE18" s="8">
        <f>BD18+真實IC!BE18</f>
        <v>5.0357045854142672</v>
      </c>
      <c r="BF18" s="8">
        <f>BE18+真實IC!BF18</f>
        <v>5.2006910801102748</v>
      </c>
      <c r="BG18" s="8">
        <f>BF18+真實IC!BG18</f>
        <v>5.3474050549385632</v>
      </c>
      <c r="BH18" s="8">
        <f>BG18+真實IC!BH18</f>
        <v>5.4853033200887058</v>
      </c>
      <c r="BI18" s="8">
        <f>BH18+真實IC!BI18</f>
        <v>5.5943033270073714</v>
      </c>
      <c r="BJ18" s="8">
        <f>BI18+真實IC!BJ18</f>
        <v>5.6938360412930855</v>
      </c>
      <c r="BK18" s="8">
        <f>BJ18+真實IC!BK18</f>
        <v>5.6203798984359423</v>
      </c>
      <c r="BL18" s="8">
        <f>BK18+真實IC!BL18</f>
        <v>5.6761677792977219</v>
      </c>
      <c r="BM18" s="8">
        <f>BL18+真實IC!BM18</f>
        <v>5.7042491356708176</v>
      </c>
      <c r="BN18" s="8">
        <f>BM18+真實IC!BN18</f>
        <v>5.6260389928136751</v>
      </c>
      <c r="BO18" s="8">
        <f>BN18+真實IC!BO18</f>
        <v>5.64626648892005</v>
      </c>
      <c r="BP18" s="8">
        <f>BO18+真實IC!BP18</f>
        <v>5.58380448892005</v>
      </c>
      <c r="BQ18" s="8">
        <f>BP18+真實IC!BQ18</f>
        <v>5.5857212730298986</v>
      </c>
      <c r="BR18" s="8">
        <f>BQ18+真實IC!BR18</f>
        <v>5.7066830909123745</v>
      </c>
      <c r="BS18" s="8">
        <f>BR18+真實IC!BS18</f>
        <v>5.7395563474884064</v>
      </c>
      <c r="BT18" s="8">
        <f>BS18+真實IC!BT18</f>
        <v>5.7528552046312633</v>
      </c>
      <c r="BU18" s="8">
        <f>BT18+真實IC!BU18</f>
        <v>5.8643173474884058</v>
      </c>
      <c r="BV18" s="8">
        <f>BU18+真實IC!BV18</f>
        <v>5.9039417736125532</v>
      </c>
      <c r="BW18" s="8">
        <f>BV18+真實IC!BW18</f>
        <v>6.1223172727435422</v>
      </c>
      <c r="BX18" s="8">
        <f>BW18+真實IC!BX18</f>
        <v>6.106506558457828</v>
      </c>
      <c r="BY18" s="8">
        <f>BX18+真實IC!BY18</f>
        <v>6.0190412901857266</v>
      </c>
      <c r="BZ18" s="8">
        <f>BY18+真實IC!BZ18</f>
        <v>6.1723612779883243</v>
      </c>
      <c r="CA18" s="8">
        <f>BZ18+真實IC!CA18</f>
        <v>6.1884378218811849</v>
      </c>
      <c r="CB18" s="8">
        <f>CA18+真實IC!CB18</f>
        <v>6.2952841075954709</v>
      </c>
      <c r="CC18" s="8">
        <f>CB18+真實IC!CC18</f>
        <v>6.3999438218811848</v>
      </c>
      <c r="CD18" s="8">
        <f>CC18+真實IC!CD18</f>
        <v>6.5936606405280154</v>
      </c>
      <c r="CE18" s="8">
        <f>CD18+真實IC!CE18</f>
        <v>6.6709204976708723</v>
      </c>
      <c r="CF18" s="8">
        <f>CE18+真實IC!CF18</f>
        <v>6.7427380893712465</v>
      </c>
      <c r="CG18" s="8">
        <f>CF18+真實IC!CG18</f>
        <v>6.8343473449351659</v>
      </c>
      <c r="CH18" s="8">
        <f>CG18+真實IC!CH18</f>
        <v>6.997004391622399</v>
      </c>
      <c r="CI18" s="8">
        <f>CH18+真實IC!CI18</f>
        <v>7.0358735315000889</v>
      </c>
      <c r="CJ18" s="8">
        <f>CI18+真實IC!CJ18</f>
        <v>7.0321011649996912</v>
      </c>
      <c r="CK18" s="8">
        <f>CJ18+真實IC!CK18</f>
        <v>7.128159196665214</v>
      </c>
      <c r="CL18" s="8">
        <f>CK18+真實IC!CL18</f>
        <v>7.0971696516070208</v>
      </c>
      <c r="CM18" s="8">
        <f>CL18+真實IC!CM18</f>
        <v>7.1999383658927352</v>
      </c>
      <c r="CN18" s="8">
        <f>CM18+真實IC!CN18</f>
        <v>7.3208814994343099</v>
      </c>
      <c r="CO18" s="8">
        <f>CN18+真實IC!CO18</f>
        <v>7.54916349943431</v>
      </c>
      <c r="CP18" s="8">
        <f>CO18+真實IC!CP18</f>
        <v>7.7120026083823205</v>
      </c>
      <c r="CQ18" s="8">
        <f>CP18+真實IC!CQ18</f>
        <v>7.7502452839772635</v>
      </c>
      <c r="CR18" s="8">
        <f>CQ18+真實IC!CR18</f>
        <v>7.9439676916294726</v>
      </c>
      <c r="CS18" s="8">
        <f>CR18+真實IC!CS18</f>
        <v>8.0016583402808887</v>
      </c>
      <c r="CT18" s="8">
        <f>CS18+真實IC!CT18</f>
        <v>8.0785291974237463</v>
      </c>
      <c r="CU18" s="8">
        <f>CT18+真實IC!CU18</f>
        <v>8.2230940185998804</v>
      </c>
      <c r="CV18" s="8">
        <f>CU18+真實IC!CV18</f>
        <v>8.350116286732888</v>
      </c>
      <c r="CW18" s="8">
        <f>CV18+真實IC!CW18</f>
        <v>8.4166748612312041</v>
      </c>
      <c r="CX18" s="8">
        <f>CW18+真實IC!CX18</f>
        <v>8.4782350470649828</v>
      </c>
      <c r="CY18" s="8">
        <f>CX18+真實IC!CY18</f>
        <v>8.5496671899221255</v>
      </c>
      <c r="CZ18" s="8">
        <f>CY18+真實IC!CZ18</f>
        <v>8.682510053223897</v>
      </c>
      <c r="DA18" s="8">
        <f>CZ18+真實IC!DA18</f>
        <v>8.7608679103667537</v>
      </c>
      <c r="DB18" s="8">
        <f>DA18+真實IC!DB18</f>
        <v>8.878981910366754</v>
      </c>
      <c r="DC18" s="8">
        <f>DB18+真實IC!DC18</f>
        <v>8.9153906918622603</v>
      </c>
      <c r="DD18" s="8">
        <f>DC18+真實IC!DD18</f>
        <v>8.9564048791815942</v>
      </c>
      <c r="DE18" s="8">
        <f>DD18+真實IC!DE18</f>
        <v>8.9948254666680452</v>
      </c>
      <c r="DF18" s="8">
        <f>DE18+真實IC!DF18</f>
        <v>9.3615190380966169</v>
      </c>
      <c r="DG18" s="8">
        <f>DF18+真實IC!DG18</f>
        <v>9.4162897523823315</v>
      </c>
      <c r="DH18" s="8">
        <f>DG18+真實IC!DH18</f>
        <v>9.608692323810903</v>
      </c>
      <c r="DI18" s="8">
        <f>DH18+真實IC!DI18</f>
        <v>9.70665518095376</v>
      </c>
      <c r="DJ18" s="8">
        <f>DI18+真實IC!DJ18</f>
        <v>9.8528512570531728</v>
      </c>
      <c r="DK18" s="8">
        <f>DJ18+真實IC!DK18</f>
        <v>9.9593771141960303</v>
      </c>
      <c r="DL18" s="8">
        <f>DK18+真實IC!DL18</f>
        <v>9.9555468401284379</v>
      </c>
      <c r="DM18" s="8">
        <f>DL18+真實IC!DM18</f>
        <v>9.8970901258427233</v>
      </c>
      <c r="DN18" s="8">
        <f>DM18+真實IC!DN18</f>
        <v>9.8803680617647025</v>
      </c>
      <c r="DO18" s="8">
        <f>DN18+真實IC!DO18</f>
        <v>10.100687633193274</v>
      </c>
      <c r="DP18" s="8">
        <f>DO18+真實IC!DP18</f>
        <v>10.234174105470355</v>
      </c>
      <c r="DQ18" s="8">
        <f>DP18+真實IC!DQ18</f>
        <v>10.299923563654254</v>
      </c>
      <c r="DR18" s="8">
        <f>DQ18+真實IC!DR18</f>
        <v>10.376764218426215</v>
      </c>
      <c r="DS18" s="8">
        <f>DR18+真實IC!DS18</f>
        <v>10.388041361283358</v>
      </c>
      <c r="DT18" s="8">
        <f>DS18+真實IC!DT18</f>
        <v>10.410642396124466</v>
      </c>
      <c r="DU18" s="8">
        <f>DT18+真實IC!DU18</f>
        <v>10.569357824695894</v>
      </c>
      <c r="DV18" s="8">
        <f>DU18+真實IC!DV18</f>
        <v>10.674998433495956</v>
      </c>
      <c r="DW18" s="8">
        <f>DV18+真實IC!DW18</f>
        <v>10.606360576353099</v>
      </c>
      <c r="DX18" s="8">
        <f>DW18+真實IC!DX18</f>
        <v>10.759963553815581</v>
      </c>
      <c r="DY18" s="8">
        <f>DX18+真實IC!DY18</f>
        <v>10.896795839529867</v>
      </c>
      <c r="DZ18" s="8">
        <f>DY18+真實IC!DZ18</f>
        <v>10.95142555381558</v>
      </c>
      <c r="EA18" s="8">
        <f>DZ18+真實IC!EA18</f>
        <v>10.946687256577336</v>
      </c>
      <c r="EB18" s="8">
        <f>EA18+真實IC!EB18</f>
        <v>11.056651611027531</v>
      </c>
      <c r="EC18" s="8">
        <f>EB18+真實IC!EC18</f>
        <v>11.059415726452903</v>
      </c>
      <c r="ED18" s="8">
        <f>EC18+真實IC!ED18</f>
        <v>11.169893748318668</v>
      </c>
      <c r="EE18" s="8">
        <f>ED18+真實IC!EE18</f>
        <v>11.171004034032952</v>
      </c>
      <c r="EF18" s="8">
        <f>EE18+真實IC!EF18</f>
        <v>11.23495589117581</v>
      </c>
    </row>
    <row r="19" spans="1:136">
      <c r="A19" s="7"/>
      <c r="B19" s="18" t="s">
        <v>228</v>
      </c>
      <c r="C19" s="6">
        <v>0.1966</v>
      </c>
      <c r="D19" s="8">
        <f>C19+真實IC!D19</f>
        <v>0.6041213333333334</v>
      </c>
      <c r="E19" s="8">
        <f>D19+真實IC!E19</f>
        <v>0.66993383333333334</v>
      </c>
      <c r="F19" s="8">
        <f>E19+真實IC!F19</f>
        <v>0.49224517152777281</v>
      </c>
      <c r="G19" s="8">
        <f>F19+真實IC!G19</f>
        <v>0.58831114338495016</v>
      </c>
      <c r="H19" s="8">
        <f>G19+真實IC!H19</f>
        <v>0.7659213100516169</v>
      </c>
      <c r="I19" s="8">
        <f>H19+真實IC!I19</f>
        <v>0.90057564294308334</v>
      </c>
      <c r="J19" s="8">
        <f>I19+真實IC!J19</f>
        <v>0.93600522746327441</v>
      </c>
      <c r="K19" s="8">
        <f>J19+真實IC!K19</f>
        <v>1.1747946421871911</v>
      </c>
      <c r="L19" s="8">
        <f>K19+真實IC!L19</f>
        <v>1.1444334755205243</v>
      </c>
      <c r="M19" s="8">
        <f>L19+真實IC!M19</f>
        <v>1.1007432393642171</v>
      </c>
      <c r="N19" s="8">
        <f>M19+真實IC!N19</f>
        <v>1.6331177393642171</v>
      </c>
      <c r="O19" s="8">
        <f>N19+真實IC!O19</f>
        <v>1.664679613853133</v>
      </c>
      <c r="P19" s="8">
        <f>O19+真實IC!P19</f>
        <v>1.7572138000398301</v>
      </c>
      <c r="Q19" s="8">
        <f>P19+真實IC!Q19</f>
        <v>1.95437688830435</v>
      </c>
      <c r="R19" s="8">
        <f>Q19+真實IC!R19</f>
        <v>1.8640777976734937</v>
      </c>
      <c r="S19" s="8">
        <f>R19+真實IC!S19</f>
        <v>2.0482379143711018</v>
      </c>
      <c r="T19" s="8">
        <f>S19+真實IC!T19</f>
        <v>2.0997026316164114</v>
      </c>
      <c r="U19" s="8">
        <f>T19+真實IC!U19</f>
        <v>2.2354009702483344</v>
      </c>
      <c r="V19" s="8">
        <f>U19+真實IC!V19</f>
        <v>2.2720196580337859</v>
      </c>
      <c r="W19" s="8">
        <f>V19+真實IC!W19</f>
        <v>2.3444354913671193</v>
      </c>
      <c r="X19" s="8">
        <f>W19+真實IC!X19</f>
        <v>2.4938353647198466</v>
      </c>
      <c r="Y19" s="8">
        <f>X19+真實IC!Y19</f>
        <v>2.4682067271916899</v>
      </c>
      <c r="Z19" s="8">
        <f>Y19+真實IC!Z19</f>
        <v>2.5598258377677134</v>
      </c>
      <c r="AA19" s="8">
        <f>Z19+真實IC!AA19</f>
        <v>2.6916587372488046</v>
      </c>
      <c r="AB19" s="8">
        <f>AA19+真實IC!AB19</f>
        <v>2.7939123431327473</v>
      </c>
      <c r="AC19" s="8">
        <f>AB19+真實IC!AC19</f>
        <v>2.8080538858413573</v>
      </c>
      <c r="AD19" s="8">
        <f>AC19+真實IC!AD19</f>
        <v>2.9040467191746906</v>
      </c>
      <c r="AE19" s="8">
        <f>AD19+真實IC!AE19</f>
        <v>3.2125395771000593</v>
      </c>
      <c r="AF19" s="8">
        <f>AE19+真實IC!AF19</f>
        <v>3.3813701578081026</v>
      </c>
      <c r="AG19" s="8">
        <f>AF19+真實IC!AG19</f>
        <v>3.4035063768806504</v>
      </c>
      <c r="AH19" s="8">
        <f>AG19+真實IC!AH19</f>
        <v>3.346948661658947</v>
      </c>
      <c r="AI19" s="8">
        <f>AH19+真實IC!AI19</f>
        <v>3.4384979949922805</v>
      </c>
      <c r="AJ19" s="8">
        <f>AI19+真實IC!AJ19</f>
        <v>3.3869527046650183</v>
      </c>
      <c r="AK19" s="8">
        <f>AJ19+真實IC!AK19</f>
        <v>3.3945047471709708</v>
      </c>
      <c r="AL19" s="8">
        <f>AK19+真實IC!AL19</f>
        <v>3.3933664138376374</v>
      </c>
      <c r="AM19" s="8">
        <f>AL19+真實IC!AM19</f>
        <v>3.4364724256490424</v>
      </c>
      <c r="AN19" s="8">
        <f>AM19+真實IC!AN19</f>
        <v>3.5200407200147246</v>
      </c>
      <c r="AO19" s="8">
        <f>AN19+真實IC!AO19</f>
        <v>3.575930846143839</v>
      </c>
      <c r="AP19" s="8">
        <f>AO19+真實IC!AP19</f>
        <v>3.6635049664166912</v>
      </c>
      <c r="AQ19" s="8">
        <f>AP19+真實IC!AQ19</f>
        <v>3.608577133083358</v>
      </c>
      <c r="AR19" s="8">
        <f>AQ19+真實IC!AR19</f>
        <v>3.5339602997500248</v>
      </c>
      <c r="AS19" s="8">
        <f>AR19+真實IC!AS19</f>
        <v>3.4247614236969586</v>
      </c>
      <c r="AT19" s="8">
        <f>AS19+真實IC!AT19</f>
        <v>3.6093550875070166</v>
      </c>
      <c r="AU19" s="8">
        <f>AT19+真實IC!AU19</f>
        <v>3.8482002541736833</v>
      </c>
      <c r="AV19" s="8">
        <f>AU19+真實IC!AV19</f>
        <v>3.8451676445710752</v>
      </c>
      <c r="AW19" s="8">
        <f>AV19+真實IC!AW19</f>
        <v>3.9818610416999878</v>
      </c>
      <c r="AX19" s="8">
        <f>AW19+真實IC!AX19</f>
        <v>4.2059848370008437</v>
      </c>
      <c r="AY19" s="8">
        <f>AX19+真實IC!AY19</f>
        <v>4.2355138073942236</v>
      </c>
      <c r="AZ19" s="8">
        <f>AY19+真實IC!AZ19</f>
        <v>4.3195461407275566</v>
      </c>
      <c r="BA19" s="8">
        <f>AZ19+真實IC!BA19</f>
        <v>4.5065431407275565</v>
      </c>
      <c r="BB19" s="8">
        <f>BA19+真實IC!BB19</f>
        <v>4.870704072520776</v>
      </c>
      <c r="BC19" s="8">
        <f>BB19+真實IC!BC19</f>
        <v>5.0552758619272034</v>
      </c>
      <c r="BD19" s="8">
        <f>BC19+真實IC!BD19</f>
        <v>5.0552050285938703</v>
      </c>
      <c r="BE19" s="8">
        <f>BD19+真實IC!BE19</f>
        <v>5.1446857503542418</v>
      </c>
      <c r="BF19" s="8">
        <f>BE19+真實IC!BF19</f>
        <v>5.2864951853179836</v>
      </c>
      <c r="BG19" s="8">
        <f>BF19+真實IC!BG19</f>
        <v>5.4398039364877722</v>
      </c>
      <c r="BH19" s="8">
        <f>BG19+真實IC!BH19</f>
        <v>5.5803008424413454</v>
      </c>
      <c r="BI19" s="8">
        <f>BH19+真實IC!BI19</f>
        <v>5.7080994712605637</v>
      </c>
      <c r="BJ19" s="8">
        <f>BI19+真實IC!BJ19</f>
        <v>5.7599196379272302</v>
      </c>
      <c r="BK19" s="8">
        <f>BJ19+真實IC!BK19</f>
        <v>5.6628808045938968</v>
      </c>
      <c r="BL19" s="8">
        <f>BK19+真實IC!BL19</f>
        <v>5.7260453383409162</v>
      </c>
      <c r="BM19" s="8">
        <f>BL19+真實IC!BM19</f>
        <v>5.7578316032100618</v>
      </c>
      <c r="BN19" s="8">
        <f>BM19+真實IC!BN19</f>
        <v>5.6764164365433949</v>
      </c>
      <c r="BO19" s="8">
        <f>BN19+真實IC!BO19</f>
        <v>5.7021453978085104</v>
      </c>
      <c r="BP19" s="8">
        <f>BO19+真實IC!BP19</f>
        <v>5.6897367311418439</v>
      </c>
      <c r="BQ19" s="8">
        <f>BP19+真實IC!BQ19</f>
        <v>5.6996707755961671</v>
      </c>
      <c r="BR19" s="8">
        <f>BQ19+真實IC!BR19</f>
        <v>5.8365100111393122</v>
      </c>
      <c r="BS19" s="8">
        <f>BR19+真實IC!BS19</f>
        <v>5.8330100791996733</v>
      </c>
      <c r="BT19" s="8">
        <f>BS19+真實IC!BT19</f>
        <v>5.8198152458663399</v>
      </c>
      <c r="BU19" s="8">
        <f>BT19+真實IC!BU19</f>
        <v>5.9504860791996732</v>
      </c>
      <c r="BV19" s="8">
        <f>BU19+真實IC!BV19</f>
        <v>5.9808368711655708</v>
      </c>
      <c r="BW19" s="8">
        <f>BV19+真實IC!BW19</f>
        <v>6.2882898779753038</v>
      </c>
      <c r="BX19" s="8">
        <f>BW19+真實IC!BX19</f>
        <v>6.2518927113086376</v>
      </c>
      <c r="BY19" s="8">
        <f>BX19+真實IC!BY19</f>
        <v>6.1720257842396915</v>
      </c>
      <c r="BZ19" s="8">
        <f>BY19+真實IC!BZ19</f>
        <v>6.2407279090617456</v>
      </c>
      <c r="CA19" s="8">
        <f>BZ19+真實IC!CA19</f>
        <v>6.2700566642855202</v>
      </c>
      <c r="CB19" s="8">
        <f>CA19+真實IC!CB19</f>
        <v>6.3978951642855204</v>
      </c>
      <c r="CC19" s="8">
        <f>CB19+真實IC!CC19</f>
        <v>6.4204008309521869</v>
      </c>
      <c r="CD19" s="8">
        <f>CC19+真實IC!CD19</f>
        <v>6.6360200290459046</v>
      </c>
      <c r="CE19" s="8">
        <f>CD19+真實IC!CE19</f>
        <v>6.7244941957125715</v>
      </c>
      <c r="CF19" s="8">
        <f>CE19+真實IC!CF19</f>
        <v>6.8043985929186208</v>
      </c>
      <c r="CG19" s="8">
        <f>CF19+真實IC!CG19</f>
        <v>6.861516217785578</v>
      </c>
      <c r="CH19" s="8">
        <f>CG19+真實IC!CH19</f>
        <v>7.0144060848355041</v>
      </c>
      <c r="CI19" s="8">
        <f>CH19+真實IC!CI19</f>
        <v>7.051473030995699</v>
      </c>
      <c r="CJ19" s="8">
        <f>CI19+真實IC!CJ19</f>
        <v>7.0396611082337044</v>
      </c>
      <c r="CK19" s="8">
        <f>CJ19+真實IC!CK19</f>
        <v>7.1584583711910392</v>
      </c>
      <c r="CL19" s="8">
        <f>CK19+真實IC!CL19</f>
        <v>7.1152180912162493</v>
      </c>
      <c r="CM19" s="8">
        <f>CL19+真實IC!CM19</f>
        <v>7.2254532578829158</v>
      </c>
      <c r="CN19" s="8">
        <f>CM19+真實IC!CN19</f>
        <v>7.3686464683524502</v>
      </c>
      <c r="CO19" s="8">
        <f>CN19+真實IC!CO19</f>
        <v>7.6198821350191173</v>
      </c>
      <c r="CP19" s="8">
        <f>CO19+真實IC!CP19</f>
        <v>7.7789147340014502</v>
      </c>
      <c r="CQ19" s="8">
        <f>CP19+真實IC!CQ19</f>
        <v>7.8113093415178687</v>
      </c>
      <c r="CR19" s="8">
        <f>CQ19+真實IC!CR19</f>
        <v>7.9876160657640609</v>
      </c>
      <c r="CS19" s="8">
        <f>CR19+真實IC!CS19</f>
        <v>8.0418665153123943</v>
      </c>
      <c r="CT19" s="8">
        <f>CS19+真實IC!CT19</f>
        <v>8.0682885153123944</v>
      </c>
      <c r="CU19" s="8">
        <f>CT19+真實IC!CU19</f>
        <v>8.2148960585733342</v>
      </c>
      <c r="CV19" s="8">
        <f>CU19+真實IC!CV19</f>
        <v>8.3094490665447136</v>
      </c>
      <c r="CW19" s="8">
        <f>CV19+真實IC!CW19</f>
        <v>8.3699649451177507</v>
      </c>
      <c r="CX19" s="8">
        <f>CW19+真實IC!CX19</f>
        <v>8.427599671485936</v>
      </c>
      <c r="CY19" s="8">
        <f>CX19+真實IC!CY19</f>
        <v>8.5007505048192691</v>
      </c>
      <c r="CZ19" s="8">
        <f>CY19+真實IC!CZ19</f>
        <v>8.613602333460733</v>
      </c>
      <c r="DA19" s="8">
        <f>CZ19+真實IC!DA19</f>
        <v>8.6887848334607334</v>
      </c>
      <c r="DB19" s="8">
        <f>DA19+真實IC!DB19</f>
        <v>8.8367458334607338</v>
      </c>
      <c r="DC19" s="8">
        <f>DB19+真實IC!DC19</f>
        <v>8.801566433558639</v>
      </c>
      <c r="DD19" s="8">
        <f>DC19+真實IC!DD19</f>
        <v>8.8077675588134685</v>
      </c>
      <c r="DE19" s="8">
        <f>DD19+真實IC!DE19</f>
        <v>8.8407859734692611</v>
      </c>
      <c r="DF19" s="8">
        <f>DE19+真實IC!DF19</f>
        <v>9.0462888068025951</v>
      </c>
      <c r="DG19" s="8">
        <f>DF19+真實IC!DG19</f>
        <v>9.1126633068025953</v>
      </c>
      <c r="DH19" s="8">
        <f>DG19+真實IC!DH19</f>
        <v>9.337254640135928</v>
      </c>
      <c r="DI19" s="8">
        <f>DH19+真實IC!DI19</f>
        <v>9.4457163068025949</v>
      </c>
      <c r="DJ19" s="8">
        <f>DI19+真實IC!DJ19</f>
        <v>9.6109667757616659</v>
      </c>
      <c r="DK19" s="8">
        <f>DJ19+真實IC!DK19</f>
        <v>9.7324074424283324</v>
      </c>
      <c r="DL19" s="8">
        <f>DK19+真實IC!DL19</f>
        <v>9.7204246565193593</v>
      </c>
      <c r="DM19" s="8">
        <f>DL19+真實IC!DM19</f>
        <v>9.6631248231860258</v>
      </c>
      <c r="DN19" s="8">
        <f>DM19+真實IC!DN19</f>
        <v>9.665599946283665</v>
      </c>
      <c r="DO19" s="8">
        <f>DN19+真實IC!DO19</f>
        <v>9.9148611129503319</v>
      </c>
      <c r="DP19" s="8">
        <f>DO19+真實IC!DP19</f>
        <v>10.085129243630293</v>
      </c>
      <c r="DQ19" s="8">
        <f>DP19+真實IC!DQ19</f>
        <v>10.165503415468368</v>
      </c>
      <c r="DR19" s="8">
        <f>DQ19+真實IC!DR19</f>
        <v>10.241465768793416</v>
      </c>
      <c r="DS19" s="8">
        <f>DR19+真實IC!DS19</f>
        <v>10.235787435460082</v>
      </c>
      <c r="DT19" s="8">
        <f>DS19+真實IC!DT19</f>
        <v>10.240820681980187</v>
      </c>
      <c r="DU19" s="8">
        <f>DT19+真實IC!DU19</f>
        <v>10.391403181980188</v>
      </c>
      <c r="DV19" s="8">
        <f>DU19+真實IC!DV19</f>
        <v>10.502927888420793</v>
      </c>
      <c r="DW19" s="8">
        <f>DV19+真實IC!DW19</f>
        <v>10.401630888420792</v>
      </c>
      <c r="DX19" s="8">
        <f>DW19+真實IC!DX19</f>
        <v>10.53999602265897</v>
      </c>
      <c r="DY19" s="8">
        <f>DX19+真實IC!DY19</f>
        <v>10.67924402265897</v>
      </c>
      <c r="DZ19" s="8">
        <f>DY19+真實IC!DZ19</f>
        <v>10.75778152265897</v>
      </c>
      <c r="EA19" s="8">
        <f>DZ19+真實IC!EA19</f>
        <v>10.790701249853985</v>
      </c>
      <c r="EB19" s="8">
        <f>EA19+真實IC!EB19</f>
        <v>10.899454759492237</v>
      </c>
      <c r="EC19" s="8">
        <f>EB19+真實IC!EC19</f>
        <v>10.887264716268534</v>
      </c>
      <c r="ED19" s="8">
        <f>EC19+真實IC!ED19</f>
        <v>11.038200033258692</v>
      </c>
      <c r="EE19" s="8">
        <f>ED19+真實IC!EE19</f>
        <v>11.030893699925358</v>
      </c>
      <c r="EF19" s="8">
        <f>EE19+真實IC!EF19</f>
        <v>11.104913699925358</v>
      </c>
    </row>
    <row r="20" spans="1:136">
      <c r="A20" s="7"/>
      <c r="B20" s="18" t="s">
        <v>229</v>
      </c>
      <c r="C20" s="6">
        <v>0.20155100000000001</v>
      </c>
      <c r="D20" s="8">
        <f>C20+真實IC!D20</f>
        <v>0.58357680000000001</v>
      </c>
      <c r="E20" s="8">
        <f>D20+真實IC!E20</f>
        <v>0.64091200000000004</v>
      </c>
      <c r="F20" s="8">
        <f>E20+真實IC!F20</f>
        <v>0.43538073566682584</v>
      </c>
      <c r="G20" s="8">
        <f>F20+真實IC!G20</f>
        <v>0.55256387695576492</v>
      </c>
      <c r="H20" s="8">
        <f>G20+真實IC!H20</f>
        <v>0.69649607695576488</v>
      </c>
      <c r="I20" s="8">
        <f>H20+真實IC!I20</f>
        <v>0.85464563955686657</v>
      </c>
      <c r="J20" s="8">
        <f>I20+真實IC!J20</f>
        <v>0.88911689828372276</v>
      </c>
      <c r="K20" s="8">
        <f>J20+真實IC!K20</f>
        <v>1.1038414020448046</v>
      </c>
      <c r="L20" s="8">
        <f>K20+真實IC!L20</f>
        <v>1.0731478020448046</v>
      </c>
      <c r="M20" s="8">
        <f>L20+真實IC!M20</f>
        <v>0.99542957375353114</v>
      </c>
      <c r="N20" s="8">
        <f>M20+真實IC!N20</f>
        <v>1.4954411737535311</v>
      </c>
      <c r="O20" s="8">
        <f>N20+真實IC!O20</f>
        <v>1.5453060598228052</v>
      </c>
      <c r="P20" s="8">
        <f>O20+真實IC!P20</f>
        <v>1.6364759874913304</v>
      </c>
      <c r="Q20" s="8">
        <f>P20+真實IC!Q20</f>
        <v>1.8532017264943088</v>
      </c>
      <c r="R20" s="8">
        <f>Q20+真實IC!R20</f>
        <v>1.7439486708568399</v>
      </c>
      <c r="S20" s="8">
        <f>R20+真實IC!S20</f>
        <v>1.8991312891845826</v>
      </c>
      <c r="T20" s="8">
        <f>S20+真實IC!T20</f>
        <v>1.984596744922398</v>
      </c>
      <c r="U20" s="8">
        <f>T20+真實IC!U20</f>
        <v>2.133246425040173</v>
      </c>
      <c r="V20" s="8">
        <f>U20+真實IC!V20</f>
        <v>2.1458905281573619</v>
      </c>
      <c r="W20" s="8">
        <f>V20+真實IC!W20</f>
        <v>2.236975528157362</v>
      </c>
      <c r="X20" s="8">
        <f>W20+真實IC!X20</f>
        <v>2.447361941080147</v>
      </c>
      <c r="Y20" s="8">
        <f>X20+真實IC!Y20</f>
        <v>2.40529445154155</v>
      </c>
      <c r="Z20" s="8">
        <f>Y20+真實IC!Z20</f>
        <v>2.5109114120252092</v>
      </c>
      <c r="AA20" s="8">
        <f>Z20+真實IC!AA20</f>
        <v>2.6413947805058551</v>
      </c>
      <c r="AB20" s="8">
        <f>AA20+真實IC!AB20</f>
        <v>2.7261546212320282</v>
      </c>
      <c r="AC20" s="8">
        <f>AB20+真實IC!AC20</f>
        <v>2.7734028839599958</v>
      </c>
      <c r="AD20" s="8">
        <f>AC20+真實IC!AD20</f>
        <v>2.9032454839599957</v>
      </c>
      <c r="AE20" s="8">
        <f>AD20+真實IC!AE20</f>
        <v>3.0644666911151068</v>
      </c>
      <c r="AF20" s="8">
        <f>AE20+真實IC!AF20</f>
        <v>3.2879645107514794</v>
      </c>
      <c r="AG20" s="8">
        <f>AF20+真實IC!AG20</f>
        <v>3.3156237292913717</v>
      </c>
      <c r="AH20" s="8">
        <f>AG20+真實IC!AH20</f>
        <v>3.2254455285765893</v>
      </c>
      <c r="AI20" s="8">
        <f>AH20+真實IC!AI20</f>
        <v>3.3417827285765891</v>
      </c>
      <c r="AJ20" s="8">
        <f>AI20+真實IC!AJ20</f>
        <v>3.2797926940290414</v>
      </c>
      <c r="AK20" s="8">
        <f>AJ20+真實IC!AK20</f>
        <v>3.2661975785330384</v>
      </c>
      <c r="AL20" s="8">
        <f>AK20+真實IC!AL20</f>
        <v>3.2605795785330383</v>
      </c>
      <c r="AM20" s="8">
        <f>AL20+真實IC!AM20</f>
        <v>3.2936755592818407</v>
      </c>
      <c r="AN20" s="8">
        <f>AM20+真實IC!AN20</f>
        <v>3.3691457528008391</v>
      </c>
      <c r="AO20" s="8">
        <f>AN20+真實IC!AO20</f>
        <v>3.4182540474402385</v>
      </c>
      <c r="AP20" s="8">
        <f>AO20+真實IC!AP20</f>
        <v>3.5499845086956263</v>
      </c>
      <c r="AQ20" s="8">
        <f>AP20+真實IC!AQ20</f>
        <v>3.6228831086956261</v>
      </c>
      <c r="AR20" s="8">
        <f>AQ20+真實IC!AR20</f>
        <v>3.6095939086956261</v>
      </c>
      <c r="AS20" s="8">
        <f>AR20+真實IC!AS20</f>
        <v>3.5673021922466503</v>
      </c>
      <c r="AT20" s="8">
        <f>AS20+真實IC!AT20</f>
        <v>3.8064259396917208</v>
      </c>
      <c r="AU20" s="8">
        <f>AT20+真實IC!AU20</f>
        <v>4.0881249396917205</v>
      </c>
      <c r="AV20" s="8">
        <f>AU20+真實IC!AV20</f>
        <v>4.0558783269049572</v>
      </c>
      <c r="AW20" s="8">
        <f>AV20+真實IC!AW20</f>
        <v>4.280876167683302</v>
      </c>
      <c r="AX20" s="8">
        <f>AW20+真實IC!AX20</f>
        <v>4.4852153876438488</v>
      </c>
      <c r="AY20" s="8">
        <f>AX20+真實IC!AY20</f>
        <v>4.5238900860867579</v>
      </c>
      <c r="AZ20" s="8">
        <f>AY20+真實IC!AZ20</f>
        <v>4.6236942860867583</v>
      </c>
      <c r="BA20" s="8">
        <f>AZ20+真實IC!BA20</f>
        <v>4.7750322860867582</v>
      </c>
      <c r="BB20" s="8">
        <f>BA20+真實IC!BB20</f>
        <v>5.1534790713961023</v>
      </c>
      <c r="BC20" s="8">
        <f>BB20+真實IC!BC20</f>
        <v>5.3936197463865163</v>
      </c>
      <c r="BD20" s="8">
        <f>BC20+真實IC!BD20</f>
        <v>5.4019833463865163</v>
      </c>
      <c r="BE20" s="8">
        <f>BD20+真實IC!BE20</f>
        <v>5.5002617211208724</v>
      </c>
      <c r="BF20" s="8">
        <f>BE20+真實IC!BF20</f>
        <v>5.6382329841898473</v>
      </c>
      <c r="BG20" s="8">
        <f>BF20+真實IC!BG20</f>
        <v>5.7322950397981876</v>
      </c>
      <c r="BH20" s="8">
        <f>BG20+真實IC!BH20</f>
        <v>5.882352340361642</v>
      </c>
      <c r="BI20" s="8">
        <f>BH20+真實IC!BI20</f>
        <v>6.0140976074468169</v>
      </c>
      <c r="BJ20" s="8">
        <f>BI20+真實IC!BJ20</f>
        <v>6.0692554074468168</v>
      </c>
      <c r="BK20" s="8">
        <f>BJ20+真實IC!BK20</f>
        <v>5.9516044074468164</v>
      </c>
      <c r="BL20" s="8">
        <f>BK20+真實IC!BL20</f>
        <v>6.0214638493840367</v>
      </c>
      <c r="BM20" s="8">
        <f>BL20+真實IC!BM20</f>
        <v>6.0689324008482259</v>
      </c>
      <c r="BN20" s="8">
        <f>BM20+真實IC!BN20</f>
        <v>6.0875684008482258</v>
      </c>
      <c r="BO20" s="8">
        <f>BN20+真實IC!BO20</f>
        <v>6.0491066833322469</v>
      </c>
      <c r="BP20" s="8">
        <f>BO20+真實IC!BP20</f>
        <v>6.0563904833322466</v>
      </c>
      <c r="BQ20" s="8">
        <f>BP20+真實IC!BQ20</f>
        <v>6.0718421902930899</v>
      </c>
      <c r="BR20" s="8">
        <f>BQ20+真實IC!BR20</f>
        <v>6.2529692717647514</v>
      </c>
      <c r="BS20" s="8">
        <f>BR20+真實IC!BS20</f>
        <v>6.220433074039895</v>
      </c>
      <c r="BT20" s="8">
        <f>BS20+真實IC!BT20</f>
        <v>6.1679644740398949</v>
      </c>
      <c r="BU20" s="8">
        <f>BT20+真實IC!BU20</f>
        <v>6.3174054740398953</v>
      </c>
      <c r="BV20" s="8">
        <f>BU20+真實IC!BV20</f>
        <v>6.2358620322792966</v>
      </c>
      <c r="BW20" s="8">
        <f>BV20+真實IC!BW20</f>
        <v>6.5876915823277011</v>
      </c>
      <c r="BX20" s="8">
        <f>BW20+真實IC!BX20</f>
        <v>6.5348329823277007</v>
      </c>
      <c r="BY20" s="8">
        <f>BX20+真實IC!BY20</f>
        <v>6.5301936231780324</v>
      </c>
      <c r="BZ20" s="8">
        <f>BY20+真實IC!BZ20</f>
        <v>6.6204650274383159</v>
      </c>
      <c r="CA20" s="8">
        <f>BZ20+真實IC!CA20</f>
        <v>6.6605677554900691</v>
      </c>
      <c r="CB20" s="8">
        <f>CA20+真實IC!CB20</f>
        <v>6.7870631554900687</v>
      </c>
      <c r="CC20" s="8">
        <f>CB20+真實IC!CC20</f>
        <v>6.7999779554900686</v>
      </c>
      <c r="CD20" s="8">
        <f>CC20+真實IC!CD20</f>
        <v>6.981005452980666</v>
      </c>
      <c r="CE20" s="8">
        <f>CD20+真實IC!CE20</f>
        <v>7.0667828529806656</v>
      </c>
      <c r="CF20" s="8">
        <f>CE20+真實IC!CF20</f>
        <v>7.1477407901793422</v>
      </c>
      <c r="CG20" s="8">
        <f>CF20+真實IC!CG20</f>
        <v>7.2237110309224501</v>
      </c>
      <c r="CH20" s="8">
        <f>CG20+真實IC!CH20</f>
        <v>7.2955750565195885</v>
      </c>
      <c r="CI20" s="8">
        <f>CH20+真實IC!CI20</f>
        <v>7.3259697302886702</v>
      </c>
      <c r="CJ20" s="8">
        <f>CI20+真實IC!CJ20</f>
        <v>7.2844597455047415</v>
      </c>
      <c r="CK20" s="8">
        <f>CJ20+真實IC!CK20</f>
        <v>7.3650493694453631</v>
      </c>
      <c r="CL20" s="8">
        <f>CK20+真實IC!CL20</f>
        <v>7.2728644352562339</v>
      </c>
      <c r="CM20" s="8">
        <f>CL20+真實IC!CM20</f>
        <v>7.3696386352562335</v>
      </c>
      <c r="CN20" s="8">
        <f>CM20+真實IC!CN20</f>
        <v>7.5745304688973363</v>
      </c>
      <c r="CO20" s="8">
        <f>CN20+真實IC!CO20</f>
        <v>7.871103868897336</v>
      </c>
      <c r="CP20" s="8">
        <f>CO20+真實IC!CP20</f>
        <v>8.0631350740063628</v>
      </c>
      <c r="CQ20" s="8">
        <f>CP20+真實IC!CQ20</f>
        <v>8.0862531193066456</v>
      </c>
      <c r="CR20" s="8">
        <f>CQ20+真實IC!CR20</f>
        <v>8.2817392297915884</v>
      </c>
      <c r="CS20" s="8">
        <f>CR20+真實IC!CS20</f>
        <v>8.3788763285259105</v>
      </c>
      <c r="CT20" s="8">
        <f>CS20+真實IC!CT20</f>
        <v>8.4072917285259106</v>
      </c>
      <c r="CU20" s="8">
        <f>CT20+真實IC!CU20</f>
        <v>8.5540197375975371</v>
      </c>
      <c r="CV20" s="8">
        <f>CU20+真實IC!CV20</f>
        <v>8.6732338658102215</v>
      </c>
      <c r="CW20" s="8">
        <f>CV20+真實IC!CW20</f>
        <v>8.7411375739850676</v>
      </c>
      <c r="CX20" s="8">
        <f>CW20+真實IC!CX20</f>
        <v>8.8314361248528321</v>
      </c>
      <c r="CY20" s="8">
        <f>CX20+真實IC!CY20</f>
        <v>8.9401683248528325</v>
      </c>
      <c r="CZ20" s="8">
        <f>CY20+真實IC!CZ20</f>
        <v>9.0953299700020303</v>
      </c>
      <c r="DA20" s="8">
        <f>CZ20+真實IC!DA20</f>
        <v>9.1724115700020299</v>
      </c>
      <c r="DB20" s="8">
        <f>DA20+真實IC!DB20</f>
        <v>9.2493785700020297</v>
      </c>
      <c r="DC20" s="8">
        <f>DB20+真實IC!DC20</f>
        <v>9.1997655007664747</v>
      </c>
      <c r="DD20" s="8">
        <f>DC20+真實IC!DD20</f>
        <v>9.203362685523425</v>
      </c>
      <c r="DE20" s="8">
        <f>DD20+真實IC!DE20</f>
        <v>9.213781407130277</v>
      </c>
      <c r="DF20" s="8">
        <f>DE20+真實IC!DF20</f>
        <v>9.4593568071302769</v>
      </c>
      <c r="DG20" s="8">
        <f>DF20+真實IC!DG20</f>
        <v>9.5117026071302764</v>
      </c>
      <c r="DH20" s="8">
        <f>DG20+真實IC!DH20</f>
        <v>9.7900022071302768</v>
      </c>
      <c r="DI20" s="8">
        <f>DH20+真實IC!DI20</f>
        <v>9.9275982071302771</v>
      </c>
      <c r="DJ20" s="8">
        <f>DI20+真實IC!DJ20</f>
        <v>10.064156299562974</v>
      </c>
      <c r="DK20" s="8">
        <f>DJ20+真實IC!DK20</f>
        <v>10.149340899562974</v>
      </c>
      <c r="DL20" s="8">
        <f>DK20+真實IC!DL20</f>
        <v>10.129875526229354</v>
      </c>
      <c r="DM20" s="8">
        <f>DL20+真實IC!DM20</f>
        <v>10.060539726229354</v>
      </c>
      <c r="DN20" s="8">
        <f>DM20+真實IC!DN20</f>
        <v>10.118558932883554</v>
      </c>
      <c r="DO20" s="8">
        <f>DN20+真實IC!DO20</f>
        <v>10.376559932883554</v>
      </c>
      <c r="DP20" s="8">
        <f>DO20+真實IC!DP20</f>
        <v>10.576715367637943</v>
      </c>
      <c r="DQ20" s="8">
        <f>DP20+真實IC!DQ20</f>
        <v>10.634175549262643</v>
      </c>
      <c r="DR20" s="8">
        <f>DQ20+真實IC!DR20</f>
        <v>10.712688209290933</v>
      </c>
      <c r="DS20" s="8">
        <f>DR20+真實IC!DS20</f>
        <v>10.705196209290934</v>
      </c>
      <c r="DT20" s="8">
        <f>DS20+真實IC!DT20</f>
        <v>10.675510870492092</v>
      </c>
      <c r="DU20" s="8">
        <f>DT20+真實IC!DU20</f>
        <v>10.851886670492092</v>
      </c>
      <c r="DV20" s="8">
        <f>DU20+真實IC!DV20</f>
        <v>10.981232142330951</v>
      </c>
      <c r="DW20" s="8">
        <f>DV20+真實IC!DW20</f>
        <v>10.877685542330951</v>
      </c>
      <c r="DX20" s="8">
        <f>DW20+真實IC!DX20</f>
        <v>11.031551871937266</v>
      </c>
      <c r="DY20" s="8">
        <f>DX20+真實IC!DY20</f>
        <v>11.153142471937265</v>
      </c>
      <c r="DZ20" s="8">
        <f>DY20+真實IC!DZ20</f>
        <v>11.243341871937265</v>
      </c>
      <c r="EA20" s="8">
        <f>DZ20+真實IC!EA20</f>
        <v>11.23741627266393</v>
      </c>
      <c r="EB20" s="8">
        <f>EA20+真實IC!EB20</f>
        <v>11.319823415108349</v>
      </c>
      <c r="EC20" s="8">
        <f>EB20+真實IC!EC20</f>
        <v>11.353872996522291</v>
      </c>
      <c r="ED20" s="8">
        <f>EC20+真實IC!ED20</f>
        <v>11.530791857589302</v>
      </c>
      <c r="EE20" s="8">
        <f>ED20+真實IC!EE20</f>
        <v>11.529050257589301</v>
      </c>
      <c r="EF20" s="8">
        <f>EE20+真實IC!EF20</f>
        <v>11.614850257589302</v>
      </c>
    </row>
    <row r="21" spans="1:136">
      <c r="A21" s="7"/>
      <c r="B21" s="18" t="s">
        <v>230</v>
      </c>
      <c r="C21" s="6">
        <v>0.21462999999999999</v>
      </c>
      <c r="D21" s="8">
        <f>C21+真實IC!D21</f>
        <v>0.34101899999999996</v>
      </c>
      <c r="E21" s="8">
        <f>D21+真實IC!E21</f>
        <v>0.32732749999999994</v>
      </c>
      <c r="F21" s="8">
        <f>E21+真實IC!F21</f>
        <v>0.14328891839386995</v>
      </c>
      <c r="G21" s="8">
        <f>F21+真實IC!G21</f>
        <v>0.28713106950643441</v>
      </c>
      <c r="H21" s="8">
        <f>G21+真實IC!H21</f>
        <v>0.44929506950643439</v>
      </c>
      <c r="I21" s="8">
        <f>H21+真實IC!I21</f>
        <v>0.59655067763390734</v>
      </c>
      <c r="J21" s="8">
        <f>I21+真實IC!J21</f>
        <v>0.65698600332554968</v>
      </c>
      <c r="K21" s="8">
        <f>J21+真實IC!K21</f>
        <v>0.86386602932894518</v>
      </c>
      <c r="L21" s="8">
        <f>K21+真實IC!L21</f>
        <v>0.86889702932894519</v>
      </c>
      <c r="M21" s="8">
        <f>L21+真實IC!M21</f>
        <v>0.76921243592073396</v>
      </c>
      <c r="N21" s="8">
        <f>M21+真實IC!N21</f>
        <v>1.3541029359207339</v>
      </c>
      <c r="O21" s="8">
        <f>N21+真實IC!O21</f>
        <v>1.3884549253814247</v>
      </c>
      <c r="P21" s="8">
        <f>O21+真實IC!P21</f>
        <v>1.5332275262711095</v>
      </c>
      <c r="Q21" s="8">
        <f>P21+真實IC!Q21</f>
        <v>1.7905376003653617</v>
      </c>
      <c r="R21" s="8">
        <f>Q21+真實IC!R21</f>
        <v>1.6949622892587315</v>
      </c>
      <c r="S21" s="8">
        <f>R21+真實IC!S21</f>
        <v>1.8235525747086885</v>
      </c>
      <c r="T21" s="8">
        <f>S21+真實IC!T21</f>
        <v>1.922014247465486</v>
      </c>
      <c r="U21" s="8">
        <f>T21+真實IC!U21</f>
        <v>2.0082926650772439</v>
      </c>
      <c r="V21" s="8">
        <f>U21+真實IC!V21</f>
        <v>2.0618502844432753</v>
      </c>
      <c r="W21" s="8">
        <f>V21+真實IC!W21</f>
        <v>2.1863490344432752</v>
      </c>
      <c r="X21" s="8">
        <f>W21+真實IC!X21</f>
        <v>2.3999799766483916</v>
      </c>
      <c r="Y21" s="8">
        <f>X21+真實IC!Y21</f>
        <v>2.3791468937559568</v>
      </c>
      <c r="Z21" s="8">
        <f>Y21+真實IC!Z21</f>
        <v>2.4933508809786811</v>
      </c>
      <c r="AA21" s="8">
        <f>Z21+真實IC!AA21</f>
        <v>2.6039867879811598</v>
      </c>
      <c r="AB21" s="8">
        <f>AA21+真實IC!AB21</f>
        <v>2.7338263703782295</v>
      </c>
      <c r="AC21" s="8">
        <f>AB21+真實IC!AC21</f>
        <v>2.7526541070850294</v>
      </c>
      <c r="AD21" s="8">
        <f>AC21+真實IC!AD21</f>
        <v>2.8814786070850293</v>
      </c>
      <c r="AE21" s="8">
        <f>AD21+真實IC!AE21</f>
        <v>3.0095835858812752</v>
      </c>
      <c r="AF21" s="8">
        <f>AE21+真實IC!AF21</f>
        <v>3.3047278439646384</v>
      </c>
      <c r="AG21" s="8">
        <f>AF21+真實IC!AG21</f>
        <v>3.3490306217544323</v>
      </c>
      <c r="AH21" s="8">
        <f>AG21+真實IC!AH21</f>
        <v>3.241449259189634</v>
      </c>
      <c r="AI21" s="8">
        <f>AH21+真實IC!AI21</f>
        <v>3.3435735091896341</v>
      </c>
      <c r="AJ21" s="8">
        <f>AI21+真實IC!AJ21</f>
        <v>3.2731681672431656</v>
      </c>
      <c r="AK21" s="8">
        <f>AJ21+真實IC!AK21</f>
        <v>3.2373649996250555</v>
      </c>
      <c r="AL21" s="8">
        <f>AK21+真實IC!AL21</f>
        <v>3.2571452496250557</v>
      </c>
      <c r="AM21" s="8">
        <f>AL21+真實IC!AM21</f>
        <v>3.3256810570726865</v>
      </c>
      <c r="AN21" s="8">
        <f>AM21+真實IC!AN21</f>
        <v>3.4376371131357808</v>
      </c>
      <c r="AO21" s="8">
        <f>AN21+真實IC!AO21</f>
        <v>3.5232048880496682</v>
      </c>
      <c r="AP21" s="8">
        <f>AO21+真實IC!AP21</f>
        <v>3.5957400316196875</v>
      </c>
      <c r="AQ21" s="8">
        <f>AP21+真實IC!AQ21</f>
        <v>3.7289640316196877</v>
      </c>
      <c r="AR21" s="8">
        <f>AQ21+真實IC!AR21</f>
        <v>3.7769522816196877</v>
      </c>
      <c r="AS21" s="8">
        <f>AR21+真實IC!AS21</f>
        <v>3.7315455995596793</v>
      </c>
      <c r="AT21" s="8">
        <f>AS21+真實IC!AT21</f>
        <v>3.9963838571076766</v>
      </c>
      <c r="AU21" s="8">
        <f>AT21+真實IC!AU21</f>
        <v>4.3428651071076763</v>
      </c>
      <c r="AV21" s="8">
        <f>AU21+真實IC!AV21</f>
        <v>4.2741511944111963</v>
      </c>
      <c r="AW21" s="8">
        <f>AV21+真實IC!AW21</f>
        <v>4.5374061107850112</v>
      </c>
      <c r="AX21" s="8">
        <f>AW21+真實IC!AX21</f>
        <v>4.7551244133020489</v>
      </c>
      <c r="AY21" s="8">
        <f>AX21+真實IC!AY21</f>
        <v>4.802145704280087</v>
      </c>
      <c r="AZ21" s="8">
        <f>AY21+真實IC!AZ21</f>
        <v>4.9106487042800868</v>
      </c>
      <c r="BA21" s="8">
        <f>AZ21+真實IC!BA21</f>
        <v>5.0502412042800868</v>
      </c>
      <c r="BB21" s="8">
        <f>BA21+真實IC!BB21</f>
        <v>5.454672632413236</v>
      </c>
      <c r="BC21" s="8">
        <f>BB21+真實IC!BC21</f>
        <v>5.6191331643420623</v>
      </c>
      <c r="BD21" s="8">
        <f>BC21+真實IC!BD21</f>
        <v>5.6573556643420622</v>
      </c>
      <c r="BE21" s="8">
        <f>BD21+真實IC!BE21</f>
        <v>5.7941010202500269</v>
      </c>
      <c r="BF21" s="8">
        <f>BE21+真實IC!BF21</f>
        <v>5.9932182366806304</v>
      </c>
      <c r="BG21" s="8">
        <f>BF21+真實IC!BG21</f>
        <v>6.0855038081878838</v>
      </c>
      <c r="BH21" s="8">
        <f>BG21+真實IC!BH21</f>
        <v>6.192345917825314</v>
      </c>
      <c r="BI21" s="8">
        <f>BH21+真實IC!BI21</f>
        <v>6.3583155140037055</v>
      </c>
      <c r="BJ21" s="8">
        <f>BI21+真實IC!BJ21</f>
        <v>6.3807117640037054</v>
      </c>
      <c r="BK21" s="8">
        <f>BJ21+真實IC!BK21</f>
        <v>6.3079880140037057</v>
      </c>
      <c r="BL21" s="8">
        <f>BK21+真實IC!BL21</f>
        <v>6.3953288044714043</v>
      </c>
      <c r="BM21" s="8">
        <f>BL21+真實IC!BM21</f>
        <v>6.4361240905001251</v>
      </c>
      <c r="BN21" s="8">
        <f>BM21+真實IC!BN21</f>
        <v>6.4619123405001249</v>
      </c>
      <c r="BO21" s="8">
        <f>BN21+真實IC!BO21</f>
        <v>6.3980551040864446</v>
      </c>
      <c r="BP21" s="8">
        <f>BO21+真實IC!BP21</f>
        <v>6.3938751040864448</v>
      </c>
      <c r="BQ21" s="8">
        <f>BP21+真實IC!BQ21</f>
        <v>6.4484173349209497</v>
      </c>
      <c r="BR21" s="8">
        <f>BQ21+真實IC!BR21</f>
        <v>6.5904787908310452</v>
      </c>
      <c r="BS21" s="8">
        <f>BR21+真實IC!BS21</f>
        <v>6.5247369698706974</v>
      </c>
      <c r="BT21" s="8">
        <f>BS21+真實IC!BT21</f>
        <v>6.4639149698706975</v>
      </c>
      <c r="BU21" s="8">
        <f>BT21+真實IC!BU21</f>
        <v>6.6346529698706975</v>
      </c>
      <c r="BV21" s="8">
        <f>BU21+真實IC!BV21</f>
        <v>6.5903129898294237</v>
      </c>
      <c r="BW21" s="8">
        <f>BV21+真實IC!BW21</f>
        <v>6.7747736605498332</v>
      </c>
      <c r="BX21" s="8">
        <f>BW21+真實IC!BX21</f>
        <v>6.6976104105498333</v>
      </c>
      <c r="BY21" s="8">
        <f>BX21+真實IC!BY21</f>
        <v>6.6419441183075962</v>
      </c>
      <c r="BZ21" s="8">
        <f>BY21+真實IC!BZ21</f>
        <v>6.6896070470283115</v>
      </c>
      <c r="CA21" s="8">
        <f>BZ21+真實IC!CA21</f>
        <v>6.7501246503307097</v>
      </c>
      <c r="CB21" s="8">
        <f>CA21+真實IC!CB21</f>
        <v>6.9579949003307098</v>
      </c>
      <c r="CC21" s="8">
        <f>CB21+真實IC!CC21</f>
        <v>6.9499754003307102</v>
      </c>
      <c r="CD21" s="8">
        <f>CC21+真實IC!CD21</f>
        <v>7.2380314646931829</v>
      </c>
      <c r="CE21" s="8">
        <f>CD21+真實IC!CE21</f>
        <v>7.2995459646931833</v>
      </c>
      <c r="CF21" s="8">
        <f>CE21+真實IC!CF21</f>
        <v>7.4308116414942553</v>
      </c>
      <c r="CG21" s="8">
        <f>CF21+真實IC!CG21</f>
        <v>7.5158969769683868</v>
      </c>
      <c r="CH21" s="8">
        <f>CG21+真實IC!CH21</f>
        <v>7.5959972980445984</v>
      </c>
      <c r="CI21" s="8">
        <f>CH21+真實IC!CI21</f>
        <v>7.6764969144355808</v>
      </c>
      <c r="CJ21" s="8">
        <f>CI21+真實IC!CJ21</f>
        <v>7.6213560658744237</v>
      </c>
      <c r="CK21" s="8">
        <f>CJ21+真實IC!CK21</f>
        <v>7.6885156961712795</v>
      </c>
      <c r="CL21" s="8">
        <f>CK21+真實IC!CL21</f>
        <v>7.5546252715483151</v>
      </c>
      <c r="CM21" s="8">
        <f>CL21+真實IC!CM21</f>
        <v>7.6708555215483152</v>
      </c>
      <c r="CN21" s="8">
        <f>CM21+真實IC!CN21</f>
        <v>7.7517070303777489</v>
      </c>
      <c r="CO21" s="8">
        <f>CN21+真實IC!CO21</f>
        <v>8.087190030377748</v>
      </c>
      <c r="CP21" s="8">
        <f>CO21+真實IC!CP21</f>
        <v>8.3098900912556601</v>
      </c>
      <c r="CQ21" s="8">
        <f>CP21+真實IC!CQ21</f>
        <v>8.3328022854251564</v>
      </c>
      <c r="CR21" s="8">
        <f>CQ21+真實IC!CR21</f>
        <v>8.571862251786424</v>
      </c>
      <c r="CS21" s="8">
        <f>CR21+真實IC!CS21</f>
        <v>8.6331312880057549</v>
      </c>
      <c r="CT21" s="8">
        <f>CS21+真實IC!CT21</f>
        <v>8.6811260380057558</v>
      </c>
      <c r="CU21" s="8">
        <f>CT21+真實IC!CU21</f>
        <v>8.8400426603232063</v>
      </c>
      <c r="CV21" s="8">
        <f>CU21+真實IC!CV21</f>
        <v>8.9943745050977792</v>
      </c>
      <c r="CW21" s="8">
        <f>CV21+真實IC!CW21</f>
        <v>9.0327200219694621</v>
      </c>
      <c r="CX21" s="8">
        <f>CW21+真實IC!CX21</f>
        <v>9.1348421976268686</v>
      </c>
      <c r="CY21" s="8">
        <f>CX21+真實IC!CY21</f>
        <v>9.2373474476268687</v>
      </c>
      <c r="CZ21" s="8">
        <f>CY21+真實IC!CZ21</f>
        <v>9.4747988184526992</v>
      </c>
      <c r="DA21" s="8">
        <f>CZ21+真實IC!DA21</f>
        <v>9.5165085684527</v>
      </c>
      <c r="DB21" s="8">
        <f>DA21+真實IC!DB21</f>
        <v>9.5879680684526996</v>
      </c>
      <c r="DC21" s="8">
        <f>DB21+真實IC!DC21</f>
        <v>9.5429205092294094</v>
      </c>
      <c r="DD21" s="8">
        <f>DC21+真實IC!DD21</f>
        <v>9.545739303620481</v>
      </c>
      <c r="DE21" s="8">
        <f>DD21+真實IC!DE21</f>
        <v>9.5747170406808078</v>
      </c>
      <c r="DF21" s="8">
        <f>DE21+真實IC!DF21</f>
        <v>9.8758687906808085</v>
      </c>
      <c r="DG21" s="8">
        <f>DF21+真實IC!DG21</f>
        <v>9.9352795406808081</v>
      </c>
      <c r="DH21" s="8">
        <f>DG21+真實IC!DH21</f>
        <v>10.016716540680807</v>
      </c>
      <c r="DI21" s="8">
        <f>DH21+真實IC!DI21</f>
        <v>10.196556540680808</v>
      </c>
      <c r="DJ21" s="8">
        <f>DI21+真實IC!DJ21</f>
        <v>10.353162259144449</v>
      </c>
      <c r="DK21" s="8">
        <f>DJ21+真實IC!DK21</f>
        <v>10.44405550914445</v>
      </c>
      <c r="DL21" s="8">
        <f>DK21+真實IC!DL21</f>
        <v>10.431318517643437</v>
      </c>
      <c r="DM21" s="8">
        <f>DL21+真實IC!DM21</f>
        <v>10.406330267643437</v>
      </c>
      <c r="DN21" s="8">
        <f>DM21+真實IC!DN21</f>
        <v>10.47752788013743</v>
      </c>
      <c r="DO21" s="8">
        <f>DN21+真實IC!DO21</f>
        <v>10.809154130137429</v>
      </c>
      <c r="DP21" s="8">
        <f>DO21+真實IC!DP21</f>
        <v>11.038174019817664</v>
      </c>
      <c r="DQ21" s="8">
        <f>DP21+真實IC!DQ21</f>
        <v>11.108596718625847</v>
      </c>
      <c r="DR21" s="8">
        <f>DQ21+真實IC!DR21</f>
        <v>11.158767577662928</v>
      </c>
      <c r="DS21" s="8">
        <f>DR21+真實IC!DS21</f>
        <v>11.157093827662928</v>
      </c>
      <c r="DT21" s="8">
        <f>DS21+真實IC!DT21</f>
        <v>11.15187863731625</v>
      </c>
      <c r="DU21" s="8">
        <f>DT21+真實IC!DU21</f>
        <v>11.30049338731625</v>
      </c>
      <c r="DV21" s="8">
        <f>DU21+真實IC!DV21</f>
        <v>11.440769364186128</v>
      </c>
      <c r="DW21" s="8">
        <f>DV21+真實IC!DW21</f>
        <v>11.337233364186128</v>
      </c>
      <c r="DX21" s="8">
        <f>DW21+真實IC!DX21</f>
        <v>11.52319957821731</v>
      </c>
      <c r="DY21" s="8">
        <f>DX21+真實IC!DY21</f>
        <v>11.68992957821731</v>
      </c>
      <c r="DZ21" s="8">
        <f>DY21+真實IC!DZ21</f>
        <v>11.788859578217309</v>
      </c>
      <c r="EA21" s="8">
        <f>DZ21+真實IC!EA21</f>
        <v>11.753793121032073</v>
      </c>
      <c r="EB21" s="8">
        <f>EA21+真實IC!EB21</f>
        <v>11.780095315030607</v>
      </c>
      <c r="EC21" s="8">
        <f>EB21+真實IC!EC21</f>
        <v>11.794132370128649</v>
      </c>
      <c r="ED21" s="8">
        <f>EC21+真實IC!ED21</f>
        <v>11.848631226476829</v>
      </c>
      <c r="EE21" s="8">
        <f>ED21+真實IC!EE21</f>
        <v>11.869941226476829</v>
      </c>
      <c r="EF21" s="8">
        <f>EE21+真實IC!EF21</f>
        <v>11.898735726476829</v>
      </c>
    </row>
    <row r="22" spans="1:136">
      <c r="A22" s="7"/>
      <c r="B22" s="18" t="s">
        <v>231</v>
      </c>
      <c r="C22" s="6">
        <v>0.20527999999999999</v>
      </c>
      <c r="D22" s="8">
        <f>C22+真實IC!D22</f>
        <v>0.34770933333333331</v>
      </c>
      <c r="E22" s="8">
        <f>D22+真實IC!E22</f>
        <v>0.33035266666666663</v>
      </c>
      <c r="F22" s="8">
        <f>E22+真實IC!F22</f>
        <v>0.26252160574538908</v>
      </c>
      <c r="G22" s="8">
        <f>F22+真實IC!G22</f>
        <v>0.3664059690357232</v>
      </c>
      <c r="H22" s="8">
        <f>G22+真實IC!H22</f>
        <v>0.49058396903572321</v>
      </c>
      <c r="I22" s="8">
        <f>H22+真實IC!I22</f>
        <v>0.61407713837379296</v>
      </c>
      <c r="J22" s="8">
        <f>I22+真實IC!J22</f>
        <v>0.66667572763913585</v>
      </c>
      <c r="K22" s="8">
        <f>J22+真實IC!K22</f>
        <v>0.91204164032189161</v>
      </c>
      <c r="L22" s="8">
        <f>K22+真實IC!L22</f>
        <v>0.89776964032189155</v>
      </c>
      <c r="M22" s="8">
        <f>L22+真實IC!M22</f>
        <v>0.82366958155131897</v>
      </c>
      <c r="N22" s="8">
        <f>M22+真實IC!N22</f>
        <v>1.5798119148846523</v>
      </c>
      <c r="O22" s="8">
        <f>N22+真實IC!O22</f>
        <v>1.5730960365732849</v>
      </c>
      <c r="P22" s="8">
        <f>O22+真實IC!P22</f>
        <v>1.6458789207021018</v>
      </c>
      <c r="Q22" s="8">
        <f>P22+真實IC!Q22</f>
        <v>1.9226558145351538</v>
      </c>
      <c r="R22" s="8">
        <f>Q22+真實IC!R22</f>
        <v>1.8860273802635656</v>
      </c>
      <c r="S22" s="8">
        <f>R22+真實IC!S22</f>
        <v>2.0556739358215061</v>
      </c>
      <c r="T22" s="8">
        <f>S22+真實IC!T22</f>
        <v>2.1844863578046292</v>
      </c>
      <c r="U22" s="8">
        <f>T22+真實IC!U22</f>
        <v>2.2950763812071333</v>
      </c>
      <c r="V22" s="8">
        <f>U22+真實IC!V22</f>
        <v>2.3333631577269887</v>
      </c>
      <c r="W22" s="8">
        <f>V22+真實IC!W22</f>
        <v>2.4914111577269886</v>
      </c>
      <c r="X22" s="8">
        <f>W22+真實IC!X22</f>
        <v>2.7131979167608589</v>
      </c>
      <c r="Y22" s="8">
        <f>X22+真實IC!Y22</f>
        <v>2.6974657083473379</v>
      </c>
      <c r="Z22" s="8">
        <f>Y22+真實IC!Z22</f>
        <v>2.7730139774931839</v>
      </c>
      <c r="AA22" s="8">
        <f>Z22+真實IC!AA22</f>
        <v>2.8555384030712969</v>
      </c>
      <c r="AB22" s="8">
        <f>AA22+真實IC!AB22</f>
        <v>2.9899746157846225</v>
      </c>
      <c r="AC22" s="8">
        <f>AB22+真實IC!AC22</f>
        <v>3.0757510765000551</v>
      </c>
      <c r="AD22" s="8">
        <f>AC22+真實IC!AD22</f>
        <v>3.0893224098333882</v>
      </c>
      <c r="AE22" s="8">
        <f>AD22+真實IC!AE22</f>
        <v>3.2201462526497222</v>
      </c>
      <c r="AF22" s="8">
        <f>AE22+真實IC!AF22</f>
        <v>3.650063020698334</v>
      </c>
      <c r="AG22" s="8">
        <f>AF22+真實IC!AG22</f>
        <v>3.7029045608740678</v>
      </c>
      <c r="AH22" s="8">
        <f>AG22+真實IC!AH22</f>
        <v>3.5970386014535953</v>
      </c>
      <c r="AI22" s="8">
        <f>AH22+真實IC!AI22</f>
        <v>3.708043268120262</v>
      </c>
      <c r="AJ22" s="8">
        <f>AI22+真實IC!AJ22</f>
        <v>3.6763434187938535</v>
      </c>
      <c r="AK22" s="8">
        <f>AJ22+真實IC!AK22</f>
        <v>3.7776319795342492</v>
      </c>
      <c r="AL22" s="8">
        <f>AK22+真實IC!AL22</f>
        <v>3.7681923128675825</v>
      </c>
      <c r="AM22" s="8">
        <f>AL22+真實IC!AM22</f>
        <v>3.8522812163352862</v>
      </c>
      <c r="AN22" s="8">
        <f>AM22+真實IC!AN22</f>
        <v>3.9634140259988455</v>
      </c>
      <c r="AO22" s="8">
        <f>AN22+真實IC!AO22</f>
        <v>4.1215669012925726</v>
      </c>
      <c r="AP22" s="8">
        <f>AO22+真實IC!AP22</f>
        <v>4.184103255180565</v>
      </c>
      <c r="AQ22" s="8">
        <f>AP22+真實IC!AQ22</f>
        <v>4.2942325885138981</v>
      </c>
      <c r="AR22" s="8">
        <f>AQ22+真實IC!AR22</f>
        <v>4.3621572551805645</v>
      </c>
      <c r="AS22" s="8">
        <f>AR22+真實IC!AS22</f>
        <v>4.4360009578663977</v>
      </c>
      <c r="AT22" s="8">
        <f>AS22+真實IC!AT22</f>
        <v>4.4537293288608346</v>
      </c>
      <c r="AU22" s="8">
        <f>AT22+真實IC!AU22</f>
        <v>4.8830843288608348</v>
      </c>
      <c r="AV22" s="8">
        <f>AU22+真實IC!AV22</f>
        <v>4.7933303469892019</v>
      </c>
      <c r="AW22" s="8">
        <f>AV22+真實IC!AW22</f>
        <v>5.164129625680375</v>
      </c>
      <c r="AX22" s="8">
        <f>AW22+真實IC!AX22</f>
        <v>5.1542544396746814</v>
      </c>
      <c r="AY22" s="8">
        <f>AX22+真實IC!AY22</f>
        <v>5.2259878250089118</v>
      </c>
      <c r="AZ22" s="8">
        <f>AY22+真實IC!AZ22</f>
        <v>5.3811764916755784</v>
      </c>
      <c r="BA22" s="8">
        <f>AZ22+真實IC!BA22</f>
        <v>5.4309511583422454</v>
      </c>
      <c r="BB22" s="8">
        <f>BA22+真實IC!BB22</f>
        <v>5.9492152077922826</v>
      </c>
      <c r="BC22" s="8">
        <f>BB22+真實IC!BC22</f>
        <v>6.1448412431428006</v>
      </c>
      <c r="BD22" s="8">
        <f>BC22+真實IC!BD22</f>
        <v>6.2241052431428008</v>
      </c>
      <c r="BE22" s="8">
        <f>BD22+真實IC!BE22</f>
        <v>6.3521731271084612</v>
      </c>
      <c r="BF22" s="8">
        <f>BE22+真實IC!BF22</f>
        <v>6.5512755756568994</v>
      </c>
      <c r="BG22" s="8">
        <f>BF22+真實IC!BG22</f>
        <v>6.510044106504119</v>
      </c>
      <c r="BH22" s="8">
        <f>BG22+真實IC!BH22</f>
        <v>6.6377511159005351</v>
      </c>
      <c r="BI22" s="8">
        <f>BH22+真實IC!BI22</f>
        <v>6.7488398353104424</v>
      </c>
      <c r="BJ22" s="8">
        <f>BI22+真實IC!BJ22</f>
        <v>6.7897331686437754</v>
      </c>
      <c r="BK22" s="8">
        <f>BJ22+真實IC!BK22</f>
        <v>6.741417501977109</v>
      </c>
      <c r="BL22" s="8">
        <f>BK22+真實IC!BL22</f>
        <v>6.880888892377973</v>
      </c>
      <c r="BM22" s="8">
        <f>BL22+真實IC!BM22</f>
        <v>6.8833193756235058</v>
      </c>
      <c r="BN22" s="8">
        <f>BM22+真實IC!BN22</f>
        <v>6.966253708956839</v>
      </c>
      <c r="BO22" s="8">
        <f>BN22+真實IC!BO22</f>
        <v>6.9157692798440884</v>
      </c>
      <c r="BP22" s="8">
        <f>BO22+真實IC!BP22</f>
        <v>6.9152292798440884</v>
      </c>
      <c r="BQ22" s="8">
        <f>BP22+真實IC!BQ22</f>
        <v>6.9430593772424007</v>
      </c>
      <c r="BR22" s="8">
        <f>BQ22+真實IC!BR22</f>
        <v>7.0496261592100913</v>
      </c>
      <c r="BS22" s="8">
        <f>BR22+真實IC!BS22</f>
        <v>6.9525785695055466</v>
      </c>
      <c r="BT22" s="8">
        <f>BS22+真實IC!BT22</f>
        <v>7.0413029028388801</v>
      </c>
      <c r="BU22" s="8">
        <f>BT22+真實IC!BU22</f>
        <v>7.1456539028388804</v>
      </c>
      <c r="BV22" s="8">
        <f>BU22+真實IC!BV22</f>
        <v>7.0970503682498025</v>
      </c>
      <c r="BW22" s="8">
        <f>BV22+真實IC!BW22</f>
        <v>7.2292221597855839</v>
      </c>
      <c r="BX22" s="8">
        <f>BW22+真實IC!BX22</f>
        <v>7.1161954931189175</v>
      </c>
      <c r="BY22" s="8">
        <f>BX22+真實IC!BY22</f>
        <v>7.0605984431485469</v>
      </c>
      <c r="BZ22" s="8">
        <f>BY22+真實IC!BZ22</f>
        <v>7.1078561790114394</v>
      </c>
      <c r="CA22" s="8">
        <f>BZ22+真實IC!CA22</f>
        <v>7.1353462574917632</v>
      </c>
      <c r="CB22" s="8">
        <f>CA22+真實IC!CB22</f>
        <v>7.3900862574917632</v>
      </c>
      <c r="CC22" s="8">
        <f>CB22+真實IC!CC22</f>
        <v>7.2649812574917636</v>
      </c>
      <c r="CD22" s="8">
        <f>CC22+真實IC!CD22</f>
        <v>7.5988592942044866</v>
      </c>
      <c r="CE22" s="8">
        <f>CD22+真實IC!CE22</f>
        <v>7.6656992942044866</v>
      </c>
      <c r="CF22" s="8">
        <f>CE22+真實IC!CF22</f>
        <v>7.8544990799647643</v>
      </c>
      <c r="CG22" s="8">
        <f>CF22+真實IC!CG22</f>
        <v>8.0615844125982772</v>
      </c>
      <c r="CH22" s="8">
        <f>CG22+真實IC!CH22</f>
        <v>8.1775031838777252</v>
      </c>
      <c r="CI22" s="8">
        <f>CH22+真實IC!CI22</f>
        <v>8.295282930156084</v>
      </c>
      <c r="CJ22" s="8">
        <f>CI22+真實IC!CJ22</f>
        <v>8.1689575708774971</v>
      </c>
      <c r="CK22" s="8">
        <f>CJ22+真實IC!CK22</f>
        <v>8.2798811111642792</v>
      </c>
      <c r="CL22" s="8">
        <f>CK22+真實IC!CL22</f>
        <v>8.0392293125392378</v>
      </c>
      <c r="CM22" s="8">
        <f>CL22+真實IC!CM22</f>
        <v>8.2590593125392378</v>
      </c>
      <c r="CN22" s="8">
        <f>CM22+真實IC!CN22</f>
        <v>8.4118632293494446</v>
      </c>
      <c r="CO22" s="8">
        <f>CN22+真實IC!CO22</f>
        <v>8.6839222293494451</v>
      </c>
      <c r="CP22" s="8">
        <f>CO22+真實IC!CP22</f>
        <v>8.9433307863188478</v>
      </c>
      <c r="CQ22" s="8">
        <f>CP22+真實IC!CQ22</f>
        <v>8.960490401837971</v>
      </c>
      <c r="CR22" s="8">
        <f>CQ22+真實IC!CR22</f>
        <v>9.2072631718298581</v>
      </c>
      <c r="CS22" s="8">
        <f>CR22+真實IC!CS22</f>
        <v>9.2920451077142232</v>
      </c>
      <c r="CT22" s="8">
        <f>CS22+真實IC!CT22</f>
        <v>9.3303097743808898</v>
      </c>
      <c r="CU22" s="8">
        <f>CT22+真實IC!CU22</f>
        <v>9.4976636855672574</v>
      </c>
      <c r="CV22" s="8">
        <f>CU22+真實IC!CV22</f>
        <v>9.6638863642568111</v>
      </c>
      <c r="CW22" s="8">
        <f>CV22+真實IC!CW22</f>
        <v>9.6867704065887956</v>
      </c>
      <c r="CX22" s="8">
        <f>CW22+真實IC!CX22</f>
        <v>9.6905199998566438</v>
      </c>
      <c r="CY22" s="8">
        <f>CX22+真實IC!CY22</f>
        <v>9.7950309998566443</v>
      </c>
      <c r="CZ22" s="8">
        <f>CY22+真實IC!CZ22</f>
        <v>10.057951484455883</v>
      </c>
      <c r="DA22" s="8">
        <f>CZ22+真實IC!DA22</f>
        <v>10.090405484455882</v>
      </c>
      <c r="DB22" s="8">
        <f>DA22+真實IC!DB22</f>
        <v>10.144446151122549</v>
      </c>
      <c r="DC22" s="8">
        <f>DB22+真實IC!DC22</f>
        <v>10.123721366678392</v>
      </c>
      <c r="DD22" s="8">
        <f>DC22+真實IC!DD22</f>
        <v>10.155431535804217</v>
      </c>
      <c r="DE22" s="8">
        <f>DD22+真實IC!DE22</f>
        <v>10.137675032302285</v>
      </c>
      <c r="DF22" s="8">
        <f>DE22+真實IC!DF22</f>
        <v>10.527343032302285</v>
      </c>
      <c r="DG22" s="8">
        <f>DF22+真實IC!DG22</f>
        <v>10.599234032302286</v>
      </c>
      <c r="DH22" s="8">
        <f>DG22+真實IC!DH22</f>
        <v>10.680689365635619</v>
      </c>
      <c r="DI22" s="8">
        <f>DH22+真實IC!DI22</f>
        <v>10.740811698968953</v>
      </c>
      <c r="DJ22" s="8">
        <f>DI22+真實IC!DJ22</f>
        <v>10.894511461799283</v>
      </c>
      <c r="DK22" s="8">
        <f>DJ22+真實IC!DK22</f>
        <v>10.985939128465949</v>
      </c>
      <c r="DL22" s="8">
        <f>DK22+真實IC!DL22</f>
        <v>10.982725797722811</v>
      </c>
      <c r="DM22" s="8">
        <f>DL22+真實IC!DM22</f>
        <v>10.950841464389477</v>
      </c>
      <c r="DN22" s="8">
        <f>DM22+真實IC!DN22</f>
        <v>10.997604792593485</v>
      </c>
      <c r="DO22" s="8">
        <f>DN22+真實IC!DO22</f>
        <v>11.073320125926818</v>
      </c>
      <c r="DP22" s="8">
        <f>DO22+真實IC!DP22</f>
        <v>11.242882558067549</v>
      </c>
      <c r="DQ22" s="8">
        <f>DP22+真實IC!DQ22</f>
        <v>11.408286724612189</v>
      </c>
      <c r="DR22" s="8">
        <f>DQ22+真實IC!DR22</f>
        <v>11.402194171996872</v>
      </c>
      <c r="DS22" s="8">
        <f>DR22+真實IC!DS22</f>
        <v>11.365845171996872</v>
      </c>
      <c r="DT22" s="8">
        <f>DS22+真實IC!DT22</f>
        <v>11.392973925975042</v>
      </c>
      <c r="DU22" s="8">
        <f>DT22+真實IC!DU22</f>
        <v>11.554519592641709</v>
      </c>
      <c r="DV22" s="8">
        <f>DU22+真實IC!DV22</f>
        <v>11.680224710319887</v>
      </c>
      <c r="DW22" s="8">
        <f>DV22+真實IC!DW22</f>
        <v>11.598808710319886</v>
      </c>
      <c r="DX22" s="8">
        <f>DW22+真實IC!DX22</f>
        <v>11.821251318768182</v>
      </c>
      <c r="DY22" s="8">
        <f>DX22+真實IC!DY22</f>
        <v>11.941207652101514</v>
      </c>
      <c r="DZ22" s="8">
        <f>DY22+真實IC!DZ22</f>
        <v>12.052041318768181</v>
      </c>
      <c r="EA22" s="8">
        <f>DZ22+真實IC!EA22</f>
        <v>12.017850076358307</v>
      </c>
      <c r="EB22" s="8">
        <f>EA22+真實IC!EB22</f>
        <v>12.147616026664377</v>
      </c>
      <c r="EC22" s="8">
        <f>EB22+真實IC!EC22</f>
        <v>12.169111128240015</v>
      </c>
      <c r="ED22" s="8">
        <f>EC22+真實IC!ED22</f>
        <v>12.246524695297623</v>
      </c>
      <c r="EE22" s="8">
        <f>ED22+真實IC!EE22</f>
        <v>12.294160695297624</v>
      </c>
      <c r="EF22" s="8">
        <f>EE22+真實IC!EF22</f>
        <v>12.330753361964291</v>
      </c>
    </row>
    <row r="23" spans="1:136">
      <c r="A23" s="7"/>
      <c r="B23" s="18" t="s">
        <v>232</v>
      </c>
      <c r="C23" s="6">
        <v>0.28298899999999999</v>
      </c>
      <c r="D23" s="8">
        <f>C23+真實IC!D23</f>
        <v>0.53708299999999998</v>
      </c>
      <c r="E23" s="8">
        <f>D23+真實IC!E23</f>
        <v>0.67008800000000002</v>
      </c>
      <c r="F23" s="8">
        <f>E23+真實IC!F23</f>
        <v>0.48769192467912131</v>
      </c>
      <c r="G23" s="8">
        <f>F23+真實IC!G23</f>
        <v>0.46072035615475332</v>
      </c>
      <c r="H23" s="8">
        <f>G23+真實IC!H23</f>
        <v>0.44253185615475332</v>
      </c>
      <c r="I23" s="8">
        <f>H23+真實IC!I23</f>
        <v>0.59068388475504729</v>
      </c>
      <c r="J23" s="8">
        <f>I23+真實IC!J23</f>
        <v>0.49252159360859493</v>
      </c>
      <c r="K23" s="8">
        <f>J23+真實IC!K23</f>
        <v>0.63512916873324987</v>
      </c>
      <c r="L23" s="8">
        <f>K23+真實IC!L23</f>
        <v>0.58435816873324986</v>
      </c>
      <c r="M23" s="8">
        <f>L23+真實IC!M23</f>
        <v>0.32590825237460747</v>
      </c>
      <c r="N23" s="8">
        <f>M23+真實IC!N23</f>
        <v>1.3018092523746074</v>
      </c>
      <c r="O23" s="8">
        <f>N23+真實IC!O23</f>
        <v>1.2824015411078382</v>
      </c>
      <c r="P23" s="8">
        <f>O23+真實IC!P23</f>
        <v>1.3728032522899636</v>
      </c>
      <c r="Q23" s="8">
        <f>P23+真實IC!Q23</f>
        <v>1.313235235389443</v>
      </c>
      <c r="R23" s="8">
        <f>Q23+真實IC!R23</f>
        <v>1.2570240920761879</v>
      </c>
      <c r="S23" s="8">
        <f>R23+真實IC!S23</f>
        <v>1.37074862490345</v>
      </c>
      <c r="T23" s="8">
        <f>S23+真實IC!T23</f>
        <v>1.5253513182308784</v>
      </c>
      <c r="U23" s="8">
        <f>T23+真實IC!U23</f>
        <v>1.6191087406716729</v>
      </c>
      <c r="V23" s="8">
        <f>U23+真實IC!V23</f>
        <v>1.5960792835618818</v>
      </c>
      <c r="W23" s="8">
        <f>V23+真實IC!W23</f>
        <v>1.8556262835618818</v>
      </c>
      <c r="X23" s="8">
        <f>W23+真實IC!X23</f>
        <v>2.0374074693597048</v>
      </c>
      <c r="Y23" s="8">
        <f>X23+真實IC!Y23</f>
        <v>2.0227476678292144</v>
      </c>
      <c r="Z23" s="8">
        <f>Y23+真實IC!Z23</f>
        <v>2.0557801832730895</v>
      </c>
      <c r="AA23" s="8">
        <f>Z23+真實IC!AA23</f>
        <v>1.9990317373129793</v>
      </c>
      <c r="AB23" s="8">
        <f>AA23+真實IC!AB23</f>
        <v>2.0630715171897629</v>
      </c>
      <c r="AC23" s="8">
        <f>AB23+真實IC!AC23</f>
        <v>2.2318263168266754</v>
      </c>
      <c r="AD23" s="8">
        <f>AC23+真實IC!AD23</f>
        <v>2.3034533168266753</v>
      </c>
      <c r="AE23" s="8">
        <f>AD23+真實IC!AE23</f>
        <v>2.4406653055843353</v>
      </c>
      <c r="AF23" s="8">
        <f>AE23+真實IC!AF23</f>
        <v>2.7653246312245465</v>
      </c>
      <c r="AG23" s="8">
        <f>AF23+真實IC!AG23</f>
        <v>2.8571982888709067</v>
      </c>
      <c r="AH23" s="8">
        <f>AG23+真實IC!AH23</f>
        <v>2.7730267043477235</v>
      </c>
      <c r="AI23" s="8">
        <f>AH23+真實IC!AI23</f>
        <v>2.9821787043477235</v>
      </c>
      <c r="AJ23" s="8">
        <f>AI23+真實IC!AJ23</f>
        <v>2.9878218421958778</v>
      </c>
      <c r="AK23" s="8">
        <f>AJ23+真實IC!AK23</f>
        <v>3.101932941543069</v>
      </c>
      <c r="AL23" s="8">
        <f>AK23+真實IC!AL23</f>
        <v>3.0878664415430688</v>
      </c>
      <c r="AM23" s="8">
        <f>AL23+真實IC!AM23</f>
        <v>3.095635930547934</v>
      </c>
      <c r="AN23" s="8">
        <f>AM23+真實IC!AN23</f>
        <v>3.3379506299052348</v>
      </c>
      <c r="AO23" s="8">
        <f>AN23+真實IC!AO23</f>
        <v>3.4287331094348521</v>
      </c>
      <c r="AP23" s="8">
        <f>AO23+真實IC!AP23</f>
        <v>3.4256120100825465</v>
      </c>
      <c r="AQ23" s="8">
        <f>AP23+真實IC!AQ23</f>
        <v>3.5249910100825463</v>
      </c>
      <c r="AR23" s="8">
        <f>AQ23+真實IC!AR23</f>
        <v>3.6711270100825462</v>
      </c>
      <c r="AS23" s="8">
        <f>AR23+真實IC!AS23</f>
        <v>3.7527906308631165</v>
      </c>
      <c r="AT23" s="8">
        <f>AS23+真實IC!AT23</f>
        <v>3.8622965338280166</v>
      </c>
      <c r="AU23" s="8">
        <f>AT23+真實IC!AU23</f>
        <v>4.4706285338280169</v>
      </c>
      <c r="AV23" s="8">
        <f>AU23+真實IC!AV23</f>
        <v>4.4214784671987246</v>
      </c>
      <c r="AW23" s="8">
        <f>AV23+真實IC!AW23</f>
        <v>5.0037384413729393</v>
      </c>
      <c r="AX23" s="8">
        <f>AW23+真實IC!AX23</f>
        <v>4.9889256623643989</v>
      </c>
      <c r="AY23" s="8">
        <f>AX23+真實IC!AY23</f>
        <v>5.1591596432049807</v>
      </c>
      <c r="AZ23" s="8">
        <f>AY23+真實IC!AZ23</f>
        <v>5.2372306432049811</v>
      </c>
      <c r="BA23" s="8">
        <f>AZ23+真實IC!BA23</f>
        <v>5.2912286432049811</v>
      </c>
      <c r="BB23" s="8">
        <f>BA23+真實IC!BB23</f>
        <v>5.9772519728847149</v>
      </c>
      <c r="BC23" s="8">
        <f>BB23+真實IC!BC23</f>
        <v>6.230121154784654</v>
      </c>
      <c r="BD23" s="8">
        <f>BC23+真實IC!BD23</f>
        <v>6.3561006547846537</v>
      </c>
      <c r="BE23" s="8">
        <f>BD23+真實IC!BE23</f>
        <v>6.4803927978105529</v>
      </c>
      <c r="BF23" s="8">
        <f>BE23+真實IC!BF23</f>
        <v>6.690401910671004</v>
      </c>
      <c r="BG23" s="8">
        <f>BF23+真實IC!BG23</f>
        <v>6.7287247380901496</v>
      </c>
      <c r="BH23" s="8">
        <f>BG23+真實IC!BH23</f>
        <v>6.7920899337933882</v>
      </c>
      <c r="BI23" s="8">
        <f>BH23+真實IC!BI23</f>
        <v>6.9832020131165873</v>
      </c>
      <c r="BJ23" s="8">
        <f>BI23+真實IC!BJ23</f>
        <v>7.0406970131165876</v>
      </c>
      <c r="BK23" s="8">
        <f>BJ23+真實IC!BK23</f>
        <v>6.9928450131165878</v>
      </c>
      <c r="BL23" s="8">
        <f>BK23+真實IC!BL23</f>
        <v>7.1072113032582571</v>
      </c>
      <c r="BM23" s="8">
        <f>BL23+真實IC!BM23</f>
        <v>7.0377158412338066</v>
      </c>
      <c r="BN23" s="8">
        <f>BM23+真實IC!BN23</f>
        <v>7.0761658412338067</v>
      </c>
      <c r="BO23" s="8">
        <f>BN23+真實IC!BO23</f>
        <v>7.1126907829798061</v>
      </c>
      <c r="BP23" s="8">
        <f>BO23+真實IC!BP23</f>
        <v>7.0902167829798062</v>
      </c>
      <c r="BQ23" s="8">
        <f>BP23+真實IC!BQ23</f>
        <v>7.1622646844150726</v>
      </c>
      <c r="BR23" s="8">
        <f>BQ23+真實IC!BR23</f>
        <v>7.2650872745954231</v>
      </c>
      <c r="BS23" s="8">
        <f>BR23+真實IC!BS23</f>
        <v>7.0445201801930324</v>
      </c>
      <c r="BT23" s="8">
        <f>BS23+真實IC!BT23</f>
        <v>7.2627056801930321</v>
      </c>
      <c r="BU23" s="8">
        <f>BT23+真實IC!BU23</f>
        <v>7.3683921801930321</v>
      </c>
      <c r="BV23" s="8">
        <f>BU23+真實IC!BV23</f>
        <v>7.3151231296351433</v>
      </c>
      <c r="BW23" s="8">
        <f>BV23+真實IC!BW23</f>
        <v>7.3304856446782338</v>
      </c>
      <c r="BX23" s="8">
        <f>BW23+真實IC!BX23</f>
        <v>7.2617556446782334</v>
      </c>
      <c r="BY23" s="8">
        <f>BX23+真實IC!BY23</f>
        <v>7.3800048786051891</v>
      </c>
      <c r="BZ23" s="8">
        <f>BY23+真實IC!BZ23</f>
        <v>7.3876746410370338</v>
      </c>
      <c r="CA23" s="8">
        <f>BZ23+真實IC!CA23</f>
        <v>7.4633278407836627</v>
      </c>
      <c r="CB23" s="8">
        <f>CA23+真實IC!CB23</f>
        <v>7.7794953407836624</v>
      </c>
      <c r="CC23" s="8">
        <f>CB23+真實IC!CC23</f>
        <v>7.6949503407836621</v>
      </c>
      <c r="CD23" s="8">
        <f>CC23+真實IC!CD23</f>
        <v>7.8866267957984473</v>
      </c>
      <c r="CE23" s="8">
        <f>CD23+真實IC!CE23</f>
        <v>7.9462287957984472</v>
      </c>
      <c r="CF23" s="8">
        <f>CE23+真實IC!CF23</f>
        <v>8.1033637055896115</v>
      </c>
      <c r="CG23" s="8">
        <f>CF23+真實IC!CG23</f>
        <v>8.3200009472168137</v>
      </c>
      <c r="CH23" s="8">
        <f>CG23+真實IC!CH23</f>
        <v>8.5001973961382422</v>
      </c>
      <c r="CI23" s="8">
        <f>CH23+真實IC!CI23</f>
        <v>8.8100968132663393</v>
      </c>
      <c r="CJ23" s="8">
        <f>CI23+真實IC!CJ23</f>
        <v>8.6535809168484388</v>
      </c>
      <c r="CK23" s="8">
        <f>CJ23+真實IC!CK23</f>
        <v>8.7254373073849827</v>
      </c>
      <c r="CL23" s="8">
        <f>CK23+真實IC!CL23</f>
        <v>8.316776294717565</v>
      </c>
      <c r="CM23" s="8">
        <f>CL23+真實IC!CM23</f>
        <v>8.5514812947175649</v>
      </c>
      <c r="CN23" s="8">
        <f>CM23+真實IC!CN23</f>
        <v>8.8285855566736338</v>
      </c>
      <c r="CO23" s="8">
        <f>CN23+真實IC!CO23</f>
        <v>9.094743056673634</v>
      </c>
      <c r="CP23" s="8">
        <f>CO23+真實IC!CP23</f>
        <v>9.4061037998363908</v>
      </c>
      <c r="CQ23" s="8">
        <f>CP23+真實IC!CQ23</f>
        <v>9.3814015297570101</v>
      </c>
      <c r="CR23" s="8">
        <f>CQ23+真實IC!CR23</f>
        <v>9.5323997002309575</v>
      </c>
      <c r="CS23" s="8">
        <f>CR23+真實IC!CS23</f>
        <v>9.5975595845241699</v>
      </c>
      <c r="CT23" s="8">
        <f>CS23+真實IC!CT23</f>
        <v>9.6629510845241704</v>
      </c>
      <c r="CU23" s="8">
        <f>CT23+真實IC!CU23</f>
        <v>9.865054969511327</v>
      </c>
      <c r="CV23" s="8">
        <f>CU23+真實IC!CV23</f>
        <v>10.018385937782902</v>
      </c>
      <c r="CW23" s="8">
        <f>CV23+真實IC!CW23</f>
        <v>9.9941996499939005</v>
      </c>
      <c r="CX23" s="8">
        <f>CW23+真實IC!CX23</f>
        <v>9.9054826558973748</v>
      </c>
      <c r="CY23" s="8">
        <f>CX23+真實IC!CY23</f>
        <v>10.059233155897374</v>
      </c>
      <c r="CZ23" s="8">
        <f>CY23+真實IC!CZ23</f>
        <v>10.241231949754726</v>
      </c>
      <c r="DA23" s="8">
        <f>CZ23+真實IC!DA23</f>
        <v>10.305876949754726</v>
      </c>
      <c r="DB23" s="8">
        <f>DA23+真實IC!DB23</f>
        <v>10.324624949754726</v>
      </c>
      <c r="DC23" s="8">
        <f>DB23+真實IC!DC23</f>
        <v>10.44381543582514</v>
      </c>
      <c r="DD23" s="8">
        <f>DC23+真實IC!DD23</f>
        <v>10.536614110502294</v>
      </c>
      <c r="DE23" s="8">
        <f>DD23+真實IC!DE23</f>
        <v>10.476528162992123</v>
      </c>
      <c r="DF23" s="8">
        <f>DE23+真實IC!DF23</f>
        <v>10.885325662992123</v>
      </c>
      <c r="DG23" s="8">
        <f>DF23+真實IC!DG23</f>
        <v>10.952948162992124</v>
      </c>
      <c r="DH23" s="8">
        <f>DG23+真實IC!DH23</f>
        <v>11.092176162992123</v>
      </c>
      <c r="DI23" s="8">
        <f>DH23+真實IC!DI23</f>
        <v>11.188217162992123</v>
      </c>
      <c r="DJ23" s="8">
        <f>DI23+真實IC!DJ23</f>
        <v>11.308249744816042</v>
      </c>
      <c r="DK23" s="8">
        <f>DJ23+真實IC!DK23</f>
        <v>11.399493244816041</v>
      </c>
      <c r="DL23" s="8">
        <f>DK23+真實IC!DL23</f>
        <v>11.425735896920665</v>
      </c>
      <c r="DM23" s="8">
        <f>DL23+真實IC!DM23</f>
        <v>11.379258896920666</v>
      </c>
      <c r="DN23" s="8">
        <f>DM23+真實IC!DN23</f>
        <v>11.385756092964636</v>
      </c>
      <c r="DO23" s="8">
        <f>DN23+真實IC!DO23</f>
        <v>11.509824092964635</v>
      </c>
      <c r="DP23" s="8">
        <f>DO23+真實IC!DP23</f>
        <v>11.686663711449542</v>
      </c>
      <c r="DQ23" s="8">
        <f>DP23+真實IC!DQ23</f>
        <v>11.932609819008329</v>
      </c>
      <c r="DR23" s="8">
        <f>DQ23+真實IC!DR23</f>
        <v>11.842723816277022</v>
      </c>
      <c r="DS23" s="8">
        <f>DR23+真實IC!DS23</f>
        <v>11.726145816277022</v>
      </c>
      <c r="DT23" s="8">
        <f>DS23+真實IC!DT23</f>
        <v>11.703849359207265</v>
      </c>
      <c r="DU23" s="8">
        <f>DT23+真實IC!DU23</f>
        <v>11.759487359207265</v>
      </c>
      <c r="DV23" s="8">
        <f>DU23+真實IC!DV23</f>
        <v>12.035758967536704</v>
      </c>
      <c r="DW23" s="8">
        <f>DV23+真實IC!DW23</f>
        <v>12.058811467536705</v>
      </c>
      <c r="DX23" s="8">
        <f>DW23+真實IC!DX23</f>
        <v>12.372304673915671</v>
      </c>
      <c r="DY23" s="8">
        <f>DX23+真實IC!DY23</f>
        <v>12.318379673915672</v>
      </c>
      <c r="DZ23" s="8">
        <f>DY23+真實IC!DZ23</f>
        <v>12.101204673915673</v>
      </c>
      <c r="EA23" s="8">
        <f>DZ23+真實IC!EA23</f>
        <v>12.007842594446704</v>
      </c>
      <c r="EB23" s="8">
        <f>EA23+真實IC!EB23</f>
        <v>12.252127252570626</v>
      </c>
      <c r="EC23" s="8">
        <f>EB23+真實IC!EC23</f>
        <v>12.215542936244812</v>
      </c>
      <c r="ED23" s="8">
        <f>EC23+真實IC!ED23</f>
        <v>12.306968840864593</v>
      </c>
      <c r="EE23" s="8">
        <f>ED23+真實IC!EE23</f>
        <v>12.376179840864593</v>
      </c>
      <c r="EF23" s="8">
        <f>EE23+真實IC!EF23</f>
        <v>12.469593840864592</v>
      </c>
    </row>
    <row r="24" spans="1:136">
      <c r="A24" s="7"/>
      <c r="B24" s="18" t="s">
        <v>233</v>
      </c>
      <c r="C24" s="6">
        <v>9.9113000000000007E-2</v>
      </c>
      <c r="D24" s="8">
        <f>C24+真實IC!D24</f>
        <v>0.19972300000000001</v>
      </c>
      <c r="E24" s="8">
        <f>D24+真實IC!E24</f>
        <v>0.48423499999999997</v>
      </c>
      <c r="F24" s="8">
        <f>E24+真實IC!F24</f>
        <v>0.28268928112835379</v>
      </c>
      <c r="G24" s="8">
        <f>F24+真實IC!G24</f>
        <v>0.26006689256573612</v>
      </c>
      <c r="H24" s="8">
        <f>G24+真實IC!H24</f>
        <v>0.29592289256573612</v>
      </c>
      <c r="I24" s="8">
        <f>H24+真實IC!I24</f>
        <v>0.29381095936259261</v>
      </c>
      <c r="J24" s="8">
        <f>I24+真實IC!J24</f>
        <v>0.19383876645245646</v>
      </c>
      <c r="K24" s="8">
        <f>J24+真實IC!K24</f>
        <v>0.24428310244594517</v>
      </c>
      <c r="L24" s="8">
        <f>K24+真實IC!L24</f>
        <v>0.15048310244594515</v>
      </c>
      <c r="M24" s="8">
        <f>L24+真實IC!M24</f>
        <v>3.6637635464366602E-3</v>
      </c>
      <c r="N24" s="8">
        <f>M24+真實IC!N24</f>
        <v>1.7726957635464367</v>
      </c>
      <c r="O24" s="8">
        <f>N24+真實IC!O24</f>
        <v>1.8093445542859803</v>
      </c>
      <c r="P24" s="8">
        <f>O24+真實IC!P24</f>
        <v>1.9135929686949797</v>
      </c>
      <c r="Q24" s="8">
        <f>P24+真實IC!Q24</f>
        <v>1.8526280070482735</v>
      </c>
      <c r="R24" s="8">
        <f>Q24+真實IC!R24</f>
        <v>1.6069306362690137</v>
      </c>
      <c r="S24" s="8">
        <f>R24+真實IC!S24</f>
        <v>1.9594450973291782</v>
      </c>
      <c r="T24" s="8">
        <f>S24+真實IC!T24</f>
        <v>1.6889583826551609</v>
      </c>
      <c r="U24" s="8">
        <f>T24+真實IC!U24</f>
        <v>1.8374770568790788</v>
      </c>
      <c r="V24" s="8">
        <f>U24+真實IC!V24</f>
        <v>1.7703377540414502</v>
      </c>
      <c r="W24" s="8">
        <f>V24+真實IC!W24</f>
        <v>1.6057757540414501</v>
      </c>
      <c r="X24" s="8">
        <f>W24+真實IC!X24</f>
        <v>1.5696178576801982</v>
      </c>
      <c r="Y24" s="8">
        <f>X24+真實IC!Y24</f>
        <v>1.5601408427537811</v>
      </c>
      <c r="Z24" s="8">
        <f>Y24+真實IC!Z24</f>
        <v>1.665983170032588</v>
      </c>
      <c r="AA24" s="8">
        <f>Z24+真實IC!AA24</f>
        <v>1.8845277497237427</v>
      </c>
      <c r="AB24" s="8">
        <f>AA24+真實IC!AB24</f>
        <v>2.0798673723989864</v>
      </c>
      <c r="AC24" s="8">
        <f>AB24+真實IC!AC24</f>
        <v>2.4816147062459413</v>
      </c>
      <c r="AD24" s="8">
        <f>AC24+真實IC!AD24</f>
        <v>2.5827887062459411</v>
      </c>
      <c r="AE24" s="8">
        <f>AD24+真實IC!AE24</f>
        <v>2.7759304959576991</v>
      </c>
      <c r="AF24" s="8">
        <f>AE24+真實IC!AF24</f>
        <v>3.271319908761861</v>
      </c>
      <c r="AG24" s="8">
        <f>AF24+真實IC!AG24</f>
        <v>3.4100556263884987</v>
      </c>
      <c r="AH24" s="8">
        <f>AG24+真實IC!AH24</f>
        <v>3.3533582663207091</v>
      </c>
      <c r="AI24" s="8">
        <f>AH24+真實IC!AI24</f>
        <v>3.6637722663207093</v>
      </c>
      <c r="AJ24" s="8">
        <f>AI24+真實IC!AJ24</f>
        <v>3.5828810223213341</v>
      </c>
      <c r="AK24" s="8">
        <f>AJ24+真實IC!AK24</f>
        <v>3.6677649753895265</v>
      </c>
      <c r="AL24" s="8">
        <f>AK24+真實IC!AL24</f>
        <v>3.7549379753895264</v>
      </c>
      <c r="AM24" s="8">
        <f>AL24+真實IC!AM24</f>
        <v>3.7360186939689997</v>
      </c>
      <c r="AN24" s="8">
        <f>AM24+真實IC!AN24</f>
        <v>3.957208159114431</v>
      </c>
      <c r="AO24" s="8">
        <f>AN24+真實IC!AO24</f>
        <v>4.0601138616922201</v>
      </c>
      <c r="AP24" s="8">
        <f>AO24+真實IC!AP24</f>
        <v>4.0829655771813167</v>
      </c>
      <c r="AQ24" s="8">
        <f>AP24+真實IC!AQ24</f>
        <v>4.3000895771813168</v>
      </c>
      <c r="AR24" s="8">
        <f>AQ24+真實IC!AR24</f>
        <v>4.4709225771813168</v>
      </c>
      <c r="AS24" s="8">
        <f>AR24+真實IC!AS24</f>
        <v>4.4742093508879393</v>
      </c>
      <c r="AT24" s="8">
        <f>AS24+真實IC!AT24</f>
        <v>4.6249783308136196</v>
      </c>
      <c r="AU24" s="8">
        <f>AT24+真實IC!AU24</f>
        <v>5.1020323308136195</v>
      </c>
      <c r="AV24" s="8">
        <f>AU24+真實IC!AV24</f>
        <v>5.3497169910439473</v>
      </c>
      <c r="AW24" s="8">
        <f>AV24+真實IC!AW24</f>
        <v>5.2010060345125071</v>
      </c>
      <c r="AX24" s="8">
        <f>AW24+真實IC!AX24</f>
        <v>5.3124973714287229</v>
      </c>
      <c r="AY24" s="8">
        <f>AX24+真實IC!AY24</f>
        <v>5.4806246653136119</v>
      </c>
      <c r="AZ24" s="8">
        <f>AY24+真實IC!AZ24</f>
        <v>5.5992466653136121</v>
      </c>
      <c r="BA24" s="8">
        <f>AZ24+真實IC!BA24</f>
        <v>5.6497376653136122</v>
      </c>
      <c r="BB24" s="8">
        <f>BA24+真實IC!BB24</f>
        <v>6.5224408144201025</v>
      </c>
      <c r="BC24" s="8">
        <f>BB24+真實IC!BC24</f>
        <v>6.5180739448057192</v>
      </c>
      <c r="BD24" s="8">
        <f>BC24+真實IC!BD24</f>
        <v>6.5367139448057197</v>
      </c>
      <c r="BE24" s="8">
        <f>BD24+真實IC!BE24</f>
        <v>6.4793334068206399</v>
      </c>
      <c r="BF24" s="8">
        <f>BE24+真實IC!BF24</f>
        <v>6.4149629858711767</v>
      </c>
      <c r="BG24" s="8">
        <f>BF24+真實IC!BG24</f>
        <v>6.323978758163741</v>
      </c>
      <c r="BH24" s="8">
        <f>BG24+真實IC!BH24</f>
        <v>6.4716523234154604</v>
      </c>
      <c r="BI24" s="8">
        <f>BH24+真實IC!BI24</f>
        <v>6.6952814294855072</v>
      </c>
      <c r="BJ24" s="8">
        <f>BI24+真實IC!BJ24</f>
        <v>6.8949214294855068</v>
      </c>
      <c r="BK24" s="8">
        <f>BJ24+真實IC!BK24</f>
        <v>6.8600914294855064</v>
      </c>
      <c r="BL24" s="8">
        <f>BK24+真實IC!BL24</f>
        <v>6.9661983496366728</v>
      </c>
      <c r="BM24" s="8">
        <f>BL24+真實IC!BM24</f>
        <v>7.0509812894756614</v>
      </c>
      <c r="BN24" s="8">
        <f>BM24+真實IC!BN24</f>
        <v>7.1598922894756614</v>
      </c>
      <c r="BO24" s="8">
        <f>BN24+真實IC!BO24</f>
        <v>6.9987825983800196</v>
      </c>
      <c r="BP24" s="8">
        <f>BO24+真實IC!BP24</f>
        <v>7.03057559838002</v>
      </c>
      <c r="BQ24" s="8">
        <f>BP24+真實IC!BQ24</f>
        <v>6.9664059650499048</v>
      </c>
      <c r="BR24" s="8">
        <f>BQ24+真實IC!BR24</f>
        <v>7.0653268542351464</v>
      </c>
      <c r="BS24" s="8">
        <f>BR24+真實IC!BS24</f>
        <v>6.9437058177055402</v>
      </c>
      <c r="BT24" s="8">
        <f>BS24+真實IC!BT24</f>
        <v>7.22042381770554</v>
      </c>
      <c r="BU24" s="8">
        <f>BT24+真實IC!BU24</f>
        <v>7.2291728177055399</v>
      </c>
      <c r="BV24" s="8">
        <f>BU24+真實IC!BV24</f>
        <v>7.1829141119648767</v>
      </c>
      <c r="BW24" s="8">
        <f>BV24+真實IC!BW24</f>
        <v>7.3339415573872957</v>
      </c>
      <c r="BX24" s="8">
        <f>BW24+真實IC!BX24</f>
        <v>7.2299915573872955</v>
      </c>
      <c r="BY24" s="8">
        <f>BX24+真實IC!BY24</f>
        <v>7.3483997884375976</v>
      </c>
      <c r="BZ24" s="8">
        <f>BY24+真實IC!BZ24</f>
        <v>7.6072926872875941</v>
      </c>
      <c r="CA24" s="8">
        <f>BZ24+真實IC!CA24</f>
        <v>7.7225143680610087</v>
      </c>
      <c r="CB24" s="8">
        <f>CA24+真實IC!CB24</f>
        <v>8.362213368061008</v>
      </c>
      <c r="CC24" s="8">
        <f>CB24+真實IC!CC24</f>
        <v>8.1797433680610077</v>
      </c>
      <c r="CD24" s="8">
        <f>CC24+真實IC!CD24</f>
        <v>8.3240496788032026</v>
      </c>
      <c r="CE24" s="8">
        <f>CD24+真實IC!CE24</f>
        <v>8.4896146788032034</v>
      </c>
      <c r="CF24" s="8">
        <f>CE24+真實IC!CF24</f>
        <v>8.7113360410485914</v>
      </c>
      <c r="CG24" s="8">
        <f>CF24+真實IC!CG24</f>
        <v>9.2313050071225131</v>
      </c>
      <c r="CH24" s="8">
        <f>CG24+真實IC!CH24</f>
        <v>9.5855823039650154</v>
      </c>
      <c r="CI24" s="8">
        <f>CH24+真實IC!CI24</f>
        <v>9.2571304832557502</v>
      </c>
      <c r="CJ24" s="8">
        <f>CI24+真實IC!CJ24</f>
        <v>8.9569435896654941</v>
      </c>
      <c r="CK24" s="8">
        <f>CJ24+真實IC!CK24</f>
        <v>9.280002854993878</v>
      </c>
      <c r="CL24" s="8">
        <f>CK24+真實IC!CL24</f>
        <v>9.4217581883664181</v>
      </c>
      <c r="CM24" s="8">
        <f>CL24+真實IC!CM24</f>
        <v>10.058198188366418</v>
      </c>
      <c r="CN24" s="8">
        <f>CM24+真實IC!CN24</f>
        <v>10.667875385633494</v>
      </c>
      <c r="CO24" s="8">
        <f>CN24+真實IC!CO24</f>
        <v>11.120349385633494</v>
      </c>
      <c r="CP24" s="8">
        <f>CO24+真實IC!CP24</f>
        <v>11.280693590448337</v>
      </c>
      <c r="CQ24" s="8">
        <f>CP24+真實IC!CQ24</f>
        <v>11.120503943820836</v>
      </c>
      <c r="CR24" s="8">
        <f>CQ24+真實IC!CR24</f>
        <v>11.258291399869538</v>
      </c>
      <c r="CS24" s="8">
        <f>CR24+真實IC!CS24</f>
        <v>11.366265635808565</v>
      </c>
      <c r="CT24" s="8">
        <f>CS24+真實IC!CT24</f>
        <v>11.246723635808566</v>
      </c>
      <c r="CU24" s="8">
        <f>CT24+真實IC!CU24</f>
        <v>11.29945268062222</v>
      </c>
      <c r="CV24" s="8">
        <f>CU24+真實IC!CV24</f>
        <v>11.482316775529444</v>
      </c>
      <c r="CW24" s="8">
        <f>CV24+真實IC!CW24</f>
        <v>11.247323560256598</v>
      </c>
      <c r="CX24" s="8">
        <f>CW24+真實IC!CX24</f>
        <v>11.302530753965286</v>
      </c>
      <c r="CY24" s="8">
        <f>CX24+真實IC!CY24</f>
        <v>11.623678753965287</v>
      </c>
      <c r="CZ24" s="8">
        <f>CY24+真實IC!CZ24</f>
        <v>11.735885382409855</v>
      </c>
      <c r="DA24" s="8">
        <f>CZ24+真實IC!DA24</f>
        <v>11.769865382409854</v>
      </c>
      <c r="DB24" s="8">
        <f>DA24+真實IC!DB24</f>
        <v>11.753365382409854</v>
      </c>
      <c r="DC24" s="8">
        <f>DB24+真實IC!DC24</f>
        <v>11.944541140580389</v>
      </c>
      <c r="DD24" s="8">
        <f>DC24+真實IC!DD24</f>
        <v>11.748696418397948</v>
      </c>
      <c r="DE24" s="8">
        <f>DD24+真實IC!DE24</f>
        <v>11.880282009693481</v>
      </c>
      <c r="DF24" s="8">
        <f>DE24+真實IC!DF24</f>
        <v>12.40587000969348</v>
      </c>
      <c r="DG24" s="8">
        <f>DF24+真實IC!DG24</f>
        <v>12.52541500969348</v>
      </c>
      <c r="DH24" s="8">
        <f>DG24+真實IC!DH24</f>
        <v>12.791220009693481</v>
      </c>
      <c r="DI24" s="8">
        <f>DH24+真實IC!DI24</f>
        <v>12.82840500969348</v>
      </c>
      <c r="DJ24" s="8">
        <f>DI24+真實IC!DJ24</f>
        <v>13.057774884224569</v>
      </c>
      <c r="DK24" s="8">
        <f>DJ24+真實IC!DK24</f>
        <v>13.177453884224569</v>
      </c>
      <c r="DL24" s="8">
        <f>DK24+真實IC!DL24</f>
        <v>13.238814397439986</v>
      </c>
      <c r="DM24" s="8">
        <f>DL24+真實IC!DM24</f>
        <v>13.238404397439986</v>
      </c>
      <c r="DN24" s="8">
        <f>DM24+真實IC!DN24</f>
        <v>13.471738968214682</v>
      </c>
      <c r="DO24" s="8">
        <f>DN24+真實IC!DO24</f>
        <v>13.587353968214682</v>
      </c>
      <c r="DP24" s="8">
        <f>DO24+真實IC!DP24</f>
        <v>13.810925791698379</v>
      </c>
      <c r="DQ24" s="8">
        <f>DP24+真實IC!DQ24</f>
        <v>14.169997093795027</v>
      </c>
      <c r="DR24" s="8">
        <f>DQ24+真實IC!DR24</f>
        <v>14.149481463582998</v>
      </c>
      <c r="DS24" s="8">
        <f>DR24+真實IC!DS24</f>
        <v>14.082115463582998</v>
      </c>
      <c r="DT24" s="8">
        <f>DS24+真實IC!DT24</f>
        <v>14.052679737194135</v>
      </c>
      <c r="DU24" s="8">
        <f>DT24+真實IC!DU24</f>
        <v>14.030897737194135</v>
      </c>
      <c r="DV24" s="8">
        <f>DU24+真實IC!DV24</f>
        <v>14.189122435837948</v>
      </c>
      <c r="DW24" s="8">
        <f>DV24+真實IC!DW24</f>
        <v>14.290305435837949</v>
      </c>
      <c r="DX24" s="8">
        <f>DW24+真實IC!DX24</f>
        <v>14.601898563630453</v>
      </c>
      <c r="DY24" s="8">
        <f>DX24+真實IC!DY24</f>
        <v>14.598658563630453</v>
      </c>
      <c r="DZ24" s="8">
        <f>DY24+真實IC!DZ24</f>
        <v>14.165148563630453</v>
      </c>
      <c r="EA24" s="8">
        <f>DZ24+真實IC!EA24</f>
        <v>14.141977061783779</v>
      </c>
      <c r="EB24" s="8">
        <f>EA24+真實IC!EB24</f>
        <v>14.73167497878287</v>
      </c>
      <c r="EC24" s="8">
        <f>EB24+真實IC!EC24</f>
        <v>14.717365060012192</v>
      </c>
      <c r="ED24" s="8">
        <f>EC24+真實IC!ED24</f>
        <v>14.773537905310555</v>
      </c>
      <c r="EE24" s="8">
        <f>ED24+真實IC!EE24</f>
        <v>14.881019905310554</v>
      </c>
      <c r="EF24" s="8">
        <f>EE24+真實IC!EF24</f>
        <v>15.015104905310555</v>
      </c>
    </row>
    <row r="25" spans="1:136">
      <c r="A25" s="4"/>
      <c r="B25" s="17" t="s">
        <v>145</v>
      </c>
      <c r="C25" s="3">
        <v>-1.745E-2</v>
      </c>
      <c r="D25" s="3">
        <f>C25+真實IC!D26</f>
        <v>3.2510000000000004E-3</v>
      </c>
      <c r="E25" s="3">
        <f>D25+真實IC!E26</f>
        <v>2.7233E-2</v>
      </c>
      <c r="F25" s="3">
        <f>E25+真實IC!F26</f>
        <v>2.0673E-2</v>
      </c>
      <c r="G25" s="3">
        <f>F25+真實IC!G26</f>
        <v>5.2517999999999995E-2</v>
      </c>
      <c r="H25" s="3">
        <f>G25+真實IC!H26</f>
        <v>8.6867E-2</v>
      </c>
      <c r="I25" s="3">
        <f>H25+真實IC!I26</f>
        <v>7.8616999999999992E-2</v>
      </c>
      <c r="J25" s="3">
        <f>I25+真實IC!J26</f>
        <v>9.1460999999999987E-2</v>
      </c>
      <c r="K25" s="3">
        <f>J25+真實IC!K26</f>
        <v>4.0440999999999984E-2</v>
      </c>
      <c r="L25" s="3">
        <f>K25+真實IC!L26</f>
        <v>4.1314999999999984E-2</v>
      </c>
      <c r="M25" s="3">
        <f>L25+真實IC!M26</f>
        <v>6.4704999999999985E-2</v>
      </c>
      <c r="N25" s="3">
        <f>M25+真實IC!N26</f>
        <v>7.7693999999999985E-2</v>
      </c>
      <c r="O25" s="3">
        <f>N25+真實IC!O26</f>
        <v>8.3548999999999984E-2</v>
      </c>
      <c r="P25" s="3">
        <f>O25+真實IC!P26</f>
        <v>0.11096199999999998</v>
      </c>
      <c r="Q25" s="3">
        <f>P25+真實IC!Q26</f>
        <v>0.10725199999999997</v>
      </c>
      <c r="R25" s="3">
        <f>Q25+真實IC!R26</f>
        <v>0.13132899999999997</v>
      </c>
      <c r="S25" s="3">
        <f>R25+真實IC!S26</f>
        <v>0.11913899999999997</v>
      </c>
      <c r="T25" s="3">
        <f>S25+真實IC!T26</f>
        <v>7.938899999999996E-2</v>
      </c>
      <c r="U25" s="3">
        <f>T25+真實IC!U26</f>
        <v>6.2289999999999568E-3</v>
      </c>
      <c r="V25" s="3">
        <f>U25+真實IC!V26</f>
        <v>-5.2031000000000042E-2</v>
      </c>
      <c r="W25" s="3">
        <f>V25+真實IC!W26</f>
        <v>-5.125800000000004E-2</v>
      </c>
      <c r="X25" s="3">
        <f>W25+真實IC!X26</f>
        <v>-6.6660000000000399E-3</v>
      </c>
      <c r="Y25" s="3">
        <f>X25+真實IC!Y26</f>
        <v>-3.4366000000000035E-2</v>
      </c>
      <c r="Z25" s="3">
        <f>Y25+真實IC!Z26</f>
        <v>-3.2271000000000036E-2</v>
      </c>
      <c r="AA25" s="3">
        <f>Z25+真實IC!AA26</f>
        <v>-5.567100000000004E-2</v>
      </c>
      <c r="AB25" s="3">
        <f>AA25+真實IC!AB26</f>
        <v>-2.3542000000000042E-2</v>
      </c>
      <c r="AC25" s="3">
        <f>AB25+真實IC!AC26</f>
        <v>1.5360999999999958E-2</v>
      </c>
      <c r="AD25" s="3">
        <f>AC25+真實IC!AD26</f>
        <v>-2.750900000000004E-2</v>
      </c>
      <c r="AE25" s="3">
        <f>AD25+真實IC!AE26</f>
        <v>-8.86200000000004E-3</v>
      </c>
      <c r="AF25" s="3">
        <f>AE25+真實IC!AF26</f>
        <v>6.3679999999999605E-3</v>
      </c>
      <c r="AG25" s="3">
        <f>AF25+真實IC!AG26</f>
        <v>4.2384999999999964E-2</v>
      </c>
      <c r="AH25" s="3">
        <f>AG25+真實IC!AH26</f>
        <v>5.1739999999999967E-2</v>
      </c>
      <c r="AI25" s="3">
        <f>AH25+真實IC!AI26</f>
        <v>6.2487999999999967E-2</v>
      </c>
      <c r="AJ25" s="3">
        <f>AI25+真實IC!AJ26</f>
        <v>7.5845999999999969E-2</v>
      </c>
      <c r="AK25" s="3">
        <f>AJ25+真實IC!AK26</f>
        <v>7.0515999999999968E-2</v>
      </c>
      <c r="AL25" s="3">
        <f>AK25+真實IC!AL26</f>
        <v>7.1898999999999963E-2</v>
      </c>
      <c r="AM25" s="3">
        <f>AL25+真實IC!AM26</f>
        <v>9.2694999999999958E-2</v>
      </c>
      <c r="AN25" s="3">
        <f>AM25+真實IC!AN26</f>
        <v>0.12421299999999996</v>
      </c>
      <c r="AO25" s="3">
        <f>AN25+真實IC!AO26</f>
        <v>0.13045499999999996</v>
      </c>
      <c r="AP25" s="3">
        <f>AO25+真實IC!AP26</f>
        <v>0.13659999999999997</v>
      </c>
      <c r="AQ25" s="3">
        <f>AP25+真實IC!AQ26</f>
        <v>0.15354599999999996</v>
      </c>
      <c r="AR25" s="3">
        <f>AQ25+真實IC!AR26</f>
        <v>0.18822899999999995</v>
      </c>
      <c r="AS25" s="3">
        <f>AR25+真實IC!AS26</f>
        <v>0.19132799999999994</v>
      </c>
      <c r="AT25" s="3">
        <f>AS25+真實IC!AT26</f>
        <v>0.20640899999999995</v>
      </c>
      <c r="AU25" s="3">
        <f>AT25+真實IC!AU26</f>
        <v>0.18715899999999996</v>
      </c>
      <c r="AV25" s="3">
        <f>AU25+真實IC!AV26</f>
        <v>0.22587099999999996</v>
      </c>
      <c r="AW25" s="3">
        <f>AV25+真實IC!AW26</f>
        <v>0.20401099999999997</v>
      </c>
      <c r="AX25" s="3">
        <f>AW25+真實IC!AX26</f>
        <v>0.21178499999999997</v>
      </c>
      <c r="AY25" s="3">
        <f>AX25+真實IC!AY26</f>
        <v>0.25418199999999996</v>
      </c>
      <c r="AZ25" s="3">
        <f>AY25+真實IC!AZ26</f>
        <v>0.22787199999999996</v>
      </c>
      <c r="BA25" s="3">
        <f>AZ25+真實IC!BA26</f>
        <v>0.23744399999999996</v>
      </c>
      <c r="BB25" s="3">
        <f>BA25+真實IC!BB26</f>
        <v>0.21319399999999997</v>
      </c>
      <c r="BC25" s="3">
        <f>BB25+真實IC!BC26</f>
        <v>0.23335699999999998</v>
      </c>
      <c r="BD25" s="3">
        <f>BC25+真實IC!BD26</f>
        <v>0.22985699999999998</v>
      </c>
      <c r="BE25" s="3">
        <f>BD25+真實IC!BE26</f>
        <v>0.25000899999999998</v>
      </c>
      <c r="BF25" s="3">
        <f>BE25+真實IC!BF26</f>
        <v>0.25058999999999998</v>
      </c>
      <c r="BG25" s="3">
        <f>BF25+真實IC!BG26</f>
        <v>0.24536999999999998</v>
      </c>
      <c r="BH25" s="3">
        <f>BG25+真實IC!BH26</f>
        <v>0.12949999999999998</v>
      </c>
      <c r="BI25" s="3">
        <f>BH25+真實IC!BI26</f>
        <v>0.13822499999999999</v>
      </c>
      <c r="BJ25" s="3">
        <f>BI25+真實IC!BJ26</f>
        <v>0.12184499999999998</v>
      </c>
      <c r="BK25" s="3">
        <f>BJ25+真實IC!BK26</f>
        <v>0.14268499999999998</v>
      </c>
      <c r="BL25" s="3">
        <f>BK25+真實IC!BL26</f>
        <v>0.18766099999999997</v>
      </c>
      <c r="BM25" s="3">
        <f>BL25+真實IC!BM26</f>
        <v>0.21161499999999997</v>
      </c>
      <c r="BN25" s="3">
        <f>BM25+真實IC!BN26</f>
        <v>0.24185399999999996</v>
      </c>
      <c r="BO25" s="3">
        <f>BN25+真實IC!BO26</f>
        <v>0.19812399999999997</v>
      </c>
      <c r="BP25" s="3">
        <f>BO25+真實IC!BP26</f>
        <v>0.22001299999999996</v>
      </c>
      <c r="BQ25" s="3">
        <f>BP25+真實IC!BQ26</f>
        <v>0.22863999999999995</v>
      </c>
      <c r="BR25" s="3">
        <f>BQ25+真實IC!BR26</f>
        <v>0.20944999999999997</v>
      </c>
      <c r="BS25" s="3">
        <f>BR25+真實IC!BS26</f>
        <v>0.22918499999999997</v>
      </c>
      <c r="BT25" s="3">
        <f>BS25+真實IC!BT26</f>
        <v>0.27687899999999999</v>
      </c>
      <c r="BU25" s="3">
        <f>BT25+真實IC!BU26</f>
        <v>0.28833399999999998</v>
      </c>
      <c r="BV25" s="3">
        <f>BU25+真實IC!BV26</f>
        <v>0.331563</v>
      </c>
      <c r="BW25" s="3">
        <f>BV25+真實IC!BW26</f>
        <v>0.28881299999999999</v>
      </c>
      <c r="BX25" s="3">
        <f>BW25+真實IC!BX26</f>
        <v>0.27100299999999999</v>
      </c>
      <c r="BY25" s="3">
        <f>BX25+真實IC!BY26</f>
        <v>0.11985299999999999</v>
      </c>
      <c r="BZ25" s="3">
        <f>BY25+真實IC!BZ26</f>
        <v>0.24407699999999999</v>
      </c>
      <c r="CA25" s="3">
        <f>BZ25+真實IC!CA26</f>
        <v>0.23951699999999998</v>
      </c>
      <c r="CB25" s="3">
        <f>CA25+真實IC!CB26</f>
        <v>0.29972799999999999</v>
      </c>
      <c r="CC25" s="3">
        <f>CB25+真實IC!CC26</f>
        <v>0.38572000000000001</v>
      </c>
      <c r="CD25" s="3">
        <f>CC25+真實IC!CD26</f>
        <v>0.37991000000000003</v>
      </c>
      <c r="CE25" s="3">
        <f>CD25+真實IC!CE26</f>
        <v>0.37387000000000004</v>
      </c>
      <c r="CF25" s="3">
        <f>CE25+真實IC!CF26</f>
        <v>0.37632200000000005</v>
      </c>
      <c r="CG25" s="3">
        <f>CF25+真實IC!CG26</f>
        <v>0.46595800000000004</v>
      </c>
      <c r="CH25" s="3">
        <f>CG25+真實IC!CH26</f>
        <v>0.53695100000000007</v>
      </c>
      <c r="CI25" s="3">
        <f>CH25+真實IC!CI26</f>
        <v>0.56412200000000001</v>
      </c>
      <c r="CJ25" s="3">
        <f>CI25+真實IC!CJ26</f>
        <v>0.61658999999999997</v>
      </c>
      <c r="CK25" s="3">
        <f>CJ25+真實IC!CK26</f>
        <v>0.64607099999999995</v>
      </c>
      <c r="CL25" s="3">
        <f>CK25+真實IC!CL26</f>
        <v>0.71289599999999997</v>
      </c>
      <c r="CM25" s="3">
        <f>CL25+真實IC!CM26</f>
        <v>0.68412600000000001</v>
      </c>
      <c r="CN25" s="3">
        <f>CM25+真實IC!CN26</f>
        <v>0.72358900000000004</v>
      </c>
      <c r="CO25" s="3">
        <f>CN25+真實IC!CO26</f>
        <v>0.69455900000000004</v>
      </c>
      <c r="CP25" s="3">
        <f>CO25+真實IC!CP26</f>
        <v>0.70854300000000003</v>
      </c>
      <c r="CQ25" s="3">
        <f>CP25+真實IC!CQ26</f>
        <v>0.67626300000000006</v>
      </c>
      <c r="CR25" s="3">
        <f>CQ25+真實IC!CR26</f>
        <v>0.67936700000000005</v>
      </c>
      <c r="CS25" s="3">
        <f>CR25+真實IC!CS26</f>
        <v>0.704959</v>
      </c>
      <c r="CT25" s="3">
        <f>CS25+真實IC!CT26</f>
        <v>0.74935099999999999</v>
      </c>
      <c r="CU25" s="3">
        <f>CT25+真實IC!CU26</f>
        <v>0.71901099999999996</v>
      </c>
      <c r="CV25" s="3">
        <f>CU25+真實IC!CV26</f>
        <v>0.71775099999999992</v>
      </c>
      <c r="CW25" s="3">
        <f>CV25+真實IC!CW26</f>
        <v>0.72008699999999992</v>
      </c>
      <c r="CX25" s="3">
        <f>CW25+真實IC!CX26</f>
        <v>0.65582699999999994</v>
      </c>
      <c r="CY25" s="3">
        <f>CX25+真實IC!CY26</f>
        <v>0.66873699999999991</v>
      </c>
      <c r="CZ25" s="3">
        <f>CY25+真實IC!CZ26</f>
        <v>0.54325699999999988</v>
      </c>
      <c r="DA25" s="3">
        <f>CZ25+真實IC!DA26</f>
        <v>0.55494799999999989</v>
      </c>
      <c r="DB25" s="3">
        <f>DA25+真實IC!DB26</f>
        <v>0.56128599999999984</v>
      </c>
      <c r="DC25" s="3">
        <f>DB25+真實IC!DC26</f>
        <v>0.44397599999999982</v>
      </c>
      <c r="DD25" s="3">
        <f>DC25+真實IC!DD26</f>
        <v>0.40796599999999983</v>
      </c>
      <c r="DE25" s="3">
        <f>DD25+真實IC!DE26</f>
        <v>0.54687699999999984</v>
      </c>
      <c r="DF25" s="3">
        <f>DE25+真實IC!DF26</f>
        <v>0.49573699999999982</v>
      </c>
      <c r="DG25" s="3">
        <f>DF25+真實IC!DG26</f>
        <v>0.57246799999999975</v>
      </c>
      <c r="DH25" s="3">
        <f>DG25+真實IC!DH26</f>
        <v>0.58797699999999975</v>
      </c>
      <c r="DI25" s="3">
        <f>DH25+真實IC!DI26</f>
        <v>0.61120099999999977</v>
      </c>
      <c r="DJ25" s="3">
        <f>DI25+真實IC!DJ26</f>
        <v>0.59283099999999977</v>
      </c>
      <c r="DK25" s="3">
        <f>DJ25+真實IC!DK26</f>
        <v>0.65502999999999978</v>
      </c>
      <c r="DL25" s="3">
        <f>DK25+真實IC!DL26</f>
        <v>0.67512799999999973</v>
      </c>
      <c r="DM25" s="3">
        <f>DL25+真實IC!DM26</f>
        <v>0.68862699999999977</v>
      </c>
      <c r="DN25" s="3">
        <f>DM25+真實IC!DN26</f>
        <v>0.65837699999999977</v>
      </c>
      <c r="DO25" s="3">
        <f>DN25+真實IC!DO26</f>
        <v>0.64135699999999973</v>
      </c>
      <c r="DP25" s="3">
        <f>DO25+真實IC!DP26</f>
        <v>0.61956699999999976</v>
      </c>
      <c r="DQ25" s="3">
        <f>DP25+真實IC!DQ26</f>
        <v>0.70531299999999975</v>
      </c>
      <c r="DR25" s="3">
        <f>DQ25+真實IC!DR26</f>
        <v>0.73341999999999974</v>
      </c>
      <c r="DS25" s="3">
        <f>DR25+真實IC!DS26</f>
        <v>0.73111999999999977</v>
      </c>
      <c r="DT25" s="3">
        <f>DS25+真實IC!DT26</f>
        <v>0.78959099999999982</v>
      </c>
      <c r="DU25" s="3">
        <f>DT25+真實IC!DU26</f>
        <v>0.85724999999999985</v>
      </c>
      <c r="DV25" s="3">
        <f>DU25+真實IC!DV26</f>
        <v>0.8622709999999999</v>
      </c>
      <c r="DW25" s="3">
        <f>DV25+真實IC!DW26</f>
        <v>0.8996869999999999</v>
      </c>
      <c r="DX25" s="3">
        <f>DW25+真實IC!DX26</f>
        <v>0.98379799999999995</v>
      </c>
      <c r="DY25" s="3">
        <f>DX25+真實IC!DY26</f>
        <v>0.94696799999999992</v>
      </c>
      <c r="DZ25" s="3">
        <f>DY25+真實IC!DZ26</f>
        <v>0.9500599999999999</v>
      </c>
      <c r="EA25" s="3">
        <f>DZ25+真實IC!EA26</f>
        <v>0.94809999999999994</v>
      </c>
      <c r="EB25" s="3">
        <f>EA25+真實IC!EB26</f>
        <v>0.97455899999999995</v>
      </c>
      <c r="EC25" s="3">
        <f>EB25+真實IC!EC26</f>
        <v>0.9498089999999999</v>
      </c>
      <c r="ED25" s="3">
        <f>EC25+真實IC!ED26</f>
        <v>0.98392399999999991</v>
      </c>
      <c r="EE25" s="3">
        <f>ED25+真實IC!EE26</f>
        <v>1.0049859999999999</v>
      </c>
      <c r="EF25" s="3">
        <f>EE25+真實IC!EF26</f>
        <v>0.98470860729399401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5"/>
  <sheetViews>
    <sheetView topLeftCell="DY9" zoomScale="150" workbookViewId="0">
      <selection activeCell="EB40" sqref="EB40"/>
    </sheetView>
  </sheetViews>
  <sheetFormatPr baseColWidth="10" defaultRowHeight="14"/>
  <cols>
    <col min="1" max="1" width="10.83203125" style="1" customWidth="1"/>
    <col min="2" max="16384" width="10.83203125" style="1"/>
  </cols>
  <sheetData>
    <row r="1" spans="1:136">
      <c r="A1" s="1" t="s">
        <v>0</v>
      </c>
    </row>
    <row r="2" spans="1:136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7" t="s">
        <v>76</v>
      </c>
      <c r="BZ2" s="7" t="s">
        <v>77</v>
      </c>
      <c r="CA2" s="7" t="s">
        <v>78</v>
      </c>
      <c r="CB2" s="7" t="s">
        <v>79</v>
      </c>
      <c r="CC2" s="7" t="s">
        <v>80</v>
      </c>
      <c r="CD2" s="7" t="s">
        <v>81</v>
      </c>
      <c r="CE2" s="7" t="s">
        <v>82</v>
      </c>
      <c r="CF2" s="7" t="s">
        <v>83</v>
      </c>
      <c r="CG2" s="7" t="s">
        <v>84</v>
      </c>
      <c r="CH2" s="7" t="s">
        <v>85</v>
      </c>
      <c r="CI2" s="7" t="s">
        <v>86</v>
      </c>
      <c r="CJ2" s="7" t="s">
        <v>87</v>
      </c>
      <c r="CK2" s="7" t="s">
        <v>88</v>
      </c>
      <c r="CL2" s="7" t="s">
        <v>89</v>
      </c>
      <c r="CM2" s="7" t="s">
        <v>90</v>
      </c>
      <c r="CN2" s="7" t="s">
        <v>91</v>
      </c>
      <c r="CO2" s="7" t="s">
        <v>92</v>
      </c>
      <c r="CP2" s="7" t="s">
        <v>93</v>
      </c>
      <c r="CQ2" s="7" t="s">
        <v>94</v>
      </c>
      <c r="CR2" s="7" t="s">
        <v>95</v>
      </c>
      <c r="CS2" s="7" t="s">
        <v>96</v>
      </c>
      <c r="CT2" s="7" t="s">
        <v>97</v>
      </c>
      <c r="CU2" s="7" t="s">
        <v>98</v>
      </c>
      <c r="CV2" s="7" t="s">
        <v>99</v>
      </c>
      <c r="CW2" s="7" t="s">
        <v>100</v>
      </c>
      <c r="CX2" s="7" t="s">
        <v>101</v>
      </c>
      <c r="CY2" s="7" t="s">
        <v>102</v>
      </c>
      <c r="CZ2" s="7" t="s">
        <v>103</v>
      </c>
      <c r="DA2" s="7" t="s">
        <v>104</v>
      </c>
      <c r="DB2" s="7" t="s">
        <v>105</v>
      </c>
      <c r="DC2" s="7" t="s">
        <v>106</v>
      </c>
      <c r="DD2" s="7" t="s">
        <v>107</v>
      </c>
      <c r="DE2" s="7" t="s">
        <v>108</v>
      </c>
      <c r="DF2" s="7" t="s">
        <v>109</v>
      </c>
      <c r="DG2" s="7" t="s">
        <v>110</v>
      </c>
      <c r="DH2" s="7" t="s">
        <v>111</v>
      </c>
      <c r="DI2" s="7" t="s">
        <v>112</v>
      </c>
      <c r="DJ2" s="7" t="s">
        <v>113</v>
      </c>
      <c r="DK2" s="7" t="s">
        <v>114</v>
      </c>
      <c r="DL2" s="7" t="s">
        <v>115</v>
      </c>
      <c r="DM2" s="7" t="s">
        <v>116</v>
      </c>
      <c r="DN2" s="7" t="s">
        <v>117</v>
      </c>
      <c r="DO2" s="7" t="s">
        <v>118</v>
      </c>
      <c r="DP2" s="7" t="s">
        <v>119</v>
      </c>
      <c r="DQ2" s="7" t="s">
        <v>120</v>
      </c>
      <c r="DR2" s="7" t="s">
        <v>121</v>
      </c>
      <c r="DS2" s="7" t="s">
        <v>122</v>
      </c>
      <c r="DT2" s="7" t="s">
        <v>123</v>
      </c>
      <c r="DU2" s="7" t="s">
        <v>124</v>
      </c>
      <c r="DV2" s="7" t="s">
        <v>125</v>
      </c>
      <c r="DW2" s="7" t="s">
        <v>126</v>
      </c>
      <c r="DX2" s="7" t="s">
        <v>127</v>
      </c>
      <c r="DY2" s="7" t="s">
        <v>128</v>
      </c>
      <c r="DZ2" s="7" t="s">
        <v>129</v>
      </c>
      <c r="EA2" s="7" t="s">
        <v>130</v>
      </c>
      <c r="EB2" s="7" t="s">
        <v>131</v>
      </c>
      <c r="EC2" s="7" t="s">
        <v>132</v>
      </c>
      <c r="ED2" s="7" t="s">
        <v>133</v>
      </c>
      <c r="EE2" s="7" t="s">
        <v>134</v>
      </c>
      <c r="EF2" s="7" t="s">
        <v>135</v>
      </c>
    </row>
    <row r="3" spans="1:136">
      <c r="B3" s="7" t="s">
        <v>136</v>
      </c>
      <c r="C3" s="13">
        <v>0.10910583</v>
      </c>
      <c r="D3" s="13">
        <v>1.457658E-2</v>
      </c>
      <c r="E3" s="13">
        <v>-3.6154400000000003E-2</v>
      </c>
      <c r="F3" s="13">
        <v>-4.7425999999999996E-3</v>
      </c>
      <c r="G3" s="13">
        <v>-5.7478E-3</v>
      </c>
      <c r="H3" s="13">
        <v>4.9378020000000002E-2</v>
      </c>
      <c r="I3" s="13">
        <v>0.18325177000000001</v>
      </c>
      <c r="J3" s="13">
        <v>0.11648631</v>
      </c>
      <c r="K3" s="13">
        <v>-3.0594900000000001E-2</v>
      </c>
      <c r="L3" s="13">
        <v>1.982805E-2</v>
      </c>
      <c r="M3" s="13">
        <v>-2.0999E-2</v>
      </c>
      <c r="N3" s="13">
        <v>0.14977942</v>
      </c>
      <c r="O3" s="13">
        <v>1.546341E-2</v>
      </c>
      <c r="P3" s="13">
        <v>-9.1792299999999993E-2</v>
      </c>
      <c r="Q3" s="13">
        <v>-7.7409000000000006E-2</v>
      </c>
      <c r="R3" s="13">
        <v>5.4776600000000002E-2</v>
      </c>
      <c r="S3" s="13">
        <v>-0.12533440000000001</v>
      </c>
      <c r="T3" s="13">
        <v>-0.1190534</v>
      </c>
      <c r="U3" s="13">
        <v>-3.7770100000000001E-2</v>
      </c>
      <c r="V3" s="13">
        <v>8.1183820000000004E-2</v>
      </c>
      <c r="W3" s="13">
        <v>8.4008970000000002E-2</v>
      </c>
      <c r="X3" s="13">
        <v>0.14701136000000001</v>
      </c>
      <c r="Y3" s="13">
        <v>-0.12536050000000001</v>
      </c>
      <c r="Z3" s="13">
        <v>0.19195355</v>
      </c>
      <c r="AA3" s="13">
        <v>-8.4370799999999996E-2</v>
      </c>
      <c r="AB3" s="13">
        <v>7.2897610000000002E-2</v>
      </c>
      <c r="AC3" s="13">
        <v>0.10260456</v>
      </c>
      <c r="AD3" s="13">
        <v>1.577017E-2</v>
      </c>
      <c r="AE3" s="13">
        <v>-0.15200720000000001</v>
      </c>
      <c r="AF3" s="13">
        <v>5.9250249999999997E-2</v>
      </c>
      <c r="AG3" s="13">
        <v>0.13005884000000001</v>
      </c>
      <c r="AH3" s="13">
        <v>0.11525639999999999</v>
      </c>
      <c r="AI3" s="13">
        <v>3.2606620000000003E-2</v>
      </c>
      <c r="AJ3" s="13">
        <v>2.7999110000000001E-2</v>
      </c>
      <c r="AK3" s="13">
        <v>0.14657042000000001</v>
      </c>
      <c r="AL3" s="13">
        <v>4.0841919999999997E-2</v>
      </c>
      <c r="AM3" s="13">
        <v>0.13137636999999999</v>
      </c>
      <c r="AN3" s="13">
        <v>0.22143296000000001</v>
      </c>
      <c r="AO3" s="13">
        <v>-2.0941000000000001E-2</v>
      </c>
      <c r="AP3" s="13">
        <v>-0.13716</v>
      </c>
      <c r="AQ3" s="13">
        <v>-2.4882899999999999E-2</v>
      </c>
      <c r="AR3" s="13">
        <v>1.551397E-2</v>
      </c>
      <c r="AS3" s="13">
        <v>3.4373040000000001E-2</v>
      </c>
      <c r="AT3" s="13">
        <v>6.3095689999999996E-2</v>
      </c>
      <c r="AU3" s="13">
        <v>4.3237699999999997E-2</v>
      </c>
      <c r="AV3" s="13">
        <v>-7.4230400000000002E-2</v>
      </c>
      <c r="AW3" s="13">
        <v>2.7994829999999998E-2</v>
      </c>
      <c r="AX3" s="13">
        <v>0.11986442</v>
      </c>
      <c r="AY3" s="13">
        <v>7.6559569999999993E-2</v>
      </c>
      <c r="AZ3" s="13">
        <v>-2.17304E-2</v>
      </c>
      <c r="BA3" s="13">
        <v>-1.2465E-3</v>
      </c>
      <c r="BB3" s="13">
        <v>0.10099582</v>
      </c>
      <c r="BC3" s="13">
        <v>2.9826930000000001E-2</v>
      </c>
      <c r="BD3" s="13">
        <v>8.6757699999999993E-3</v>
      </c>
      <c r="BE3" s="13">
        <v>6.8557209999999993E-2</v>
      </c>
      <c r="BF3" s="13">
        <v>0.15691260000000001</v>
      </c>
      <c r="BG3" s="13">
        <v>0.15920372999999999</v>
      </c>
      <c r="BH3" s="13">
        <v>6.1121670000000003E-2</v>
      </c>
      <c r="BI3" s="13">
        <v>9.6912849999999995E-2</v>
      </c>
      <c r="BJ3" s="13">
        <v>-5.4746200000000002E-2</v>
      </c>
      <c r="BK3" s="13">
        <v>-8.7493000000000001E-2</v>
      </c>
      <c r="BL3" s="13">
        <v>9.4426750000000004E-2</v>
      </c>
      <c r="BM3" s="13">
        <v>-2.2191099999999998E-2</v>
      </c>
      <c r="BN3" s="13">
        <v>1.5628610000000001E-2</v>
      </c>
      <c r="BO3" s="13">
        <v>8.1418240000000003E-2</v>
      </c>
      <c r="BP3" s="13">
        <v>-1.8508899999999998E-2</v>
      </c>
      <c r="BQ3" s="13">
        <v>6.8729570000000004E-2</v>
      </c>
      <c r="BR3" s="13">
        <v>3.1023600000000002E-3</v>
      </c>
      <c r="BS3" s="13">
        <v>7.4964420000000004E-2</v>
      </c>
      <c r="BT3" s="13">
        <v>4.520159E-2</v>
      </c>
      <c r="BU3" s="13">
        <v>2.5677330000000002E-2</v>
      </c>
      <c r="BV3" s="13">
        <v>9.1804029999999995E-2</v>
      </c>
      <c r="BW3" s="13">
        <v>-2.6353999999999999E-2</v>
      </c>
      <c r="BX3" s="13">
        <v>1.9394829999999998E-2</v>
      </c>
      <c r="BY3" s="13">
        <v>-7.6838900000000002E-2</v>
      </c>
      <c r="BZ3" s="13">
        <v>0.11330931</v>
      </c>
      <c r="CA3" s="13">
        <v>-0.1073549</v>
      </c>
      <c r="CB3" s="13">
        <v>4.0844789999999999E-2</v>
      </c>
      <c r="CC3" s="13">
        <v>-1.9801699999999998E-2</v>
      </c>
      <c r="CD3" s="13">
        <v>0.18837709</v>
      </c>
      <c r="CE3" s="13">
        <v>5.5574909999999998E-2</v>
      </c>
      <c r="CF3" s="13">
        <v>7.4872069999999999E-2</v>
      </c>
      <c r="CG3" s="13">
        <v>0.10000019</v>
      </c>
      <c r="CH3" s="13">
        <v>0.13602172000000001</v>
      </c>
      <c r="CI3" s="13">
        <v>-9.3741000000000005E-2</v>
      </c>
      <c r="CJ3" s="13">
        <v>3.9306000000000002E-3</v>
      </c>
      <c r="CK3" s="13">
        <v>5.6507780000000001E-2</v>
      </c>
      <c r="CL3" s="13">
        <v>0.26354578000000001</v>
      </c>
      <c r="CM3" s="13">
        <v>-9.5554000000000004E-3</v>
      </c>
      <c r="CN3" s="13">
        <v>-3.1511900000000002E-2</v>
      </c>
      <c r="CO3" s="13">
        <v>-2.2619E-2</v>
      </c>
      <c r="CP3" s="13">
        <v>0.13265561000000001</v>
      </c>
      <c r="CQ3" s="13">
        <v>0.13307278</v>
      </c>
      <c r="CR3" s="13">
        <v>-1.49564E-2</v>
      </c>
      <c r="CS3" s="13">
        <v>-3.3419900000000002E-2</v>
      </c>
      <c r="CT3" s="13">
        <v>1.2281210000000001E-2</v>
      </c>
      <c r="CU3" s="13">
        <v>0.11681498</v>
      </c>
      <c r="CV3" s="13">
        <v>-3.1589000000000001E-3</v>
      </c>
      <c r="CW3" s="13">
        <v>3.8217760000000003E-2</v>
      </c>
      <c r="CX3" s="13">
        <v>0.13917409</v>
      </c>
      <c r="CY3" s="13">
        <v>-2.3712299999999999E-2</v>
      </c>
      <c r="CZ3" s="13">
        <v>0.21835291000000001</v>
      </c>
      <c r="DA3" s="13">
        <v>-5.7967400000000002E-2</v>
      </c>
      <c r="DB3" s="13">
        <v>-1.4104200000000001E-2</v>
      </c>
      <c r="DC3" s="13">
        <v>0.11395608</v>
      </c>
      <c r="DD3" s="13">
        <v>7.4472259999999998E-2</v>
      </c>
      <c r="DE3" s="13">
        <v>-8.9970000000000002E-4</v>
      </c>
      <c r="DF3" s="13">
        <v>9.7707000000000002E-4</v>
      </c>
      <c r="DG3" s="13">
        <v>-7.2980100000000006E-2</v>
      </c>
      <c r="DH3" s="13">
        <v>-2.38453E-2</v>
      </c>
      <c r="DI3" s="13">
        <v>-0.1015307</v>
      </c>
      <c r="DJ3" s="13">
        <v>2.7692540000000002E-2</v>
      </c>
      <c r="DK3" s="13">
        <v>-4.9335200000000003E-2</v>
      </c>
      <c r="DL3" s="13">
        <v>-5.6994000000000003E-3</v>
      </c>
      <c r="DM3" s="13">
        <v>-3.6981800000000002E-2</v>
      </c>
      <c r="DN3" s="13">
        <v>0.10981299</v>
      </c>
      <c r="DO3" s="13">
        <v>4.2036829999999997E-2</v>
      </c>
      <c r="DP3" s="13">
        <v>8.4566669999999997E-2</v>
      </c>
      <c r="DQ3" s="13">
        <v>-0.1102798</v>
      </c>
      <c r="DR3" s="13">
        <v>9.4328709999999996E-2</v>
      </c>
      <c r="DS3" s="13">
        <v>-7.1906899999999996E-2</v>
      </c>
      <c r="DT3" s="13">
        <v>-9.62364E-2</v>
      </c>
      <c r="DU3" s="13">
        <v>2.3455500000000001E-3</v>
      </c>
      <c r="DV3" s="13">
        <v>0.13401742</v>
      </c>
      <c r="DW3" s="13">
        <v>9.4732520000000001E-2</v>
      </c>
      <c r="DX3" s="13">
        <v>-0.1037732</v>
      </c>
      <c r="DY3" s="13">
        <v>7.576215E-2</v>
      </c>
      <c r="DZ3" s="13">
        <v>-3.1829700000000002E-2</v>
      </c>
      <c r="EA3" s="13">
        <v>0.16130802</v>
      </c>
      <c r="EB3" s="13">
        <v>1.0203530000000001E-2</v>
      </c>
      <c r="EC3" s="13">
        <v>7.3988429999999994E-2</v>
      </c>
      <c r="ED3" s="13">
        <v>-0.15737689999999999</v>
      </c>
      <c r="EE3" s="13">
        <v>7.9137550000000001E-2</v>
      </c>
      <c r="EF3" s="13">
        <v>7.2528549999999997E-2</v>
      </c>
    </row>
    <row r="4" spans="1:136">
      <c r="B4" s="7" t="s">
        <v>137</v>
      </c>
      <c r="C4" s="13">
        <v>-0.24758869999999999</v>
      </c>
      <c r="D4" s="13">
        <v>-0.27469329999999997</v>
      </c>
      <c r="E4" s="13">
        <v>-8.4648399999999999E-2</v>
      </c>
      <c r="F4" s="13">
        <v>2.2644629999999999E-2</v>
      </c>
      <c r="G4" s="13">
        <v>-4.9680000000000002E-2</v>
      </c>
      <c r="H4" s="13">
        <v>-0.1007596</v>
      </c>
      <c r="I4" s="13">
        <v>-1.2522699999999999E-2</v>
      </c>
      <c r="J4" s="13">
        <v>7.8736539999999994E-2</v>
      </c>
      <c r="K4" s="13">
        <v>-3.4185100000000003E-2</v>
      </c>
      <c r="L4" s="13">
        <v>8.8406789999999999E-2</v>
      </c>
      <c r="M4" s="13">
        <v>-3.0634999999999998E-3</v>
      </c>
      <c r="N4" s="13">
        <v>-0.21221799999999999</v>
      </c>
      <c r="O4" s="13">
        <v>-3.6805400000000002E-2</v>
      </c>
      <c r="P4" s="13">
        <v>7.1033120000000005E-2</v>
      </c>
      <c r="Q4" s="13">
        <v>-7.1261099999999994E-2</v>
      </c>
      <c r="R4" s="13">
        <v>2.1560449999999998E-2</v>
      </c>
      <c r="S4" s="13">
        <v>0.10111125999999999</v>
      </c>
      <c r="T4" s="13">
        <v>4.3224730000000003E-2</v>
      </c>
      <c r="U4" s="13">
        <v>1.488195E-2</v>
      </c>
      <c r="V4" s="13">
        <v>6.3260199999999999E-3</v>
      </c>
      <c r="W4" s="13">
        <v>-0.14355299999999999</v>
      </c>
      <c r="X4" s="13">
        <v>-6.4282199999999998E-2</v>
      </c>
      <c r="Y4" s="13">
        <v>-1.9034200000000001E-2</v>
      </c>
      <c r="Z4" s="13">
        <v>-2.0644599999999999E-2</v>
      </c>
      <c r="AA4" s="13">
        <v>3.3059529999999997E-2</v>
      </c>
      <c r="AB4" s="13">
        <v>-1.94182E-2</v>
      </c>
      <c r="AC4" s="13">
        <v>-6.3126799999999997E-2</v>
      </c>
      <c r="AD4" s="13">
        <v>-6.5629699999999999E-2</v>
      </c>
      <c r="AE4" s="13">
        <v>0.13799568000000001</v>
      </c>
      <c r="AF4" s="13">
        <v>-0.1005679</v>
      </c>
      <c r="AG4" s="13">
        <v>-3.7969099999999999E-2</v>
      </c>
      <c r="AH4" s="13">
        <v>-4.5839499999999998E-2</v>
      </c>
      <c r="AI4" s="13">
        <v>-5.1034099999999999E-2</v>
      </c>
      <c r="AJ4" s="13">
        <v>-3.2204E-3</v>
      </c>
      <c r="AK4" s="13">
        <v>4.8952000000000002E-4</v>
      </c>
      <c r="AL4" s="13">
        <v>-0.10644670000000001</v>
      </c>
      <c r="AM4" s="13">
        <v>-1.3724E-2</v>
      </c>
      <c r="AN4" s="13">
        <v>-0.1219647</v>
      </c>
      <c r="AO4" s="13">
        <v>-4.85897E-2</v>
      </c>
      <c r="AP4" s="13">
        <v>-1.9032000000000001E-3</v>
      </c>
      <c r="AQ4" s="13">
        <v>2.9067490000000001E-2</v>
      </c>
      <c r="AR4" s="13">
        <v>5.2635769999999998E-2</v>
      </c>
      <c r="AS4" s="13">
        <v>-1.28933E-2</v>
      </c>
      <c r="AT4" s="13">
        <v>-2.1310999999999999E-3</v>
      </c>
      <c r="AU4" s="13">
        <v>-0.15538440000000001</v>
      </c>
      <c r="AV4" s="13">
        <v>1.268178E-2</v>
      </c>
      <c r="AW4" s="13">
        <v>-1.1942299999999999E-2</v>
      </c>
      <c r="AX4" s="13">
        <v>-4.2538000000000003E-3</v>
      </c>
      <c r="AY4" s="13">
        <v>2.930087E-2</v>
      </c>
      <c r="AZ4" s="13">
        <v>-0.13412750000000001</v>
      </c>
      <c r="BA4" s="13">
        <v>-0.1371115</v>
      </c>
      <c r="BB4" s="13">
        <v>1.7546599999999999E-3</v>
      </c>
      <c r="BC4" s="13">
        <v>2.511712E-2</v>
      </c>
      <c r="BD4" s="13">
        <v>-0.1196019</v>
      </c>
      <c r="BE4" s="13">
        <v>0.13576165000000001</v>
      </c>
      <c r="BF4" s="13">
        <v>4.7091170000000002E-2</v>
      </c>
      <c r="BG4" s="13">
        <v>-2.60501E-2</v>
      </c>
      <c r="BH4" s="13">
        <v>4.3752760000000002E-2</v>
      </c>
      <c r="BI4" s="13">
        <v>-8.13918E-2</v>
      </c>
      <c r="BJ4" s="13">
        <v>-0.1006008</v>
      </c>
      <c r="BK4" s="13">
        <v>9.0490070000000006E-2</v>
      </c>
      <c r="BL4" s="13">
        <v>-3.0898499999999999E-2</v>
      </c>
      <c r="BM4" s="13">
        <v>5.8814169999999999E-2</v>
      </c>
      <c r="BN4" s="13">
        <v>8.1345630000000002E-2</v>
      </c>
      <c r="BO4" s="13">
        <v>-7.7164E-3</v>
      </c>
      <c r="BP4" s="13">
        <v>0.10673487</v>
      </c>
      <c r="BQ4" s="13">
        <v>-2.7156300000000001E-2</v>
      </c>
      <c r="BR4" s="13">
        <v>-5.4431E-2</v>
      </c>
      <c r="BS4" s="13">
        <v>-6.8229300000000007E-2</v>
      </c>
      <c r="BT4" s="13">
        <v>9.861222E-2</v>
      </c>
      <c r="BU4" s="13">
        <v>0.12839854000000001</v>
      </c>
      <c r="BV4" s="13">
        <v>-7.84025E-2</v>
      </c>
      <c r="BW4" s="13">
        <v>-0.1191337</v>
      </c>
      <c r="BX4" s="13">
        <v>-4.6890099999999997E-2</v>
      </c>
      <c r="BY4" s="13">
        <v>0.10169835000000001</v>
      </c>
      <c r="BZ4" s="13">
        <v>-2.5680100000000001E-2</v>
      </c>
      <c r="CA4" s="13">
        <v>-8.3301799999999995E-2</v>
      </c>
      <c r="CB4" s="13">
        <v>-0.15782760000000001</v>
      </c>
      <c r="CC4" s="13">
        <v>-7.1052599999999994E-2</v>
      </c>
      <c r="CD4" s="13">
        <v>-7.3875499999999997E-2</v>
      </c>
      <c r="CE4" s="13">
        <v>-0.23678650000000001</v>
      </c>
      <c r="CF4" s="13">
        <v>3.2627709999999997E-2</v>
      </c>
      <c r="CG4" s="13">
        <v>1.342309E-2</v>
      </c>
      <c r="CH4" s="13">
        <v>-2.7967000000000001E-3</v>
      </c>
      <c r="CI4" s="13">
        <v>4.7925700000000002E-2</v>
      </c>
      <c r="CJ4" s="13">
        <v>-3.2520000000000001E-3</v>
      </c>
      <c r="CK4" s="13">
        <v>-7.5708200000000003E-2</v>
      </c>
      <c r="CL4" s="13">
        <v>-4.4397300000000001E-2</v>
      </c>
      <c r="CM4" s="13">
        <v>0.17898859</v>
      </c>
      <c r="CN4" s="13">
        <v>5.7994270000000001E-2</v>
      </c>
      <c r="CO4" s="13">
        <v>-0.13939019999999999</v>
      </c>
      <c r="CP4" s="13">
        <v>6.4714670000000002E-2</v>
      </c>
      <c r="CQ4" s="13">
        <v>-0.18118790000000001</v>
      </c>
      <c r="CR4" s="13">
        <v>-8.8633500000000004E-2</v>
      </c>
      <c r="CS4" s="13">
        <v>-2.5321799999999998E-2</v>
      </c>
      <c r="CT4" s="13">
        <v>-0.1130791</v>
      </c>
      <c r="CU4" s="13">
        <v>8.0959599999999993E-3</v>
      </c>
      <c r="CV4" s="13">
        <v>-4.5200200000000003E-2</v>
      </c>
      <c r="CW4" s="13">
        <v>-5.8941199999999999E-2</v>
      </c>
      <c r="CX4" s="13">
        <v>-0.1077283</v>
      </c>
      <c r="CY4" s="13">
        <v>-9.6503500000000006E-2</v>
      </c>
      <c r="CZ4" s="13">
        <v>-0.21035429999999999</v>
      </c>
      <c r="DA4" s="13">
        <v>-0.10996110000000001</v>
      </c>
      <c r="DB4" s="13">
        <v>-0.1908205</v>
      </c>
      <c r="DC4" s="13">
        <v>-2.0727300000000001E-2</v>
      </c>
      <c r="DD4" s="13">
        <v>8.7029090000000003E-2</v>
      </c>
      <c r="DE4" s="13">
        <v>8.2024589999999994E-2</v>
      </c>
      <c r="DF4" s="13">
        <v>-0.16687669999999999</v>
      </c>
      <c r="DG4" s="13">
        <v>0.22243809</v>
      </c>
      <c r="DH4" s="13">
        <v>-0.1442978</v>
      </c>
      <c r="DI4" s="13">
        <v>-0.1196199</v>
      </c>
      <c r="DJ4" s="13">
        <v>-0.1015928</v>
      </c>
      <c r="DK4" s="13">
        <v>9.2855060000000003E-2</v>
      </c>
      <c r="DL4" s="13">
        <v>-4.2630500000000002E-2</v>
      </c>
      <c r="DM4" s="13">
        <v>8.2732070000000005E-2</v>
      </c>
      <c r="DN4" s="13">
        <v>-3.1049500000000001E-2</v>
      </c>
      <c r="DO4" s="13">
        <v>-9.8141999999999993E-2</v>
      </c>
      <c r="DP4" s="13">
        <v>-0.13058890000000001</v>
      </c>
      <c r="DQ4" s="13">
        <v>4.865572E-2</v>
      </c>
      <c r="DR4" s="13">
        <v>-3.9251899999999999E-2</v>
      </c>
      <c r="DS4" s="13">
        <v>-0.16103020000000001</v>
      </c>
      <c r="DT4" s="13">
        <v>-7.8883999999999996E-2</v>
      </c>
      <c r="DU4" s="13">
        <v>0.16407715</v>
      </c>
      <c r="DV4" s="13">
        <v>7.5052599999999997E-3</v>
      </c>
      <c r="DW4" s="13">
        <v>-0.1016452</v>
      </c>
      <c r="DX4" s="13">
        <v>-5.6040300000000001E-2</v>
      </c>
      <c r="DY4" s="13">
        <v>-0.10665669999999999</v>
      </c>
      <c r="DZ4" s="13">
        <v>-6.9186600000000001E-2</v>
      </c>
      <c r="EA4" s="13">
        <v>-0.12618869999999999</v>
      </c>
      <c r="EB4" s="13">
        <v>-6.4737100000000006E-2</v>
      </c>
      <c r="EC4" s="13">
        <v>5.1426090000000001E-2</v>
      </c>
      <c r="ED4" s="13">
        <v>3.4496730000000003E-2</v>
      </c>
      <c r="EE4" s="13">
        <v>0.1576776</v>
      </c>
      <c r="EF4" s="13">
        <v>-0.12717999999999999</v>
      </c>
    </row>
    <row r="5" spans="1:136">
      <c r="B5" s="7" t="s">
        <v>138</v>
      </c>
      <c r="C5" s="13">
        <v>-5.4239999999999997E-2</v>
      </c>
      <c r="D5" s="13">
        <v>4.5377000000000001E-2</v>
      </c>
      <c r="E5" s="13">
        <v>-1.7749999999999998E-2</v>
      </c>
      <c r="F5" s="13">
        <v>-8.7690000000000004E-2</v>
      </c>
      <c r="G5" s="13">
        <v>0.102759</v>
      </c>
      <c r="H5" s="13">
        <v>2.5110000000000002E-3</v>
      </c>
      <c r="I5" s="13">
        <v>-1.83E-2</v>
      </c>
      <c r="J5" s="13">
        <v>2.2110999999999999E-2</v>
      </c>
      <c r="K5" s="13">
        <v>7.7257999999999993E-2</v>
      </c>
      <c r="L5" s="13">
        <v>9.3439999999999999E-3</v>
      </c>
      <c r="M5" s="13">
        <v>5.3601999999999997E-2</v>
      </c>
      <c r="N5" s="13">
        <v>-6.7879999999999996E-2</v>
      </c>
      <c r="O5" s="13">
        <v>6.4930000000000002E-2</v>
      </c>
      <c r="P5" s="13">
        <v>4.8809999999999999E-3</v>
      </c>
      <c r="Q5" s="13">
        <v>1.9198E-2</v>
      </c>
      <c r="R5" s="13">
        <v>-5.47E-3</v>
      </c>
      <c r="S5" s="13">
        <v>3.6551E-2</v>
      </c>
      <c r="T5" s="13">
        <v>0.12918499999999999</v>
      </c>
      <c r="U5" s="13">
        <v>1.3691999999999999E-2</v>
      </c>
      <c r="V5" s="13">
        <v>1.5295E-2</v>
      </c>
      <c r="W5" s="13">
        <v>-0.10469000000000001</v>
      </c>
      <c r="X5" s="13">
        <v>-0.29385</v>
      </c>
      <c r="Y5" s="13">
        <v>5.9212000000000001E-2</v>
      </c>
      <c r="Z5" s="13">
        <v>-0.18495</v>
      </c>
      <c r="AA5" s="13">
        <v>9.8247000000000001E-2</v>
      </c>
      <c r="AB5" s="13">
        <v>-6.6E-4</v>
      </c>
      <c r="AC5" s="13">
        <v>-0.10369</v>
      </c>
      <c r="AD5" s="13">
        <v>3.545E-3</v>
      </c>
      <c r="AE5" s="13">
        <v>0.17560100000000001</v>
      </c>
      <c r="AF5" s="13">
        <v>-0.15503</v>
      </c>
      <c r="AG5" s="13">
        <v>-2.6329999999999999E-2</v>
      </c>
      <c r="AH5" s="13">
        <v>-5.0000000000000001E-3</v>
      </c>
      <c r="AI5" s="13">
        <v>2.8067999999999999E-2</v>
      </c>
      <c r="AJ5" s="13">
        <v>-2.2380000000000001E-2</v>
      </c>
      <c r="AK5" s="13">
        <v>-4.7019999999999999E-2</v>
      </c>
      <c r="AL5" s="13">
        <v>-0.10156</v>
      </c>
      <c r="AM5" s="13">
        <v>2.3525000000000001E-2</v>
      </c>
      <c r="AN5" s="13">
        <v>5.2525000000000002E-2</v>
      </c>
      <c r="AO5" s="13">
        <v>5.8502999999999999E-2</v>
      </c>
      <c r="AP5" s="13">
        <v>3.3446999999999998E-2</v>
      </c>
      <c r="AQ5" s="13">
        <v>1.43E-2</v>
      </c>
      <c r="AR5" s="13">
        <v>3.5903999999999998E-2</v>
      </c>
      <c r="AS5" s="13">
        <v>3.9781999999999998E-2</v>
      </c>
      <c r="AT5" s="13">
        <v>0.148456</v>
      </c>
      <c r="AU5" s="13">
        <v>-4.079E-2</v>
      </c>
      <c r="AV5" s="13">
        <v>0.138959</v>
      </c>
      <c r="AW5" s="13">
        <v>5.9863E-2</v>
      </c>
      <c r="AX5" s="13">
        <v>-0.14979000000000001</v>
      </c>
      <c r="AY5" s="13">
        <v>6.1595999999999998E-2</v>
      </c>
      <c r="AZ5" s="13">
        <v>-6.1949999999999998E-2</v>
      </c>
      <c r="BA5" s="13">
        <v>-2.3900000000000002E-3</v>
      </c>
      <c r="BB5" s="13">
        <v>-0.14887</v>
      </c>
      <c r="BC5" s="13">
        <v>6.0351000000000002E-2</v>
      </c>
      <c r="BD5" s="13">
        <v>-1.469E-2</v>
      </c>
      <c r="BE5" s="13">
        <v>-0.14652000000000001</v>
      </c>
      <c r="BF5" s="13">
        <v>-0.20876</v>
      </c>
      <c r="BG5" s="13">
        <v>-0.20144000000000001</v>
      </c>
      <c r="BH5" s="13">
        <v>-0.11805</v>
      </c>
      <c r="BI5" s="13">
        <v>-7.7030000000000001E-2</v>
      </c>
      <c r="BJ5" s="13">
        <v>-3.6220000000000002E-2</v>
      </c>
      <c r="BK5" s="13">
        <v>-1.891E-2</v>
      </c>
      <c r="BL5" s="13">
        <v>-0.17126</v>
      </c>
      <c r="BM5" s="13">
        <v>0.13291700000000001</v>
      </c>
      <c r="BN5" s="13">
        <v>-3.5909999999999997E-2</v>
      </c>
      <c r="BO5" s="13">
        <v>2.1344999999999999E-2</v>
      </c>
      <c r="BP5" s="13">
        <v>4.9634999999999999E-2</v>
      </c>
      <c r="BQ5" s="13">
        <v>-1.721E-2</v>
      </c>
      <c r="BR5" s="13">
        <v>0.189827</v>
      </c>
      <c r="BS5" s="13">
        <v>-9.7610000000000002E-2</v>
      </c>
      <c r="BT5" s="13">
        <v>3.7830999999999997E-2</v>
      </c>
      <c r="BU5" s="13">
        <v>5.6008000000000002E-2</v>
      </c>
      <c r="BV5" s="13">
        <v>-0.11674</v>
      </c>
      <c r="BW5" s="13">
        <v>-0.14132</v>
      </c>
      <c r="BX5" s="13">
        <v>-3.3800000000000002E-3</v>
      </c>
      <c r="BY5" s="13">
        <v>0.13033600000000001</v>
      </c>
      <c r="BZ5" s="13">
        <v>3.1697999999999997E-2</v>
      </c>
      <c r="CA5" s="13">
        <v>4.0555000000000001E-2</v>
      </c>
      <c r="CB5" s="13">
        <v>-4.2040000000000001E-2</v>
      </c>
      <c r="CC5" s="13">
        <v>5.0014000000000003E-2</v>
      </c>
      <c r="CD5" s="13">
        <v>-6.8459999999999993E-2</v>
      </c>
      <c r="CE5" s="13">
        <v>-8.0829999999999999E-2</v>
      </c>
      <c r="CF5" s="13">
        <v>-1.9499999999999999E-3</v>
      </c>
      <c r="CG5" s="13">
        <v>-0.11821</v>
      </c>
      <c r="CH5" s="13">
        <v>-3.6720000000000003E-2</v>
      </c>
      <c r="CI5" s="13">
        <v>-8.3330000000000001E-2</v>
      </c>
      <c r="CJ5" s="13">
        <v>0.23067299999999999</v>
      </c>
      <c r="CK5" s="13">
        <v>0.13277900000000001</v>
      </c>
      <c r="CL5" s="13">
        <v>0.141287</v>
      </c>
      <c r="CM5" s="13">
        <v>-0.11269</v>
      </c>
      <c r="CN5" s="13">
        <v>0.22348899999999999</v>
      </c>
      <c r="CO5" s="13">
        <v>-0.10442</v>
      </c>
      <c r="CP5" s="13">
        <v>-1.443E-2</v>
      </c>
      <c r="CQ5" s="13">
        <v>-0.20723</v>
      </c>
      <c r="CR5" s="13">
        <v>-0.13486000000000001</v>
      </c>
      <c r="CS5" s="13">
        <v>7.3008000000000003E-2</v>
      </c>
      <c r="CT5" s="13">
        <v>-3.022E-2</v>
      </c>
      <c r="CU5" s="13">
        <v>-0.28688999999999998</v>
      </c>
      <c r="CV5" s="13">
        <v>0.23073099999999999</v>
      </c>
      <c r="CW5" s="13">
        <v>9.1076000000000004E-2</v>
      </c>
      <c r="CX5" s="13">
        <v>-0.12249</v>
      </c>
      <c r="CY5" s="13">
        <v>7.8381999999999993E-2</v>
      </c>
      <c r="CZ5" s="13">
        <v>-4.5949999999999998E-2</v>
      </c>
      <c r="DA5" s="13">
        <v>8.2669999999999993E-2</v>
      </c>
      <c r="DB5" s="13">
        <v>0.14934900000000001</v>
      </c>
      <c r="DC5" s="13">
        <v>-4.7800000000000002E-2</v>
      </c>
      <c r="DD5" s="13">
        <v>-0.16450999999999999</v>
      </c>
      <c r="DE5" s="13">
        <v>-0.11057</v>
      </c>
      <c r="DF5" s="13">
        <v>5.7417000000000003E-2</v>
      </c>
      <c r="DG5" s="13">
        <v>-0.21489</v>
      </c>
      <c r="DH5" s="13">
        <v>6.2996999999999997E-2</v>
      </c>
      <c r="DI5" s="13">
        <v>6.7721000000000003E-2</v>
      </c>
      <c r="DJ5" s="13">
        <v>0.118802</v>
      </c>
      <c r="DK5" s="13">
        <v>7.2830000000000004E-3</v>
      </c>
      <c r="DL5" s="13">
        <v>7.1320999999999996E-2</v>
      </c>
      <c r="DM5" s="13">
        <v>2.1021999999999999E-2</v>
      </c>
      <c r="DN5" s="13">
        <v>-3.04E-2</v>
      </c>
      <c r="DO5" s="13">
        <v>-9.6949999999999995E-2</v>
      </c>
      <c r="DP5" s="13">
        <v>-0.23068</v>
      </c>
      <c r="DQ5" s="13">
        <v>0.23818400000000001</v>
      </c>
      <c r="DR5" s="13">
        <v>3.5750000000000001E-3</v>
      </c>
      <c r="DS5" s="13">
        <v>0.13395599999999999</v>
      </c>
      <c r="DT5" s="13">
        <v>0.115106</v>
      </c>
      <c r="DU5" s="13">
        <v>0.10408000000000001</v>
      </c>
      <c r="DV5" s="13">
        <v>-5.4609999999999999E-2</v>
      </c>
      <c r="DW5" s="13">
        <v>-3.329E-2</v>
      </c>
      <c r="DX5" s="13">
        <v>5.5094999999999998E-2</v>
      </c>
      <c r="DY5" s="13">
        <v>6.8793999999999994E-2</v>
      </c>
      <c r="DZ5" s="13">
        <v>1.4481000000000001E-2</v>
      </c>
      <c r="EA5" s="13">
        <v>-0.29314000000000001</v>
      </c>
      <c r="EB5" s="13">
        <v>-0.14097999999999999</v>
      </c>
      <c r="EC5" s="13">
        <v>-1.221E-2</v>
      </c>
      <c r="ED5" s="13">
        <v>5.8167999999999997E-2</v>
      </c>
      <c r="EE5" s="13">
        <v>-0.1444</v>
      </c>
      <c r="EF5" s="13">
        <v>-9.7009999999999999E-2</v>
      </c>
    </row>
    <row r="6" spans="1:136" ht="15">
      <c r="A6" s="23" t="s">
        <v>139</v>
      </c>
      <c r="B6" s="24"/>
      <c r="C6" s="12">
        <f t="array" ref="C6">MATCH(MAX(ABS(C3:C5)),ABS(C3:C5),0)</f>
        <v>2</v>
      </c>
      <c r="D6" s="12">
        <f t="array" ref="D6">MATCH(MAX(ABS(D3:D5)),ABS(D3:D5),0)</f>
        <v>2</v>
      </c>
      <c r="E6" s="12">
        <f t="array" ref="E6">MATCH(MAX(ABS(E3:E5)),ABS(E3:E5),0)</f>
        <v>2</v>
      </c>
      <c r="F6" s="12">
        <f t="array" ref="F6">MATCH(MAX(ABS(F3:F5)),ABS(F3:F5),0)</f>
        <v>3</v>
      </c>
      <c r="G6" s="12">
        <f t="array" ref="G6">MATCH(MAX(ABS(G3:G5)),ABS(G3:G5),0)</f>
        <v>3</v>
      </c>
      <c r="H6" s="12">
        <f t="array" ref="H6">MATCH(MAX(ABS(H3:H5)),ABS(H3:H5),0)</f>
        <v>2</v>
      </c>
      <c r="I6" s="12">
        <f t="array" ref="I6">MATCH(MAX(ABS(I3:I5)),ABS(I3:I5),0)</f>
        <v>1</v>
      </c>
      <c r="J6" s="12">
        <f t="array" ref="J6">MATCH(MAX(ABS(J3:J5)),ABS(J3:J5),0)</f>
        <v>1</v>
      </c>
      <c r="K6" s="12">
        <f t="array" ref="K6">MATCH(MAX(ABS(K3:K5)),ABS(K3:K5),0)</f>
        <v>3</v>
      </c>
      <c r="L6" s="12">
        <f t="array" ref="L6">MATCH(MAX(ABS(L3:L5)),ABS(L3:L5),0)</f>
        <v>2</v>
      </c>
      <c r="M6" s="12">
        <f t="array" ref="M6">MATCH(MAX(ABS(M3:M5)),ABS(M3:M5),0)</f>
        <v>3</v>
      </c>
      <c r="N6" s="12">
        <f t="array" ref="N6">MATCH(MAX(ABS(N3:N5)),ABS(N3:N5),0)</f>
        <v>2</v>
      </c>
      <c r="O6" s="12">
        <f t="array" ref="O6">MATCH(MAX(ABS(O3:O5)),ABS(O3:O5),0)</f>
        <v>3</v>
      </c>
      <c r="P6" s="12">
        <f t="array" ref="P6">MATCH(MAX(ABS(P3:P5)),ABS(P3:P5),0)</f>
        <v>1</v>
      </c>
      <c r="Q6" s="12">
        <f t="array" ref="Q6">MATCH(MAX(ABS(Q3:Q5)),ABS(Q3:Q5),0)</f>
        <v>1</v>
      </c>
      <c r="R6" s="12">
        <f t="array" ref="R6">MATCH(MAX(ABS(R3:R5)),ABS(R3:R5),0)</f>
        <v>1</v>
      </c>
      <c r="S6" s="12">
        <f t="array" ref="S6">MATCH(MAX(ABS(S3:S5)),ABS(S3:S5),0)</f>
        <v>1</v>
      </c>
      <c r="T6" s="12">
        <f t="array" ref="T6">MATCH(MAX(ABS(T3:T5)),ABS(T3:T5),0)</f>
        <v>3</v>
      </c>
      <c r="U6" s="12">
        <f t="array" ref="U6">MATCH(MAX(ABS(U3:U5)),ABS(U3:U5),0)</f>
        <v>1</v>
      </c>
      <c r="V6" s="12">
        <f t="array" ref="V6">MATCH(MAX(ABS(V3:V5)),ABS(V3:V5),0)</f>
        <v>1</v>
      </c>
      <c r="W6" s="12">
        <f t="array" ref="W6">MATCH(MAX(ABS(W3:W5)),ABS(W3:W5),0)</f>
        <v>2</v>
      </c>
      <c r="X6" s="12">
        <f t="array" ref="X6">MATCH(MAX(ABS(X3:X5)),ABS(X3:X5),0)</f>
        <v>3</v>
      </c>
      <c r="Y6" s="12">
        <f t="array" ref="Y6">MATCH(MAX(ABS(Y3:Y5)),ABS(Y3:Y5),0)</f>
        <v>1</v>
      </c>
      <c r="Z6" s="12">
        <f t="array" ref="Z6">MATCH(MAX(ABS(Z3:Z5)),ABS(Z3:Z5),0)</f>
        <v>1</v>
      </c>
      <c r="AA6" s="12">
        <f t="array" ref="AA6">MATCH(MAX(ABS(AA3:AA5)),ABS(AA3:AA5),0)</f>
        <v>3</v>
      </c>
      <c r="AB6" s="12">
        <f t="array" ref="AB6">MATCH(MAX(ABS(AB3:AB5)),ABS(AB3:AB5),0)</f>
        <v>1</v>
      </c>
      <c r="AC6" s="12">
        <f t="array" ref="AC6">MATCH(MAX(ABS(AC3:AC5)),ABS(AC3:AC5),0)</f>
        <v>3</v>
      </c>
      <c r="AD6" s="12">
        <f t="array" ref="AD6">MATCH(MAX(ABS(AD3:AD5)),ABS(AD3:AD5),0)</f>
        <v>2</v>
      </c>
      <c r="AE6" s="12">
        <f t="array" ref="AE6">MATCH(MAX(ABS(AE3:AE5)),ABS(AE3:AE5),0)</f>
        <v>3</v>
      </c>
      <c r="AF6" s="12">
        <f t="array" ref="AF6">MATCH(MAX(ABS(AF3:AF5)),ABS(AF3:AF5),0)</f>
        <v>3</v>
      </c>
      <c r="AG6" s="12">
        <f t="array" ref="AG6">MATCH(MAX(ABS(AG3:AG5)),ABS(AG3:AG5),0)</f>
        <v>1</v>
      </c>
      <c r="AH6" s="12">
        <f t="array" ref="AH6">MATCH(MAX(ABS(AH3:AH5)),ABS(AH3:AH5),0)</f>
        <v>1</v>
      </c>
      <c r="AI6" s="12">
        <f t="array" ref="AI6">MATCH(MAX(ABS(AI3:AI5)),ABS(AI3:AI5),0)</f>
        <v>2</v>
      </c>
      <c r="AJ6" s="12">
        <f t="array" ref="AJ6">MATCH(MAX(ABS(AJ3:AJ5)),ABS(AJ3:AJ5),0)</f>
        <v>1</v>
      </c>
      <c r="AK6" s="12">
        <f t="array" ref="AK6">MATCH(MAX(ABS(AK3:AK5)),ABS(AK3:AK5),0)</f>
        <v>1</v>
      </c>
      <c r="AL6" s="12">
        <f t="array" ref="AL6">MATCH(MAX(ABS(AL3:AL5)),ABS(AL3:AL5),0)</f>
        <v>2</v>
      </c>
      <c r="AM6" s="12">
        <f t="array" ref="AM6">MATCH(MAX(ABS(AM3:AM5)),ABS(AM3:AM5),0)</f>
        <v>1</v>
      </c>
      <c r="AN6" s="12">
        <f t="array" ref="AN6">MATCH(MAX(ABS(AN3:AN5)),ABS(AN3:AN5),0)</f>
        <v>1</v>
      </c>
      <c r="AO6" s="12">
        <f t="array" ref="AO6">MATCH(MAX(ABS(AO3:AO5)),ABS(AO3:AO5),0)</f>
        <v>3</v>
      </c>
      <c r="AP6" s="12">
        <f t="array" ref="AP6">MATCH(MAX(ABS(AP3:AP5)),ABS(AP3:AP5),0)</f>
        <v>1</v>
      </c>
      <c r="AQ6" s="12">
        <f t="array" ref="AQ6">MATCH(MAX(ABS(AQ3:AQ5)),ABS(AQ3:AQ5),0)</f>
        <v>2</v>
      </c>
      <c r="AR6" s="12">
        <f t="array" ref="AR6">MATCH(MAX(ABS(AR3:AR5)),ABS(AR3:AR5),0)</f>
        <v>2</v>
      </c>
      <c r="AS6" s="12">
        <f t="array" ref="AS6">MATCH(MAX(ABS(AS3:AS5)),ABS(AS3:AS5),0)</f>
        <v>3</v>
      </c>
      <c r="AT6" s="12">
        <f t="array" ref="AT6">MATCH(MAX(ABS(AT3:AT5)),ABS(AT3:AT5),0)</f>
        <v>3</v>
      </c>
      <c r="AU6" s="12">
        <f t="array" ref="AU6">MATCH(MAX(ABS(AU3:AU5)),ABS(AU3:AU5),0)</f>
        <v>2</v>
      </c>
      <c r="AV6" s="12">
        <f t="array" ref="AV6">MATCH(MAX(ABS(AV3:AV5)),ABS(AV3:AV5),0)</f>
        <v>3</v>
      </c>
      <c r="AW6" s="12">
        <f t="array" ref="AW6">MATCH(MAX(ABS(AW3:AW5)),ABS(AW3:AW5),0)</f>
        <v>3</v>
      </c>
      <c r="AX6" s="12">
        <f t="array" ref="AX6">MATCH(MAX(ABS(AX3:AX5)),ABS(AX3:AX5),0)</f>
        <v>3</v>
      </c>
      <c r="AY6" s="12">
        <f t="array" ref="AY6">MATCH(MAX(ABS(AY3:AY5)),ABS(AY3:AY5),0)</f>
        <v>1</v>
      </c>
      <c r="AZ6" s="12">
        <f t="array" ref="AZ6">MATCH(MAX(ABS(AZ3:AZ5)),ABS(AZ3:AZ5),0)</f>
        <v>2</v>
      </c>
      <c r="BA6" s="12">
        <f t="array" ref="BA6">MATCH(MAX(ABS(BA3:BA5)),ABS(BA3:BA5),0)</f>
        <v>2</v>
      </c>
      <c r="BB6" s="12">
        <f t="array" ref="BB6">MATCH(MAX(ABS(BB3:BB5)),ABS(BB3:BB5),0)</f>
        <v>3</v>
      </c>
      <c r="BC6" s="12">
        <f t="array" ref="BC6">MATCH(MAX(ABS(BC3:BC5)),ABS(BC3:BC5),0)</f>
        <v>3</v>
      </c>
      <c r="BD6" s="12">
        <f t="array" ref="BD6">MATCH(MAX(ABS(BD3:BD5)),ABS(BD3:BD5),0)</f>
        <v>2</v>
      </c>
      <c r="BE6" s="12">
        <f t="array" ref="BE6">MATCH(MAX(ABS(BE3:BE5)),ABS(BE3:BE5),0)</f>
        <v>3</v>
      </c>
      <c r="BF6" s="12">
        <f t="array" ref="BF6">MATCH(MAX(ABS(BF3:BF5)),ABS(BF3:BF5),0)</f>
        <v>3</v>
      </c>
      <c r="BG6" s="12">
        <f t="array" ref="BG6">MATCH(MAX(ABS(BG3:BG5)),ABS(BG3:BG5),0)</f>
        <v>3</v>
      </c>
      <c r="BH6" s="12">
        <f t="array" ref="BH6">MATCH(MAX(ABS(BH3:BH5)),ABS(BH3:BH5),0)</f>
        <v>3</v>
      </c>
      <c r="BI6" s="12">
        <f t="array" ref="BI6">MATCH(MAX(ABS(BI3:BI5)),ABS(BI3:BI5),0)</f>
        <v>1</v>
      </c>
      <c r="BJ6" s="12">
        <f t="array" ref="BJ6">MATCH(MAX(ABS(BJ3:BJ5)),ABS(BJ3:BJ5),0)</f>
        <v>2</v>
      </c>
      <c r="BK6" s="12">
        <f t="array" ref="BK6">MATCH(MAX(ABS(BK3:BK5)),ABS(BK3:BK5),0)</f>
        <v>2</v>
      </c>
      <c r="BL6" s="12">
        <f t="array" ref="BL6">MATCH(MAX(ABS(BL3:BL5)),ABS(BL3:BL5),0)</f>
        <v>3</v>
      </c>
      <c r="BM6" s="12">
        <f t="array" ref="BM6">MATCH(MAX(ABS(BM3:BM5)),ABS(BM3:BM5),0)</f>
        <v>3</v>
      </c>
      <c r="BN6" s="12">
        <f t="array" ref="BN6">MATCH(MAX(ABS(BN3:BN5)),ABS(BN3:BN5),0)</f>
        <v>2</v>
      </c>
      <c r="BO6" s="12">
        <f t="array" ref="BO6">MATCH(MAX(ABS(BO3:BO5)),ABS(BO3:BO5),0)</f>
        <v>1</v>
      </c>
      <c r="BP6" s="12">
        <f t="array" ref="BP6">MATCH(MAX(ABS(BP3:BP5)),ABS(BP3:BP5),0)</f>
        <v>2</v>
      </c>
      <c r="BQ6" s="12">
        <f t="array" ref="BQ6">MATCH(MAX(ABS(BQ3:BQ5)),ABS(BQ3:BQ5),0)</f>
        <v>1</v>
      </c>
      <c r="BR6" s="12">
        <f t="array" ref="BR6">MATCH(MAX(ABS(BR3:BR5)),ABS(BR3:BR5),0)</f>
        <v>3</v>
      </c>
      <c r="BS6" s="12">
        <f t="array" ref="BS6">MATCH(MAX(ABS(BS3:BS5)),ABS(BS3:BS5),0)</f>
        <v>3</v>
      </c>
      <c r="BT6" s="12">
        <f t="array" ref="BT6">MATCH(MAX(ABS(BT3:BT5)),ABS(BT3:BT5),0)</f>
        <v>2</v>
      </c>
      <c r="BU6" s="12">
        <f t="array" ref="BU6">MATCH(MAX(ABS(BU3:BU5)),ABS(BU3:BU5),0)</f>
        <v>2</v>
      </c>
      <c r="BV6" s="12">
        <f t="array" ref="BV6">MATCH(MAX(ABS(BV3:BV5)),ABS(BV3:BV5),0)</f>
        <v>3</v>
      </c>
      <c r="BW6" s="12">
        <f t="array" ref="BW6">MATCH(MAX(ABS(BW3:BW5)),ABS(BW3:BW5),0)</f>
        <v>3</v>
      </c>
      <c r="BX6" s="12">
        <f t="array" ref="BX6">MATCH(MAX(ABS(BX3:BX5)),ABS(BX3:BX5),0)</f>
        <v>2</v>
      </c>
      <c r="BY6" s="12">
        <f t="array" ref="BY6">MATCH(MAX(ABS(BY3:BY5)),ABS(BY3:BY5),0)</f>
        <v>3</v>
      </c>
      <c r="BZ6" s="12">
        <f t="array" ref="BZ6">MATCH(MAX(ABS(BZ3:BZ5)),ABS(BZ3:BZ5),0)</f>
        <v>1</v>
      </c>
      <c r="CA6" s="12">
        <f t="array" ref="CA6">MATCH(MAX(ABS(CA3:CA5)),ABS(CA3:CA5),0)</f>
        <v>1</v>
      </c>
      <c r="CB6" s="12">
        <f t="array" ref="CB6">MATCH(MAX(ABS(CB3:CB5)),ABS(CB3:CB5),0)</f>
        <v>2</v>
      </c>
      <c r="CC6" s="12">
        <f t="array" ref="CC6">MATCH(MAX(ABS(CC3:CC5)),ABS(CC3:CC5),0)</f>
        <v>2</v>
      </c>
      <c r="CD6" s="12">
        <f t="array" ref="CD6">MATCH(MAX(ABS(CD3:CD5)),ABS(CD3:CD5),0)</f>
        <v>1</v>
      </c>
      <c r="CE6" s="12">
        <f t="array" ref="CE6">MATCH(MAX(ABS(CE3:CE5)),ABS(CE3:CE5),0)</f>
        <v>2</v>
      </c>
      <c r="CF6" s="12">
        <f t="array" ref="CF6">MATCH(MAX(ABS(CF3:CF5)),ABS(CF3:CF5),0)</f>
        <v>1</v>
      </c>
      <c r="CG6" s="12">
        <f t="array" ref="CG6">MATCH(MAX(ABS(CG3:CG5)),ABS(CG3:CG5),0)</f>
        <v>3</v>
      </c>
      <c r="CH6" s="12">
        <f t="array" ref="CH6">MATCH(MAX(ABS(CH3:CH5)),ABS(CH3:CH5),0)</f>
        <v>1</v>
      </c>
      <c r="CI6" s="12">
        <f t="array" ref="CI6">MATCH(MAX(ABS(CI3:CI5)),ABS(CI3:CI5),0)</f>
        <v>1</v>
      </c>
      <c r="CJ6" s="12">
        <f t="array" ref="CJ6">MATCH(MAX(ABS(CJ3:CJ5)),ABS(CJ3:CJ5),0)</f>
        <v>3</v>
      </c>
      <c r="CK6" s="12">
        <f t="array" ref="CK6">MATCH(MAX(ABS(CK3:CK5)),ABS(CK3:CK5),0)</f>
        <v>3</v>
      </c>
      <c r="CL6" s="12">
        <f t="array" ref="CL6">MATCH(MAX(ABS(CL3:CL5)),ABS(CL3:CL5),0)</f>
        <v>1</v>
      </c>
      <c r="CM6" s="12">
        <f t="array" ref="CM6">MATCH(MAX(ABS(CM3:CM5)),ABS(CM3:CM5),0)</f>
        <v>2</v>
      </c>
      <c r="CN6" s="12">
        <f t="array" ref="CN6">MATCH(MAX(ABS(CN3:CN5)),ABS(CN3:CN5),0)</f>
        <v>3</v>
      </c>
      <c r="CO6" s="12">
        <f t="array" ref="CO6">MATCH(MAX(ABS(CO3:CO5)),ABS(CO3:CO5),0)</f>
        <v>2</v>
      </c>
      <c r="CP6" s="12">
        <f t="array" ref="CP6">MATCH(MAX(ABS(CP3:CP5)),ABS(CP3:CP5),0)</f>
        <v>1</v>
      </c>
      <c r="CQ6" s="12">
        <f t="array" ref="CQ6">MATCH(MAX(ABS(CQ3:CQ5)),ABS(CQ3:CQ5),0)</f>
        <v>3</v>
      </c>
      <c r="CR6" s="12">
        <f t="array" ref="CR6">MATCH(MAX(ABS(CR3:CR5)),ABS(CR3:CR5),0)</f>
        <v>3</v>
      </c>
      <c r="CS6" s="12">
        <f t="array" ref="CS6">MATCH(MAX(ABS(CS3:CS5)),ABS(CS3:CS5),0)</f>
        <v>3</v>
      </c>
      <c r="CT6" s="12">
        <f t="array" ref="CT6">MATCH(MAX(ABS(CT3:CT5)),ABS(CT3:CT5),0)</f>
        <v>2</v>
      </c>
      <c r="CU6" s="12">
        <f t="array" ref="CU6">MATCH(MAX(ABS(CU3:CU5)),ABS(CU3:CU5),0)</f>
        <v>3</v>
      </c>
      <c r="CV6" s="12">
        <f t="array" ref="CV6">MATCH(MAX(ABS(CV3:CV5)),ABS(CV3:CV5),0)</f>
        <v>3</v>
      </c>
      <c r="CW6" s="12">
        <f t="array" ref="CW6">MATCH(MAX(ABS(CW3:CW5)),ABS(CW3:CW5),0)</f>
        <v>3</v>
      </c>
      <c r="CX6" s="12">
        <f t="array" ref="CX6">MATCH(MAX(ABS(CX3:CX5)),ABS(CX3:CX5),0)</f>
        <v>1</v>
      </c>
      <c r="CY6" s="12">
        <f t="array" ref="CY6">MATCH(MAX(ABS(CY3:CY5)),ABS(CY3:CY5),0)</f>
        <v>2</v>
      </c>
      <c r="CZ6" s="12">
        <f t="array" ref="CZ6">MATCH(MAX(ABS(CZ3:CZ5)),ABS(CZ3:CZ5),0)</f>
        <v>1</v>
      </c>
      <c r="DA6" s="12">
        <f t="array" ref="DA6">MATCH(MAX(ABS(DA3:DA5)),ABS(DA3:DA5),0)</f>
        <v>2</v>
      </c>
      <c r="DB6" s="12">
        <f t="array" ref="DB6">MATCH(MAX(ABS(DB3:DB5)),ABS(DB3:DB5),0)</f>
        <v>2</v>
      </c>
      <c r="DC6" s="12">
        <f t="array" ref="DC6">MATCH(MAX(ABS(DC3:DC5)),ABS(DC3:DC5),0)</f>
        <v>1</v>
      </c>
      <c r="DD6" s="12">
        <f t="array" ref="DD6">MATCH(MAX(ABS(DD3:DD5)),ABS(DD3:DD5),0)</f>
        <v>3</v>
      </c>
      <c r="DE6" s="12">
        <f t="array" ref="DE6">MATCH(MAX(ABS(DE3:DE5)),ABS(DE3:DE5),0)</f>
        <v>3</v>
      </c>
      <c r="DF6" s="12">
        <f t="array" ref="DF6">MATCH(MAX(ABS(DF3:DF5)),ABS(DF3:DF5),0)</f>
        <v>2</v>
      </c>
      <c r="DG6" s="12">
        <f t="array" ref="DG6">MATCH(MAX(ABS(DG3:DG5)),ABS(DG3:DG5),0)</f>
        <v>2</v>
      </c>
      <c r="DH6" s="12">
        <f t="array" ref="DH6">MATCH(MAX(ABS(DH3:DH5)),ABS(DH3:DH5),0)</f>
        <v>2</v>
      </c>
      <c r="DI6" s="12">
        <f t="array" ref="DI6">MATCH(MAX(ABS(DI3:DI5)),ABS(DI3:DI5),0)</f>
        <v>2</v>
      </c>
      <c r="DJ6" s="12">
        <f t="array" ref="DJ6">MATCH(MAX(ABS(DJ3:DJ5)),ABS(DJ3:DJ5),0)</f>
        <v>3</v>
      </c>
      <c r="DK6" s="12">
        <f t="array" ref="DK6">MATCH(MAX(ABS(DK3:DK5)),ABS(DK3:DK5),0)</f>
        <v>2</v>
      </c>
      <c r="DL6" s="12">
        <f t="array" ref="DL6">MATCH(MAX(ABS(DL3:DL5)),ABS(DL3:DL5),0)</f>
        <v>3</v>
      </c>
      <c r="DM6" s="12">
        <f t="array" ref="DM6">MATCH(MAX(ABS(DM3:DM5)),ABS(DM3:DM5),0)</f>
        <v>2</v>
      </c>
      <c r="DN6" s="12">
        <f t="array" ref="DN6">MATCH(MAX(ABS(DN3:DN5)),ABS(DN3:DN5),0)</f>
        <v>1</v>
      </c>
      <c r="DO6" s="12">
        <f t="array" ref="DO6">MATCH(MAX(ABS(DO3:DO5)),ABS(DO3:DO5),0)</f>
        <v>2</v>
      </c>
      <c r="DP6" s="12">
        <f t="array" ref="DP6">MATCH(MAX(ABS(DP3:DP5)),ABS(DP3:DP5),0)</f>
        <v>3</v>
      </c>
      <c r="DQ6" s="12">
        <f t="array" ref="DQ6">MATCH(MAX(ABS(DQ3:DQ5)),ABS(DQ3:DQ5),0)</f>
        <v>3</v>
      </c>
      <c r="DR6" s="12">
        <f t="array" ref="DR6">MATCH(MAX(ABS(DR3:DR5)),ABS(DR3:DR5),0)</f>
        <v>1</v>
      </c>
      <c r="DS6" s="12">
        <f t="array" ref="DS6">MATCH(MAX(ABS(DS3:DS5)),ABS(DS3:DS5),0)</f>
        <v>2</v>
      </c>
      <c r="DT6" s="12">
        <f t="array" ref="DT6">MATCH(MAX(ABS(DT3:DT5)),ABS(DT3:DT5),0)</f>
        <v>3</v>
      </c>
      <c r="DU6" s="12">
        <f t="array" ref="DU6">MATCH(MAX(ABS(DU3:DU5)),ABS(DU3:DU5),0)</f>
        <v>2</v>
      </c>
      <c r="DV6" s="12">
        <f t="array" ref="DV6">MATCH(MAX(ABS(DV3:DV5)),ABS(DV3:DV5),0)</f>
        <v>1</v>
      </c>
      <c r="DW6" s="12">
        <f t="array" ref="DW6">MATCH(MAX(ABS(DW3:DW5)),ABS(DW3:DW5),0)</f>
        <v>2</v>
      </c>
      <c r="DX6" s="12">
        <f t="array" ref="DX6">MATCH(MAX(ABS(DX3:DX5)),ABS(DX3:DX5),0)</f>
        <v>1</v>
      </c>
      <c r="DY6" s="12">
        <f t="array" ref="DY6">MATCH(MAX(ABS(DY3:DY5)),ABS(DY3:DY5),0)</f>
        <v>2</v>
      </c>
      <c r="DZ6" s="12">
        <f t="array" ref="DZ6">MATCH(MAX(ABS(DZ3:DZ5)),ABS(DZ3:DZ5),0)</f>
        <v>2</v>
      </c>
      <c r="EA6" s="12">
        <f t="array" ref="EA6">MATCH(MAX(ABS(EA3:EA5)),ABS(EA3:EA5),0)</f>
        <v>3</v>
      </c>
      <c r="EB6" s="12">
        <f t="array" ref="EB6">MATCH(MAX(ABS(EB3:EB5)),ABS(EB3:EB5),0)</f>
        <v>3</v>
      </c>
      <c r="EC6" s="12">
        <f t="array" ref="EC6">MATCH(MAX(ABS(EC3:EC5)),ABS(EC3:EC5),0)</f>
        <v>1</v>
      </c>
      <c r="ED6" s="12">
        <f t="array" ref="ED6">MATCH(MAX(ABS(ED3:ED5)),ABS(ED3:ED5),0)</f>
        <v>1</v>
      </c>
      <c r="EE6" s="12">
        <f t="array" ref="EE6">MATCH(MAX(ABS(EE3:EE5)),ABS(EE3:EE5),0)</f>
        <v>2</v>
      </c>
      <c r="EF6" s="12">
        <f t="array" ref="EF6">MATCH(MAX(ABS(EF3:EF5)),ABS(EF3:EF5),0)</f>
        <v>2</v>
      </c>
    </row>
    <row r="7" spans="1:136">
      <c r="A7" s="4"/>
      <c r="B7" s="4"/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F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</row>
    <row r="8" spans="1:136">
      <c r="A8" s="4"/>
      <c r="B8" s="4"/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F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</row>
    <row r="10" spans="1:136" ht="15">
      <c r="A10" s="25" t="s">
        <v>140</v>
      </c>
      <c r="B10" s="24"/>
      <c r="C10" s="7" t="s">
        <v>141</v>
      </c>
      <c r="D10" s="10">
        <v>964</v>
      </c>
    </row>
    <row r="11" spans="1:136" ht="15" customHeight="1">
      <c r="A11" s="20" t="s">
        <v>234</v>
      </c>
      <c r="B11" s="20" t="s">
        <v>235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7" t="s">
        <v>135</v>
      </c>
      <c r="EF11" s="7" t="s">
        <v>144</v>
      </c>
    </row>
    <row r="12" spans="1:136" ht="15" customHeight="1">
      <c r="A12" s="20">
        <v>96</v>
      </c>
      <c r="B12" s="20" t="s">
        <v>221</v>
      </c>
      <c r="C12" s="9">
        <f t="array" ref="C12">PRODUCT(1+真實IC!$C12:C12)-1</f>
        <v>8.4653541666666721E-2</v>
      </c>
      <c r="D12" s="9">
        <f t="array" ref="D12">PRODUCT(1+真實IC!$C12:D12)-1</f>
        <v>0.20905084067857849</v>
      </c>
      <c r="E12" s="9">
        <f t="array" ref="E12">PRODUCT(1+真實IC!$C12:E12)-1</f>
        <v>0.26711705639855698</v>
      </c>
      <c r="F12" s="9">
        <f t="array" ref="F12">PRODUCT(1+真實IC!$C12:F12)-1</f>
        <v>0.33802414732451469</v>
      </c>
      <c r="G12" s="9">
        <f t="array" ref="G12">PRODUCT(1+真實IC!$C12:G12)-1</f>
        <v>0.38077060488784897</v>
      </c>
      <c r="H12" s="9">
        <f t="array" ref="H12">PRODUCT(1+真實IC!$C12:H12)-1</f>
        <v>0.43397268872304995</v>
      </c>
      <c r="I12" s="9">
        <f t="array" ref="I12">PRODUCT(1+真實IC!$C12:I12)-1</f>
        <v>0.48603154265771709</v>
      </c>
      <c r="J12" s="9">
        <f t="array" ref="J12">PRODUCT(1+真實IC!$C12:J12)-1</f>
        <v>0.55109680775457703</v>
      </c>
      <c r="K12" s="9">
        <f t="array" ref="K12">PRODUCT(1+真實IC!$C12:K12)-1</f>
        <v>0.59637021848450433</v>
      </c>
      <c r="L12" s="9">
        <f t="array" ref="L12">PRODUCT(1+真實IC!$C12:L12)-1</f>
        <v>0.66324318129706317</v>
      </c>
      <c r="M12" s="9">
        <f t="array" ref="M12">PRODUCT(1+真實IC!$C12:M12)-1</f>
        <v>0.70796641632585589</v>
      </c>
      <c r="N12" s="9">
        <f t="array" ref="N12">PRODUCT(1+真實IC!$C12:N12)-1</f>
        <v>0.82637417707887417</v>
      </c>
      <c r="O12" s="9">
        <f t="array" ref="O12">PRODUCT(1+真實IC!$C12:O12)-1</f>
        <v>0.87735697219866049</v>
      </c>
      <c r="P12" s="9">
        <f t="array" ref="P12">PRODUCT(1+真實IC!$C12:P12)-1</f>
        <v>0.91757074929428994</v>
      </c>
      <c r="Q12" s="9">
        <f t="array" ref="Q12">PRODUCT(1+真實IC!$C12:Q12)-1</f>
        <v>0.98237080366175933</v>
      </c>
      <c r="R12" s="9">
        <f t="array" ref="R12">PRODUCT(1+真實IC!$C12:R12)-1</f>
        <v>1.008929628873684</v>
      </c>
      <c r="S12" s="9">
        <f t="array" ref="S12">PRODUCT(1+真實IC!$C12:S12)-1</f>
        <v>1.1516719079939821</v>
      </c>
      <c r="T12" s="9">
        <f t="array" ref="T12">PRODUCT(1+真實IC!$C12:T12)-1</f>
        <v>1.2546675285544722</v>
      </c>
      <c r="U12" s="9">
        <f t="array" ref="U12">PRODUCT(1+真實IC!$C12:U12)-1</f>
        <v>1.3005888393825238</v>
      </c>
      <c r="V12" s="9">
        <f t="array" ref="V12">PRODUCT(1+真實IC!$C12:V12)-1</f>
        <v>1.4041843336610551</v>
      </c>
      <c r="W12" s="9">
        <f t="array" ref="W12">PRODUCT(1+真實IC!$C12:W12)-1</f>
        <v>1.5581474469067573</v>
      </c>
      <c r="X12" s="9">
        <f t="array" ref="X12">PRODUCT(1+真實IC!$C12:X12)-1</f>
        <v>1.838624655042882</v>
      </c>
      <c r="Y12" s="9">
        <f t="array" ref="Y12">PRODUCT(1+真實IC!$C12:Y12)-1</f>
        <v>1.8862805566280478</v>
      </c>
      <c r="Z12" s="9">
        <f t="array" ref="Z12">PRODUCT(1+真實IC!$C12:Z12)-1</f>
        <v>2.0699163567228491</v>
      </c>
      <c r="AA12" s="9">
        <f t="array" ref="AA12">PRODUCT(1+真實IC!$C12:AA12)-1</f>
        <v>2.1525538369949064</v>
      </c>
      <c r="AB12" s="9">
        <f t="array" ref="AB12">PRODUCT(1+真實IC!$C12:AB12)-1</f>
        <v>2.2619131255659095</v>
      </c>
      <c r="AC12" s="9">
        <f t="array" ref="AC12">PRODUCT(1+真實IC!$C12:AC12)-1</f>
        <v>2.4144824108257548</v>
      </c>
      <c r="AD12" s="9">
        <f t="array" ref="AD12">PRODUCT(1+真實IC!$C12:AD12)-1</f>
        <v>2.4465511584931803</v>
      </c>
      <c r="AE12" s="9">
        <f t="array" ref="AE12">PRODUCT(1+真實IC!$C12:AE12)-1</f>
        <v>2.6066011246695524</v>
      </c>
      <c r="AF12" s="9">
        <f t="array" ref="AF12">PRODUCT(1+真實IC!$C12:AF12)-1</f>
        <v>2.7941880330406712</v>
      </c>
      <c r="AG12" s="9">
        <f t="array" ref="AG12">PRODUCT(1+真實IC!$C12:AG12)-1</f>
        <v>2.9079459285493052</v>
      </c>
      <c r="AH12" s="9">
        <f t="array" ref="AH12">PRODUCT(1+真實IC!$C12:AH12)-1</f>
        <v>2.9603350882487667</v>
      </c>
      <c r="AI12" s="9">
        <f t="array" ref="AI12">PRODUCT(1+真實IC!$C12:AI12)-1</f>
        <v>3.0524008330313235</v>
      </c>
      <c r="AJ12" s="9">
        <f t="array" ref="AJ12">PRODUCT(1+真實IC!$C12:AJ12)-1</f>
        <v>3.1050161824028235</v>
      </c>
      <c r="AK12" s="9">
        <f t="array" ref="AK12">PRODUCT(1+真實IC!$C12:AK12)-1</f>
        <v>3.3025647667045019</v>
      </c>
      <c r="AL12" s="9">
        <f t="array" ref="AL12">PRODUCT(1+真實IC!$C12:AL12)-1</f>
        <v>3.4493048585325337</v>
      </c>
      <c r="AM12" s="9">
        <f t="array" ref="AM12">PRODUCT(1+真實IC!$C12:AM12)-1</f>
        <v>3.5831671589020377</v>
      </c>
      <c r="AN12" s="9">
        <f t="array" ref="AN12">PRODUCT(1+真實IC!$C12:AN12)-1</f>
        <v>3.9004746447119132</v>
      </c>
      <c r="AO12" s="9">
        <f t="array" ref="AO12">PRODUCT(1+真實IC!$C12:AO12)-1</f>
        <v>3.9739595693641752</v>
      </c>
      <c r="AP12" s="9">
        <f t="array" ref="AP12">PRODUCT(1+真實IC!$C12:AP12)-1</f>
        <v>4.1416732530549742</v>
      </c>
      <c r="AQ12" s="9">
        <f t="array" ref="AQ12">PRODUCT(1+真實IC!$C12:AQ12)-1</f>
        <v>4.1760280927226106</v>
      </c>
      <c r="AR12" s="9">
        <f t="array" ref="AR12">PRODUCT(1+真實IC!$C12:AR12)-1</f>
        <v>4.2148708946239761</v>
      </c>
      <c r="AS12" s="9">
        <f t="array" ref="AS12">PRODUCT(1+真實IC!$C12:AS12)-1</f>
        <v>4.3190445788073362</v>
      </c>
      <c r="AT12" s="9">
        <f t="array" ref="AT12">PRODUCT(1+真實IC!$C12:AT12)-1</f>
        <v>4.7030550359239784</v>
      </c>
      <c r="AU12" s="9">
        <f t="array" ref="AU12">PRODUCT(1+真實IC!$C12:AU12)-1</f>
        <v>5.0646868250747366</v>
      </c>
      <c r="AV12" s="9">
        <f t="array" ref="AV12">PRODUCT(1+真實IC!$C12:AV12)-1</f>
        <v>5.3904553026191255</v>
      </c>
      <c r="AW12" s="9">
        <f t="array" ref="AW12">PRODUCT(1+真實IC!$C12:AW12)-1</f>
        <v>5.5001775334688201</v>
      </c>
      <c r="AX12" s="9">
        <f t="array" ref="AX12">PRODUCT(1+真實IC!$C12:AX12)-1</f>
        <v>5.7907095463307039</v>
      </c>
      <c r="AY12" s="9">
        <f t="array" ref="AY12">PRODUCT(1+真實IC!$C12:AY12)-1</f>
        <v>5.9601736931968334</v>
      </c>
      <c r="AZ12" s="9">
        <f t="array" ref="AZ12">PRODUCT(1+真實IC!$C12:AZ12)-1</f>
        <v>6.4234724349542116</v>
      </c>
      <c r="BA12" s="9">
        <f t="array" ref="BA12">PRODUCT(1+真實IC!$C12:BA12)-1</f>
        <v>6.952590098735306</v>
      </c>
      <c r="BB12" s="9">
        <f t="array" ref="BB12">PRODUCT(1+真實IC!$C12:BB12)-1</f>
        <v>7.1835067103662364</v>
      </c>
      <c r="BC12" s="9">
        <f t="array" ref="BC12">PRODUCT(1+真實IC!$C12:BC12)-1</f>
        <v>7.4019324121257402</v>
      </c>
      <c r="BD12" s="9">
        <f t="array" ref="BD12">PRODUCT(1+真實IC!$C12:BD12)-1</f>
        <v>7.8155927149036923</v>
      </c>
      <c r="BE12" s="9">
        <f t="array" ref="BE12">PRODUCT(1+真實IC!$C12:BE12)-1</f>
        <v>8.1273874037988225</v>
      </c>
      <c r="BF12" s="9">
        <f t="array" ref="BF12">PRODUCT(1+真實IC!$C12:BF12)-1</f>
        <v>8.7445534946455403</v>
      </c>
      <c r="BG12" s="9">
        <f t="array" ref="BG12">PRODUCT(1+真實IC!$C12:BG12)-1</f>
        <v>9.2001869286311795</v>
      </c>
      <c r="BH12" s="9">
        <f t="array" ref="BH12">PRODUCT(1+真實IC!$C12:BH12)-1</f>
        <v>9.5580052941158922</v>
      </c>
      <c r="BI12" s="9">
        <f t="array" ref="BI12">PRODUCT(1+真實IC!$C12:BI12)-1</f>
        <v>10.086129948435403</v>
      </c>
      <c r="BJ12" s="9">
        <f t="array" ref="BJ12">PRODUCT(1+真實IC!$C12:BJ12)-1</f>
        <v>10.567522622744754</v>
      </c>
      <c r="BK12" s="9">
        <f t="array" ref="BK12">PRODUCT(1+真實IC!$C12:BK12)-1</f>
        <v>10.799750158503512</v>
      </c>
      <c r="BL12" s="9">
        <f t="array" ref="BL12">PRODUCT(1+真實IC!$C12:BL12)-1</f>
        <v>11.178865491267342</v>
      </c>
      <c r="BM12" s="9">
        <f t="array" ref="BM12">PRODUCT(1+真實IC!$C12:BM12)-1</f>
        <v>11.791531656523039</v>
      </c>
      <c r="BN12" s="9">
        <f t="array" ref="BN12">PRODUCT(1+真實IC!$C12:BN12)-1</f>
        <v>12.040995304771466</v>
      </c>
      <c r="BO12" s="9">
        <f t="array" ref="BO12">PRODUCT(1+真實IC!$C12:BO12)-1</f>
        <v>12.357191322981084</v>
      </c>
      <c r="BP12" s="9">
        <f t="array" ref="BP12">PRODUCT(1+真實IC!$C12:BP12)-1</f>
        <v>12.710121710712551</v>
      </c>
      <c r="BQ12" s="9">
        <f t="array" ref="BQ12">PRODUCT(1+真實IC!$C12:BQ12)-1</f>
        <v>12.900647839368867</v>
      </c>
      <c r="BR12" s="9">
        <f t="array" ref="BR12">PRODUCT(1+真實IC!$C12:BR12)-1</f>
        <v>13.855533592342022</v>
      </c>
      <c r="BS12" s="9">
        <f t="array" ref="BS12">PRODUCT(1+真實IC!$C12:BS12)-1</f>
        <v>14.340460619686487</v>
      </c>
      <c r="BT12" s="9">
        <f t="array" ref="BT12">PRODUCT(1+真實IC!$C12:BT12)-1</f>
        <v>14.667031061898275</v>
      </c>
      <c r="BU12" s="9">
        <f t="array" ref="BU12">PRODUCT(1+真實IC!$C12:BU12)-1</f>
        <v>15.420352017214093</v>
      </c>
      <c r="BV12" s="9">
        <f t="array" ref="BV12">PRODUCT(1+真實IC!$C12:BV12)-1</f>
        <v>16.114643730133874</v>
      </c>
      <c r="BW12" s="9">
        <f t="array" ref="BW12">PRODUCT(1+真實IC!$C12:BW12)-1</f>
        <v>16.875851805923247</v>
      </c>
      <c r="BX12" s="9">
        <f t="array" ref="BX12">PRODUCT(1+真實IC!$C12:BX12)-1</f>
        <v>17.161585007392816</v>
      </c>
      <c r="BY12" s="9">
        <f t="array" ref="BY12">PRODUCT(1+真實IC!$C12:BY12)-1</f>
        <v>18.231845692799265</v>
      </c>
      <c r="BZ12" s="9">
        <f t="array" ref="BZ12">PRODUCT(1+真實IC!$C12:BZ12)-1</f>
        <v>19.104143473430504</v>
      </c>
      <c r="CA12" s="9">
        <f t="array" ref="CA12">PRODUCT(1+真實IC!$C12:CA12)-1</f>
        <v>19.795731787658397</v>
      </c>
      <c r="CB12" s="9">
        <f t="array" ref="CB12">PRODUCT(1+真實IC!$C12:CB12)-1</f>
        <v>21.302917395901162</v>
      </c>
      <c r="CC12" s="9">
        <f t="array" ref="CC12">PRODUCT(1+真實IC!$C12:CC12)-1</f>
        <v>22.76523140716904</v>
      </c>
      <c r="CD12" s="9">
        <f t="array" ref="CD12">PRODUCT(1+真實IC!$C12:CD12)-1</f>
        <v>25.401594880141651</v>
      </c>
      <c r="CE12" s="9">
        <f t="array" ref="CE12">PRODUCT(1+真實IC!$C12:CE12)-1</f>
        <v>29.467629428096828</v>
      </c>
      <c r="CF12" s="9">
        <f t="array" ref="CF12">PRODUCT(1+真實IC!$C12:CF12)-1</f>
        <v>30.313641869661403</v>
      </c>
      <c r="CG12" s="9">
        <f t="array" ref="CG12">PRODUCT(1+真實IC!$C12:CG12)-1</f>
        <v>31.856714260012822</v>
      </c>
      <c r="CH12" s="9">
        <f t="array" ref="CH12">PRODUCT(1+真實IC!$C12:CH12)-1</f>
        <v>33.936457937645081</v>
      </c>
      <c r="CI12" s="9">
        <f t="array" ref="CI12">PRODUCT(1+真實IC!$C12:CI12)-1</f>
        <v>35.147212763924813</v>
      </c>
      <c r="CJ12" s="9">
        <f t="array" ref="CJ12">PRODUCT(1+真實IC!$C12:CJ12)-1</f>
        <v>37.103502337470069</v>
      </c>
      <c r="CK12" s="9">
        <f t="array" ref="CK12">PRODUCT(1+真實IC!$C12:CK12)-1</f>
        <v>39.241163712328579</v>
      </c>
      <c r="CL12" s="9">
        <f t="array" ref="CL12">PRODUCT(1+真實IC!$C12:CL12)-1</f>
        <v>43.990249101171308</v>
      </c>
      <c r="CM12" s="9">
        <f t="array" ref="CM12">PRODUCT(1+真實IC!$C12:CM12)-1</f>
        <v>47.216435190733222</v>
      </c>
      <c r="CN12" s="9">
        <f t="array" ref="CN12">PRODUCT(1+真實IC!$C12:CN12)-1</f>
        <v>50.99974761464793</v>
      </c>
      <c r="CO12" s="9">
        <f t="array" ref="CO12">PRODUCT(1+真實IC!$C12:CO12)-1</f>
        <v>54.706906038294889</v>
      </c>
      <c r="CP12" s="9">
        <f t="array" ref="CP12">PRODUCT(1+真實IC!$C12:CP12)-1</f>
        <v>57.230374370811269</v>
      </c>
      <c r="CQ12" s="9">
        <f t="array" ref="CQ12">PRODUCT(1+真實IC!$C12:CQ12)-1</f>
        <v>60.880507364019266</v>
      </c>
      <c r="CR12" s="9">
        <f t="array" ref="CR12">PRODUCT(1+真實IC!$C12:CR12)-1</f>
        <v>64.41759633089103</v>
      </c>
      <c r="CS12" s="9">
        <f t="array" ref="CS12">PRODUCT(1+真實IC!$C12:CS12)-1</f>
        <v>64.481612263299169</v>
      </c>
      <c r="CT12" s="9">
        <f t="array" ref="CT12">PRODUCT(1+真實IC!$C12:CT12)-1</f>
        <v>66.584486031122253</v>
      </c>
      <c r="CU12" s="9">
        <f t="array" ref="CU12">PRODUCT(1+真實IC!$C12:CU12)-1</f>
        <v>71.638422083251996</v>
      </c>
      <c r="CV12" s="9">
        <f t="array" ref="CV12">PRODUCT(1+真實IC!$C12:CV12)-1</f>
        <v>76.362338849955322</v>
      </c>
      <c r="CW12" s="9">
        <f t="array" ref="CW12">PRODUCT(1+真實IC!$C12:CW12)-1</f>
        <v>77.370886083895684</v>
      </c>
      <c r="CX12" s="9">
        <f t="array" ref="CX12">PRODUCT(1+真實IC!$C12:CX12)-1</f>
        <v>82.15071722047243</v>
      </c>
      <c r="CY12" s="9">
        <f t="array" ref="CY12">PRODUCT(1+真實IC!$C12:CY12)-1</f>
        <v>85.981691631912213</v>
      </c>
      <c r="CZ12" s="9">
        <f t="array" ref="CZ12">PRODUCT(1+真實IC!$C12:CZ12)-1</f>
        <v>92.748199859885432</v>
      </c>
      <c r="DA12" s="9">
        <f t="array" ref="DA12">PRODUCT(1+真實IC!$C12:DA12)-1</f>
        <v>96.214869621491701</v>
      </c>
      <c r="DB12" s="9">
        <f t="array" ref="DB12">PRODUCT(1+真實IC!$C12:DB12)-1</f>
        <v>104.86522897298279</v>
      </c>
      <c r="DC12" s="9">
        <f t="array" ref="DC12">PRODUCT(1+真實IC!$C12:DC12)-1</f>
        <v>108.46180987426642</v>
      </c>
      <c r="DD12" s="9">
        <f t="array" ref="DD12">PRODUCT(1+真實IC!$C12:DD12)-1</f>
        <v>116.11981783013903</v>
      </c>
      <c r="DE12" s="9">
        <f t="array" ref="DE12">PRODUCT(1+真實IC!$C12:DE12)-1</f>
        <v>119.01708623758172</v>
      </c>
      <c r="DF12" s="9">
        <f t="array" ref="DF12">PRODUCT(1+真實IC!$C12:DF12)-1</f>
        <v>125.67636678633998</v>
      </c>
      <c r="DG12" s="9">
        <f t="array" ref="DG12">PRODUCT(1+真實IC!$C12:DG12)-1</f>
        <v>131.55541432980303</v>
      </c>
      <c r="DH12" s="9">
        <f t="array" ref="DH12">PRODUCT(1+真實IC!$C12:DH12)-1</f>
        <v>139.66719952192352</v>
      </c>
      <c r="DI12" s="9">
        <f t="array" ref="DI12">PRODUCT(1+真實IC!$C12:DI12)-1</f>
        <v>148.07192549144227</v>
      </c>
      <c r="DJ12" s="9">
        <f t="array" ref="DJ12">PRODUCT(1+真實IC!$C12:DJ12)-1</f>
        <v>154.24023002493041</v>
      </c>
      <c r="DK12" s="9">
        <f t="array" ref="DK12">PRODUCT(1+真實IC!$C12:DK12)-1</f>
        <v>159.196772430881</v>
      </c>
      <c r="DL12" s="9">
        <f t="array" ref="DL12">PRODUCT(1+真實IC!$C12:DL12)-1</f>
        <v>162.18761947277872</v>
      </c>
      <c r="DM12" s="9">
        <f t="array" ref="DM12">PRODUCT(1+真實IC!$C12:DM12)-1</f>
        <v>165.32696000096769</v>
      </c>
      <c r="DN12" s="9">
        <f t="array" ref="DN12">PRODUCT(1+真實IC!$C12:DN12)-1</f>
        <v>172.38094714816211</v>
      </c>
      <c r="DO12" s="9">
        <f t="array" ref="DO12">PRODUCT(1+真實IC!$C12:DO12)-1</f>
        <v>177.67899390145681</v>
      </c>
      <c r="DP12" s="9">
        <f t="array" ref="DP12">PRODUCT(1+真實IC!$C12:DP12)-1</f>
        <v>188.29407967383986</v>
      </c>
      <c r="DQ12" s="9">
        <f t="array" ref="DQ12">PRODUCT(1+真實IC!$C12:DQ12)-1</f>
        <v>202.4041829369481</v>
      </c>
      <c r="DR12" s="9">
        <f t="array" ref="DR12">PRODUCT(1+真實IC!$C12:DR12)-1</f>
        <v>206.22389855111112</v>
      </c>
      <c r="DS12" s="9">
        <f t="array" ref="DS12">PRODUCT(1+真實IC!$C12:DS12)-1</f>
        <v>220.65725246767687</v>
      </c>
      <c r="DT12" s="9">
        <f t="array" ref="DT12">PRODUCT(1+真實IC!$C12:DT12)-1</f>
        <v>226.15742041160809</v>
      </c>
      <c r="DU12" s="9">
        <f t="array" ref="DU12">PRODUCT(1+真實IC!$C12:DU12)-1</f>
        <v>239.15769163867327</v>
      </c>
      <c r="DV12" s="9">
        <f t="array" ref="DV12">PRODUCT(1+真實IC!$C12:DV12)-1</f>
        <v>250.81754557235146</v>
      </c>
      <c r="DW12" s="9">
        <f t="array" ref="DW12">PRODUCT(1+真實IC!$C12:DW12)-1</f>
        <v>262.14116416837334</v>
      </c>
      <c r="DX12" s="9">
        <f t="array" ref="DX12">PRODUCT(1+真實IC!$C12:DX12)-1</f>
        <v>275.33824102775634</v>
      </c>
      <c r="DY12" s="9">
        <f t="array" ref="DY12">PRODUCT(1+真實IC!$C12:DY12)-1</f>
        <v>290.02432320287681</v>
      </c>
      <c r="DZ12" s="9">
        <f t="array" ref="DZ12">PRODUCT(1+真實IC!$C12:DZ12)-1</f>
        <v>291.83648619091059</v>
      </c>
      <c r="EA12" s="9">
        <f t="array" ref="EA12">PRODUCT(1+真實IC!$C12:EA12)-1</f>
        <v>324.96421158990034</v>
      </c>
      <c r="EB12" s="9">
        <f t="array" ref="EB12">PRODUCT(1+真實IC!$C12:EB12)-1</f>
        <v>334.91452236349738</v>
      </c>
      <c r="EC12" s="9">
        <f t="array" ref="EC12">PRODUCT(1+真實IC!$C12:EC12)-1</f>
        <v>343.86715147421683</v>
      </c>
      <c r="ED12" s="9">
        <f t="array" ref="ED12">PRODUCT(1+真實IC!$C12:ED12)-1</f>
        <v>364.73442577424538</v>
      </c>
      <c r="EE12" s="9">
        <f t="array" ref="EE12">PRODUCT(1+真實IC!$C12:EE12)-1</f>
        <v>374.42883390623524</v>
      </c>
      <c r="EF12" s="9">
        <f t="array" ref="EF12">PRODUCT(1+真實IC!$C12:EF12)-1</f>
        <v>385.40389361506294</v>
      </c>
    </row>
    <row r="13" spans="1:136" ht="15" customHeight="1">
      <c r="A13" s="20">
        <v>48</v>
      </c>
      <c r="B13" s="20" t="s">
        <v>222</v>
      </c>
      <c r="C13" s="9">
        <f t="array" ref="C13">PRODUCT(1+真實IC!$C13:C13)-1</f>
        <v>0.10411314583333331</v>
      </c>
      <c r="D13" s="9">
        <f t="array" ref="D13">PRODUCT(1+真實IC!$C13:D13)-1</f>
        <v>0.2407417420762652</v>
      </c>
      <c r="E13" s="9">
        <f t="array" ref="E13">PRODUCT(1+真實IC!$C13:E13)-1</f>
        <v>0.32742156280246348</v>
      </c>
      <c r="F13" s="9">
        <f t="array" ref="F13">PRODUCT(1+真實IC!$C13:F13)-1</f>
        <v>0.40704897181227495</v>
      </c>
      <c r="G13" s="9">
        <f t="array" ref="G13">PRODUCT(1+真實IC!$C13:G13)-1</f>
        <v>0.42400025964574595</v>
      </c>
      <c r="H13" s="9">
        <f t="array" ref="H13">PRODUCT(1+真實IC!$C13:H13)-1</f>
        <v>0.46670653176594712</v>
      </c>
      <c r="I13" s="9">
        <f t="array" ref="I13">PRODUCT(1+真實IC!$C13:I13)-1</f>
        <v>0.51464270038245075</v>
      </c>
      <c r="J13" s="9">
        <f t="array" ref="J13">PRODUCT(1+真實IC!$C13:J13)-1</f>
        <v>0.56697344205327549</v>
      </c>
      <c r="K13" s="9">
        <f t="array" ref="K13">PRODUCT(1+真實IC!$C13:K13)-1</f>
        <v>0.66150290008448631</v>
      </c>
      <c r="L13" s="9">
        <f t="array" ref="L13">PRODUCT(1+真實IC!$C13:L13)-1</f>
        <v>0.67151362813071391</v>
      </c>
      <c r="M13" s="9">
        <f t="array" ref="M13">PRODUCT(1+真實IC!$C13:M13)-1</f>
        <v>0.67699578870245447</v>
      </c>
      <c r="N13" s="9">
        <f t="array" ref="N13">PRODUCT(1+真實IC!$C13:N13)-1</f>
        <v>0.84437125319912099</v>
      </c>
      <c r="O13" s="9">
        <f t="array" ref="O13">PRODUCT(1+真實IC!$C13:O13)-1</f>
        <v>0.87650517803918371</v>
      </c>
      <c r="P13" s="9">
        <f t="array" ref="P13">PRODUCT(1+真實IC!$C13:P13)-1</f>
        <v>0.91564328339682444</v>
      </c>
      <c r="Q13" s="9">
        <f t="array" ref="Q13">PRODUCT(1+真實IC!$C13:Q13)-1</f>
        <v>1.0003497042686011</v>
      </c>
      <c r="R13" s="9">
        <f t="array" ref="R13">PRODUCT(1+真實IC!$C13:R13)-1</f>
        <v>1.0133317941700417</v>
      </c>
      <c r="S13" s="9">
        <f t="array" ref="S13">PRODUCT(1+真實IC!$C13:S13)-1</f>
        <v>1.2608010716304756</v>
      </c>
      <c r="T13" s="9">
        <f t="array" ref="T13">PRODUCT(1+真實IC!$C13:T13)-1</f>
        <v>1.4286295626636822</v>
      </c>
      <c r="U13" s="9">
        <f t="array" ref="U13">PRODUCT(1+真實IC!$C13:U13)-1</f>
        <v>1.5601667506555867</v>
      </c>
      <c r="V13" s="9">
        <f t="array" ref="V13">PRODUCT(1+真實IC!$C13:V13)-1</f>
        <v>1.6952916832962481</v>
      </c>
      <c r="W13" s="9">
        <f t="array" ref="W13">PRODUCT(1+真實IC!$C13:W13)-1</f>
        <v>1.898722585271007</v>
      </c>
      <c r="X13" s="9">
        <f t="array" ref="X13">PRODUCT(1+真實IC!$C13:X13)-1</f>
        <v>2.2498383903453703</v>
      </c>
      <c r="Y13" s="9">
        <f t="array" ref="Y13">PRODUCT(1+真實IC!$C13:Y13)-1</f>
        <v>2.3358677326898292</v>
      </c>
      <c r="Z13" s="9">
        <f t="array" ref="Z13">PRODUCT(1+真實IC!$C13:Z13)-1</f>
        <v>2.5974812742108777</v>
      </c>
      <c r="AA13" s="9">
        <f t="array" ref="AA13">PRODUCT(1+真實IC!$C13:AA13)-1</f>
        <v>2.7691266335536882</v>
      </c>
      <c r="AB13" s="9">
        <f t="array" ref="AB13">PRODUCT(1+真實IC!$C13:AB13)-1</f>
        <v>2.9450627562200533</v>
      </c>
      <c r="AC13" s="9">
        <f t="array" ref="AC13">PRODUCT(1+真實IC!$C13:AC13)-1</f>
        <v>3.2084813045662894</v>
      </c>
      <c r="AD13" s="9">
        <f t="array" ref="AD13">PRODUCT(1+真實IC!$C13:AD13)-1</f>
        <v>3.2991449680173366</v>
      </c>
      <c r="AE13" s="9">
        <f t="array" ref="AE13">PRODUCT(1+真實IC!$C13:AE13)-1</f>
        <v>3.6304861614163295</v>
      </c>
      <c r="AF13" s="9">
        <f t="array" ref="AF13">PRODUCT(1+真實IC!$C13:AF13)-1</f>
        <v>3.9698135625243491</v>
      </c>
      <c r="AG13" s="9">
        <f t="array" ref="AG13">PRODUCT(1+真實IC!$C13:AG13)-1</f>
        <v>4.127266117636057</v>
      </c>
      <c r="AH13" s="9">
        <f t="array" ref="AH13">PRODUCT(1+真實IC!$C13:AH13)-1</f>
        <v>4.1766998296474647</v>
      </c>
      <c r="AI13" s="9">
        <f t="array" ref="AI13">PRODUCT(1+真實IC!$C13:AI13)-1</f>
        <v>4.2797681389515718</v>
      </c>
      <c r="AJ13" s="9">
        <f t="array" ref="AJ13">PRODUCT(1+真實IC!$C13:AJ13)-1</f>
        <v>4.1938110322203164</v>
      </c>
      <c r="AK13" s="9">
        <f t="array" ref="AK13">PRODUCT(1+真實IC!$C13:AK13)-1</f>
        <v>4.5365397817694939</v>
      </c>
      <c r="AL13" s="9">
        <f t="array" ref="AL13">PRODUCT(1+真實IC!$C13:AL13)-1</f>
        <v>4.6613893305712901</v>
      </c>
      <c r="AM13" s="9">
        <f t="array" ref="AM13">PRODUCT(1+真實IC!$C13:AM13)-1</f>
        <v>4.9234122626034615</v>
      </c>
      <c r="AN13" s="9">
        <f t="array" ref="AN13">PRODUCT(1+真實IC!$C13:AN13)-1</f>
        <v>5.5473266868013891</v>
      </c>
      <c r="AO13" s="9">
        <f t="array" ref="AO13">PRODUCT(1+真實IC!$C13:AO13)-1</f>
        <v>5.5361383092732348</v>
      </c>
      <c r="AP13" s="9">
        <f t="array" ref="AP13">PRODUCT(1+真實IC!$C13:AP13)-1</f>
        <v>5.9253708383127028</v>
      </c>
      <c r="AQ13" s="9">
        <f t="array" ref="AQ13">PRODUCT(1+真實IC!$C13:AQ13)-1</f>
        <v>6.0021170765500891</v>
      </c>
      <c r="AR13" s="9">
        <f t="array" ref="AR13">PRODUCT(1+真實IC!$C13:AR13)-1</f>
        <v>5.9373445760432189</v>
      </c>
      <c r="AS13" s="9">
        <f t="array" ref="AS13">PRODUCT(1+真實IC!$C13:AS13)-1</f>
        <v>6.0997128729210086</v>
      </c>
      <c r="AT13" s="9">
        <f t="array" ref="AT13">PRODUCT(1+真實IC!$C13:AT13)-1</f>
        <v>6.7132907531279011</v>
      </c>
      <c r="AU13" s="9">
        <f t="array" ref="AU13">PRODUCT(1+真實IC!$C13:AU13)-1</f>
        <v>7.3055479096225167</v>
      </c>
      <c r="AV13" s="9">
        <f t="array" ref="AV13">PRODUCT(1+真實IC!$C13:AV13)-1</f>
        <v>7.9672174871377059</v>
      </c>
      <c r="AW13" s="9">
        <f t="array" ref="AW13">PRODUCT(1+真實IC!$C13:AW13)-1</f>
        <v>8.2077293612923885</v>
      </c>
      <c r="AX13" s="9">
        <f t="array" ref="AX13">PRODUCT(1+真實IC!$C13:AX13)-1</f>
        <v>8.5097413386951697</v>
      </c>
      <c r="AY13" s="9">
        <f t="array" ref="AY13">PRODUCT(1+真實IC!$C13:AY13)-1</f>
        <v>8.6767737292538492</v>
      </c>
      <c r="AZ13" s="9">
        <f t="array" ref="AZ13">PRODUCT(1+真實IC!$C13:AZ13)-1</f>
        <v>9.2133526469360483</v>
      </c>
      <c r="BA13" s="9">
        <f t="array" ref="BA13">PRODUCT(1+真實IC!$C13:BA13)-1</f>
        <v>10.028677141504646</v>
      </c>
      <c r="BB13" s="9">
        <f t="array" ref="BB13">PRODUCT(1+真實IC!$C13:BB13)-1</f>
        <v>10.277345147235531</v>
      </c>
      <c r="BC13" s="9">
        <f t="array" ref="BC13">PRODUCT(1+真實IC!$C13:BC13)-1</f>
        <v>10.492864993556934</v>
      </c>
      <c r="BD13" s="9">
        <f t="array" ref="BD13">PRODUCT(1+真實IC!$C13:BD13)-1</f>
        <v>10.97185001524247</v>
      </c>
      <c r="BE13" s="9">
        <f t="array" ref="BE13">PRODUCT(1+真實IC!$C13:BE13)-1</f>
        <v>11.49590325636788</v>
      </c>
      <c r="BF13" s="9">
        <f t="array" ref="BF13">PRODUCT(1+真實IC!$C13:BF13)-1</f>
        <v>13.01611914906535</v>
      </c>
      <c r="BG13" s="9">
        <f t="array" ref="BG13">PRODUCT(1+真實IC!$C13:BG13)-1</f>
        <v>14.255109684272512</v>
      </c>
      <c r="BH13" s="9">
        <f t="array" ref="BH13">PRODUCT(1+真實IC!$C13:BH13)-1</f>
        <v>14.880930059134284</v>
      </c>
      <c r="BI13" s="9">
        <f t="array" ref="BI13">PRODUCT(1+真實IC!$C13:BI13)-1</f>
        <v>15.713235826139062</v>
      </c>
      <c r="BJ13" s="9">
        <f t="array" ref="BJ13">PRODUCT(1+真實IC!$C13:BJ13)-1</f>
        <v>16.57317463706072</v>
      </c>
      <c r="BK13" s="9">
        <f t="array" ref="BK13">PRODUCT(1+真實IC!$C13:BK13)-1</f>
        <v>17.014718589099314</v>
      </c>
      <c r="BL13" s="9">
        <f t="array" ref="BL13">PRODUCT(1+真實IC!$C13:BL13)-1</f>
        <v>17.635506520347132</v>
      </c>
      <c r="BM13" s="9">
        <f t="array" ref="BM13">PRODUCT(1+真實IC!$C13:BM13)-1</f>
        <v>18.630116463868816</v>
      </c>
      <c r="BN13" s="9">
        <f t="array" ref="BN13">PRODUCT(1+真實IC!$C13:BN13)-1</f>
        <v>18.534756629773419</v>
      </c>
      <c r="BO13" s="9">
        <f t="array" ref="BO13">PRODUCT(1+真實IC!$C13:BO13)-1</f>
        <v>19.137964836434168</v>
      </c>
      <c r="BP13" s="9">
        <f t="array" ref="BP13">PRODUCT(1+真實IC!$C13:BP13)-1</f>
        <v>19.298102771895362</v>
      </c>
      <c r="BQ13" s="9">
        <f t="array" ref="BQ13">PRODUCT(1+真實IC!$C13:BQ13)-1</f>
        <v>20.143580941457436</v>
      </c>
      <c r="BR13" s="9">
        <f t="array" ref="BR13">PRODUCT(1+真實IC!$C13:BR13)-1</f>
        <v>21.83150381047604</v>
      </c>
      <c r="BS13" s="9">
        <f t="array" ref="BS13">PRODUCT(1+真實IC!$C13:BS13)-1</f>
        <v>22.748885377225616</v>
      </c>
      <c r="BT13" s="9">
        <f t="array" ref="BT13">PRODUCT(1+真實IC!$C13:BT13)-1</f>
        <v>23.548460376263822</v>
      </c>
      <c r="BU13" s="9">
        <f t="array" ref="BU13">PRODUCT(1+真實IC!$C13:BU13)-1</f>
        <v>25.381203422444987</v>
      </c>
      <c r="BV13" s="9">
        <f t="array" ref="BV13">PRODUCT(1+真實IC!$C13:BV13)-1</f>
        <v>27.489875016590691</v>
      </c>
      <c r="BW13" s="9">
        <f t="array" ref="BW13">PRODUCT(1+真實IC!$C13:BW13)-1</f>
        <v>29.646957574185137</v>
      </c>
      <c r="BX13" s="9">
        <f t="array" ref="BX13">PRODUCT(1+真實IC!$C13:BX13)-1</f>
        <v>29.692226322913619</v>
      </c>
      <c r="BY13" s="9">
        <f t="array" ref="BY13">PRODUCT(1+真實IC!$C13:BY13)-1</f>
        <v>30.895421646418889</v>
      </c>
      <c r="BZ13" s="9">
        <f t="array" ref="BZ13">PRODUCT(1+真實IC!$C13:BZ13)-1</f>
        <v>33.323879184754226</v>
      </c>
      <c r="CA13" s="9">
        <f t="array" ref="CA13">PRODUCT(1+真實IC!$C13:CA13)-1</f>
        <v>34.474812591297912</v>
      </c>
      <c r="CB13" s="9">
        <f t="array" ref="CB13">PRODUCT(1+真實IC!$C13:CB13)-1</f>
        <v>38.746934890995767</v>
      </c>
      <c r="CC13" s="9">
        <f t="array" ref="CC13">PRODUCT(1+真實IC!$C13:CC13)-1</f>
        <v>43.521253903987819</v>
      </c>
      <c r="CD13" s="9">
        <f t="array" ref="CD13">PRODUCT(1+真實IC!$C13:CD13)-1</f>
        <v>48.199806951899163</v>
      </c>
      <c r="CE13" s="9">
        <f t="array" ref="CE13">PRODUCT(1+真實IC!$C13:CE13)-1</f>
        <v>57.244095739305173</v>
      </c>
      <c r="CF13" s="9">
        <f t="array" ref="CF13">PRODUCT(1+真實IC!$C13:CF13)-1</f>
        <v>59.836788952205076</v>
      </c>
      <c r="CG13" s="9">
        <f t="array" ref="CG13">PRODUCT(1+真實IC!$C13:CG13)-1</f>
        <v>63.366233304763057</v>
      </c>
      <c r="CH13" s="9">
        <f t="array" ref="CH13">PRODUCT(1+真實IC!$C13:CH13)-1</f>
        <v>67.121012539375869</v>
      </c>
      <c r="CI13" s="9">
        <f t="array" ref="CI13">PRODUCT(1+真實IC!$C13:CI13)-1</f>
        <v>70.653326085321666</v>
      </c>
      <c r="CJ13" s="9">
        <f t="array" ref="CJ13">PRODUCT(1+真實IC!$C13:CJ13)-1</f>
        <v>74.580657834297995</v>
      </c>
      <c r="CK13" s="9">
        <f t="array" ref="CK13">PRODUCT(1+真實IC!$C13:CK13)-1</f>
        <v>79.545334048787126</v>
      </c>
      <c r="CL13" s="9">
        <f t="array" ref="CL13">PRODUCT(1+真實IC!$C13:CL13)-1</f>
        <v>86.106022630885434</v>
      </c>
      <c r="CM13" s="9">
        <f t="array" ref="CM13">PRODUCT(1+真實IC!$C13:CM13)-1</f>
        <v>94.943131874174895</v>
      </c>
      <c r="CN13" s="9">
        <f t="array" ref="CN13">PRODUCT(1+真實IC!$C13:CN13)-1</f>
        <v>104.632828523425</v>
      </c>
      <c r="CO13" s="9">
        <f t="array" ref="CO13">PRODUCT(1+真實IC!$C13:CO13)-1</f>
        <v>113.67142253364787</v>
      </c>
      <c r="CP13" s="9">
        <f t="array" ref="CP13">PRODUCT(1+真實IC!$C13:CP13)-1</f>
        <v>121.66706409564536</v>
      </c>
      <c r="CQ13" s="9">
        <f t="array" ref="CQ13">PRODUCT(1+真實IC!$C13:CQ13)-1</f>
        <v>130.39836648697985</v>
      </c>
      <c r="CR13" s="9">
        <f t="array" ref="CR13">PRODUCT(1+真實IC!$C13:CR13)-1</f>
        <v>145.06832218399867</v>
      </c>
      <c r="CS13" s="9">
        <f t="array" ref="CS13">PRODUCT(1+真實IC!$C13:CS13)-1</f>
        <v>146.46585330210257</v>
      </c>
      <c r="CT13" s="9">
        <f t="array" ref="CT13">PRODUCT(1+真實IC!$C13:CT13)-1</f>
        <v>152.87503879596079</v>
      </c>
      <c r="CU13" s="9">
        <f t="array" ref="CU13">PRODUCT(1+真實IC!$C13:CU13)-1</f>
        <v>169.35366468434347</v>
      </c>
      <c r="CV13" s="9">
        <f t="array" ref="CV13">PRODUCT(1+真實IC!$C13:CV13)-1</f>
        <v>182.58265760088398</v>
      </c>
      <c r="CW13" s="9">
        <f t="array" ref="CW13">PRODUCT(1+真實IC!$C13:CW13)-1</f>
        <v>189.24838230091876</v>
      </c>
      <c r="CX13" s="9">
        <f t="array" ref="CX13">PRODUCT(1+真實IC!$C13:CX13)-1</f>
        <v>200.66961199459701</v>
      </c>
      <c r="CY13" s="9">
        <f t="array" ref="CY13">PRODUCT(1+真實IC!$C13:CY13)-1</f>
        <v>213.23295238837017</v>
      </c>
      <c r="CZ13" s="9">
        <f t="array" ref="CZ13">PRODUCT(1+真實IC!$C13:CZ13)-1</f>
        <v>225.49226606281997</v>
      </c>
      <c r="DA13" s="9">
        <f t="array" ref="DA13">PRODUCT(1+真實IC!$C13:DA13)-1</f>
        <v>236.69135074608454</v>
      </c>
      <c r="DB13" s="9">
        <f t="array" ref="DB13">PRODUCT(1+真實IC!$C13:DB13)-1</f>
        <v>261.94255081543253</v>
      </c>
      <c r="DC13" s="9">
        <f t="array" ref="DC13">PRODUCT(1+真實IC!$C13:DC13)-1</f>
        <v>269.77181405944384</v>
      </c>
      <c r="DD13" s="9">
        <f t="array" ref="DD13">PRODUCT(1+真實IC!$C13:DD13)-1</f>
        <v>288.44885743288427</v>
      </c>
      <c r="DE13" s="9">
        <f t="array" ref="DE13">PRODUCT(1+真實IC!$C13:DE13)-1</f>
        <v>294.94466765783955</v>
      </c>
      <c r="DF13" s="9">
        <f t="array" ref="DF13">PRODUCT(1+真實IC!$C13:DF13)-1</f>
        <v>319.54438378485349</v>
      </c>
      <c r="DG13" s="9">
        <f t="array" ref="DG13">PRODUCT(1+真實IC!$C13:DG13)-1</f>
        <v>334.84374684864071</v>
      </c>
      <c r="DH13" s="9">
        <f t="array" ref="DH13">PRODUCT(1+真實IC!$C13:DH13)-1</f>
        <v>364.64004195837276</v>
      </c>
      <c r="DI13" s="9">
        <f t="array" ref="DI13">PRODUCT(1+真實IC!$C13:DI13)-1</f>
        <v>397.45555014905807</v>
      </c>
      <c r="DJ13" s="9">
        <f t="array" ref="DJ13">PRODUCT(1+真實IC!$C13:DJ13)-1</f>
        <v>400.25315582195975</v>
      </c>
      <c r="DK13" s="9">
        <f t="array" ref="DK13">PRODUCT(1+真實IC!$C13:DK13)-1</f>
        <v>408.03200833009845</v>
      </c>
      <c r="DL13" s="9">
        <f t="array" ref="DL13">PRODUCT(1+真實IC!$C13:DL13)-1</f>
        <v>417.05144662322266</v>
      </c>
      <c r="DM13" s="9">
        <f t="array" ref="DM13">PRODUCT(1+真實IC!$C13:DM13)-1</f>
        <v>416.82906067242942</v>
      </c>
      <c r="DN13" s="9">
        <f t="array" ref="DN13">PRODUCT(1+真實IC!$C13:DN13)-1</f>
        <v>421.63391851392248</v>
      </c>
      <c r="DO13" s="9">
        <f t="array" ref="DO13">PRODUCT(1+真實IC!$C13:DO13)-1</f>
        <v>437.63646757042056</v>
      </c>
      <c r="DP13" s="9">
        <f t="array" ref="DP13">PRODUCT(1+真實IC!$C13:DP13)-1</f>
        <v>463.09155454719343</v>
      </c>
      <c r="DQ13" s="9">
        <f t="array" ref="DQ13">PRODUCT(1+真實IC!$C13:DQ13)-1</f>
        <v>503.52739289053159</v>
      </c>
      <c r="DR13" s="9">
        <f t="array" ref="DR13">PRODUCT(1+真實IC!$C13:DR13)-1</f>
        <v>510.47534520164101</v>
      </c>
      <c r="DS13" s="9">
        <f t="array" ref="DS13">PRODUCT(1+真實IC!$C13:DS13)-1</f>
        <v>545.56085962039253</v>
      </c>
      <c r="DT13" s="9">
        <f t="array" ref="DT13">PRODUCT(1+真實IC!$C13:DT13)-1</f>
        <v>561.87341073149662</v>
      </c>
      <c r="DU13" s="9">
        <f t="array" ref="DU13">PRODUCT(1+真實IC!$C13:DU13)-1</f>
        <v>580.45158707304165</v>
      </c>
      <c r="DV13" s="9">
        <f t="array" ref="DV13">PRODUCT(1+真實IC!$C13:DV13)-1</f>
        <v>626.74684617889022</v>
      </c>
      <c r="DW13" s="9">
        <f t="array" ref="DW13">PRODUCT(1+真實IC!$C13:DW13)-1</f>
        <v>653.13009142546048</v>
      </c>
      <c r="DX13" s="9">
        <f t="array" ref="DX13">PRODUCT(1+真實IC!$C13:DX13)-1</f>
        <v>695.33677560822184</v>
      </c>
      <c r="DY13" s="9">
        <f t="array" ref="DY13">PRODUCT(1+真實IC!$C13:DY13)-1</f>
        <v>735.01484296826709</v>
      </c>
      <c r="DZ13" s="9">
        <f t="array" ref="DZ13">PRODUCT(1+真實IC!$C13:DZ13)-1</f>
        <v>748.48537129062981</v>
      </c>
      <c r="EA13" s="9">
        <f t="array" ref="EA13">PRODUCT(1+真實IC!$C13:EA13)-1</f>
        <v>841.7730346031442</v>
      </c>
      <c r="EB13" s="9">
        <f t="array" ref="EB13">PRODUCT(1+真實IC!$C13:EB13)-1</f>
        <v>889.9841127680653</v>
      </c>
      <c r="EC13" s="9">
        <f t="array" ref="EC13">PRODUCT(1+真實IC!$C13:EC13)-1</f>
        <v>927.10229122068915</v>
      </c>
      <c r="ED13" s="9">
        <f t="array" ref="ED13">PRODUCT(1+真實IC!$C13:ED13)-1</f>
        <v>988.06199283799708</v>
      </c>
      <c r="EE13" s="9">
        <f t="array" ref="EE13">PRODUCT(1+真實IC!$C13:EE13)-1</f>
        <v>1028.8453459489263</v>
      </c>
      <c r="EF13" s="9">
        <f t="array" ref="EF13">PRODUCT(1+真實IC!$C13:EF13)-1</f>
        <v>1074.6868947433734</v>
      </c>
    </row>
    <row r="14" spans="1:136" ht="15" customHeight="1">
      <c r="A14" s="20">
        <v>19</v>
      </c>
      <c r="B14" s="20" t="s">
        <v>223</v>
      </c>
      <c r="C14" s="9">
        <f t="array" ref="C14">PRODUCT(1+真實IC!$C14:C14)-1</f>
        <v>0.11994163157894744</v>
      </c>
      <c r="D14" s="9">
        <f t="array" ref="D14">PRODUCT(1+真實IC!$C14:D14)-1</f>
        <v>0.36891449997644599</v>
      </c>
      <c r="E14" s="9">
        <f t="array" ref="E14">PRODUCT(1+真實IC!$C14:E14)-1</f>
        <v>0.5041196634545142</v>
      </c>
      <c r="F14" s="9">
        <f t="array" ref="F14">PRODUCT(1+真實IC!$C14:F14)-1</f>
        <v>0.59488110915398007</v>
      </c>
      <c r="G14" s="9">
        <f t="array" ref="G14">PRODUCT(1+真實IC!$C14:G14)-1</f>
        <v>0.68045705542802715</v>
      </c>
      <c r="H14" s="9">
        <f t="array" ref="H14">PRODUCT(1+真實IC!$C14:H14)-1</f>
        <v>0.78059372245881953</v>
      </c>
      <c r="I14" s="9">
        <f t="array" ref="I14">PRODUCT(1+真實IC!$C14:I14)-1</f>
        <v>0.85856122048295247</v>
      </c>
      <c r="J14" s="9">
        <f t="array" ref="J14">PRODUCT(1+真實IC!$C14:J14)-1</f>
        <v>0.90188423042748056</v>
      </c>
      <c r="K14" s="9">
        <f t="array" ref="K14">PRODUCT(1+真實IC!$C14:K14)-1</f>
        <v>0.99855218698157189</v>
      </c>
      <c r="L14" s="9">
        <f t="array" ref="L14">PRODUCT(1+真實IC!$C14:L14)-1</f>
        <v>1.0155003302750045</v>
      </c>
      <c r="M14" s="9">
        <f t="array" ref="M14">PRODUCT(1+真實IC!$C14:M14)-1</f>
        <v>0.97716205848843241</v>
      </c>
      <c r="N14" s="9">
        <f t="array" ref="N14">PRODUCT(1+真實IC!$C14:N14)-1</f>
        <v>1.3821494700478278</v>
      </c>
      <c r="O14" s="9">
        <f t="array" ref="O14">PRODUCT(1+真實IC!$C14:O14)-1</f>
        <v>1.3857093731266765</v>
      </c>
      <c r="P14" s="9">
        <f t="array" ref="P14">PRODUCT(1+真實IC!$C14:P14)-1</f>
        <v>1.5249057858830275</v>
      </c>
      <c r="Q14" s="9">
        <f t="array" ref="Q14">PRODUCT(1+真實IC!$C14:Q14)-1</f>
        <v>1.8382563682542998</v>
      </c>
      <c r="R14" s="9">
        <f t="array" ref="R14">PRODUCT(1+真實IC!$C14:R14)-1</f>
        <v>1.7930111918907659</v>
      </c>
      <c r="S14" s="9">
        <f t="array" ref="S14">PRODUCT(1+真實IC!$C14:S14)-1</f>
        <v>2.2563528320765345</v>
      </c>
      <c r="T14" s="9">
        <f t="array" ref="T14">PRODUCT(1+真實IC!$C14:T14)-1</f>
        <v>2.3703888586395929</v>
      </c>
      <c r="U14" s="9">
        <f t="array" ref="U14">PRODUCT(1+真實IC!$C14:U14)-1</f>
        <v>2.7218080634550903</v>
      </c>
      <c r="V14" s="9">
        <f t="array" ref="V14">PRODUCT(1+真實IC!$C14:V14)-1</f>
        <v>2.7965759390014067</v>
      </c>
      <c r="W14" s="9">
        <f t="array" ref="W14">PRODUCT(1+真實IC!$C14:W14)-1</f>
        <v>3.2376065816940089</v>
      </c>
      <c r="X14" s="9">
        <f t="array" ref="X14">PRODUCT(1+真實IC!$C14:X14)-1</f>
        <v>4.0287071141205395</v>
      </c>
      <c r="Y14" s="9">
        <f t="array" ref="Y14">PRODUCT(1+真實IC!$C14:Y14)-1</f>
        <v>4.0549563346339079</v>
      </c>
      <c r="Z14" s="9">
        <f t="array" ref="Z14">PRODUCT(1+真實IC!$C14:Z14)-1</f>
        <v>4.249632440343504</v>
      </c>
      <c r="AA14" s="9">
        <f t="array" ref="AA14">PRODUCT(1+真實IC!$C14:AA14)-1</f>
        <v>4.7741015863337086</v>
      </c>
      <c r="AB14" s="9">
        <f t="array" ref="AB14">PRODUCT(1+真實IC!$C14:AB14)-1</f>
        <v>5.1827311603381991</v>
      </c>
      <c r="AC14" s="9">
        <f t="array" ref="AC14">PRODUCT(1+真實IC!$C14:AC14)-1</f>
        <v>5.1636477751878402</v>
      </c>
      <c r="AD14" s="9">
        <f t="array" ref="AD14">PRODUCT(1+真實IC!$C14:AD14)-1</f>
        <v>5.4060513904879137</v>
      </c>
      <c r="AE14" s="9">
        <f t="array" ref="AE14">PRODUCT(1+真實IC!$C14:AE14)-1</f>
        <v>6.1545147032864902</v>
      </c>
      <c r="AF14" s="9">
        <f t="array" ref="AF14">PRODUCT(1+真實IC!$C14:AF14)-1</f>
        <v>6.8419211589241451</v>
      </c>
      <c r="AG14" s="9">
        <f t="array" ref="AG14">PRODUCT(1+真實IC!$C14:AG14)-1</f>
        <v>7.0028443968530762</v>
      </c>
      <c r="AH14" s="9">
        <f t="array" ref="AH14">PRODUCT(1+真實IC!$C14:AH14)-1</f>
        <v>7.0448615541711472</v>
      </c>
      <c r="AI14" s="9">
        <f t="array" ref="AI14">PRODUCT(1+真實IC!$C14:AI14)-1</f>
        <v>7.1330760015952297</v>
      </c>
      <c r="AJ14" s="9">
        <f t="array" ref="AJ14">PRODUCT(1+真實IC!$C14:AJ14)-1</f>
        <v>7.2555522865702624</v>
      </c>
      <c r="AK14" s="9">
        <f t="array" ref="AK14">PRODUCT(1+真實IC!$C14:AK14)-1</f>
        <v>7.8904986254559084</v>
      </c>
      <c r="AL14" s="9">
        <f t="array" ref="AL14">PRODUCT(1+真實IC!$C14:AL14)-1</f>
        <v>8.0554983252877062</v>
      </c>
      <c r="AM14" s="9">
        <f t="array" ref="AM14">PRODUCT(1+真實IC!$C14:AM14)-1</f>
        <v>8.6100766603663388</v>
      </c>
      <c r="AN14" s="9">
        <f t="array" ref="AN14">PRODUCT(1+真實IC!$C14:AN14)-1</f>
        <v>9.5575789663249271</v>
      </c>
      <c r="AO14" s="9">
        <f t="array" ref="AO14">PRODUCT(1+真實IC!$C14:AO14)-1</f>
        <v>9.1559227101394107</v>
      </c>
      <c r="AP14" s="9">
        <f t="array" ref="AP14">PRODUCT(1+真實IC!$C14:AP14)-1</f>
        <v>9.8665988911081062</v>
      </c>
      <c r="AQ14" s="9">
        <f t="array" ref="AQ14">PRODUCT(1+真實IC!$C14:AQ14)-1</f>
        <v>9.9549054491073097</v>
      </c>
      <c r="AR14" s="9">
        <f t="array" ref="AR14">PRODUCT(1+真實IC!$C14:AR14)-1</f>
        <v>9.7558496279312905</v>
      </c>
      <c r="AS14" s="9">
        <f t="array" ref="AS14">PRODUCT(1+真實IC!$C14:AS14)-1</f>
        <v>9.6841152270940025</v>
      </c>
      <c r="AT14" s="9">
        <f t="array" ref="AT14">PRODUCT(1+真實IC!$C14:AT14)-1</f>
        <v>10.532471153754679</v>
      </c>
      <c r="AU14" s="9">
        <f t="array" ref="AU14">PRODUCT(1+真實IC!$C14:AU14)-1</f>
        <v>12.122258113657557</v>
      </c>
      <c r="AV14" s="9">
        <f t="array" ref="AV14">PRODUCT(1+真實IC!$C14:AV14)-1</f>
        <v>12.991722523161407</v>
      </c>
      <c r="AW14" s="9">
        <f t="array" ref="AW14">PRODUCT(1+真實IC!$C14:AW14)-1</f>
        <v>13.746277666963577</v>
      </c>
      <c r="AX14" s="9">
        <f t="array" ref="AX14">PRODUCT(1+真實IC!$C14:AX14)-1</f>
        <v>14.031916211866891</v>
      </c>
      <c r="AY14" s="9">
        <f t="array" ref="AY14">PRODUCT(1+真實IC!$C14:AY14)-1</f>
        <v>14.25841891071447</v>
      </c>
      <c r="AZ14" s="9">
        <f t="array" ref="AZ14">PRODUCT(1+真實IC!$C14:AZ14)-1</f>
        <v>14.649476928977169</v>
      </c>
      <c r="BA14" s="9">
        <f t="array" ref="BA14">PRODUCT(1+真實IC!$C14:BA14)-1</f>
        <v>16.157107177137487</v>
      </c>
      <c r="BB14" s="9">
        <f t="array" ref="BB14">PRODUCT(1+真實IC!$C14:BB14)-1</f>
        <v>18.049729097377899</v>
      </c>
      <c r="BC14" s="9">
        <f t="array" ref="BC14">PRODUCT(1+真實IC!$C14:BC14)-1</f>
        <v>17.506703548980521</v>
      </c>
      <c r="BD14" s="9">
        <f t="array" ref="BD14">PRODUCT(1+真實IC!$C14:BD14)-1</f>
        <v>17.810563166477177</v>
      </c>
      <c r="BE14" s="9">
        <f t="array" ref="BE14">PRODUCT(1+真實IC!$C14:BE14)-1</f>
        <v>19.128840730689667</v>
      </c>
      <c r="BF14" s="9">
        <f t="array" ref="BF14">PRODUCT(1+真實IC!$C14:BF14)-1</f>
        <v>22.225245436632481</v>
      </c>
      <c r="BG14" s="9">
        <f t="array" ref="BG14">PRODUCT(1+真實IC!$C14:BG14)-1</f>
        <v>25.135491933204396</v>
      </c>
      <c r="BH14" s="9">
        <f t="array" ref="BH14">PRODUCT(1+真實IC!$C14:BH14)-1</f>
        <v>27.054188934036059</v>
      </c>
      <c r="BI14" s="9">
        <f t="array" ref="BI14">PRODUCT(1+真實IC!$C14:BI14)-1</f>
        <v>28.462094378170892</v>
      </c>
      <c r="BJ14" s="9">
        <f t="array" ref="BJ14">PRODUCT(1+真實IC!$C14:BJ14)-1</f>
        <v>29.169711859672709</v>
      </c>
      <c r="BK14" s="9">
        <f t="array" ref="BK14">PRODUCT(1+真實IC!$C14:BK14)-1</f>
        <v>28.166954795074481</v>
      </c>
      <c r="BL14" s="9">
        <f t="array" ref="BL14">PRODUCT(1+真實IC!$C14:BL14)-1</f>
        <v>29.916881534768141</v>
      </c>
      <c r="BM14" s="9">
        <f t="array" ref="BM14">PRODUCT(1+真實IC!$C14:BM14)-1</f>
        <v>31.347663026513402</v>
      </c>
      <c r="BN14" s="9">
        <f t="array" ref="BN14">PRODUCT(1+真實IC!$C14:BN14)-1</f>
        <v>29.841011033253228</v>
      </c>
      <c r="BO14" s="9">
        <f t="array" ref="BO14">PRODUCT(1+真實IC!$C14:BO14)-1</f>
        <v>30.877547981802852</v>
      </c>
      <c r="BP14" s="9">
        <f t="array" ref="BP14">PRODUCT(1+真實IC!$C14:BP14)-1</f>
        <v>29.273097303376851</v>
      </c>
      <c r="BQ14" s="9">
        <f t="array" ref="BQ14">PRODUCT(1+真實IC!$C14:BQ14)-1</f>
        <v>29.752729843120246</v>
      </c>
      <c r="BR14" s="9">
        <f t="array" ref="BR14">PRODUCT(1+真實IC!$C14:BR14)-1</f>
        <v>32.829614980107173</v>
      </c>
      <c r="BS14" s="9">
        <f t="array" ref="BS14">PRODUCT(1+真實IC!$C14:BS14)-1</f>
        <v>33.855759353877481</v>
      </c>
      <c r="BT14" s="9">
        <f t="array" ref="BT14">PRODUCT(1+真實IC!$C14:BT14)-1</f>
        <v>33.322873497793502</v>
      </c>
      <c r="BU14" s="9">
        <f t="array" ref="BU14">PRODUCT(1+真實IC!$C14:BU14)-1</f>
        <v>37.13820772874228</v>
      </c>
      <c r="BV14" s="9">
        <f t="array" ref="BV14">PRODUCT(1+真實IC!$C14:BV14)-1</f>
        <v>41.256433686612532</v>
      </c>
      <c r="BW14" s="9">
        <f t="array" ref="BW14">PRODUCT(1+真實IC!$C14:BW14)-1</f>
        <v>46.787695576702028</v>
      </c>
      <c r="BX14" s="9">
        <f t="array" ref="BX14">PRODUCT(1+真實IC!$C14:BX14)-1</f>
        <v>46.773007148166876</v>
      </c>
      <c r="BY14" s="9">
        <f t="array" ref="BY14">PRODUCT(1+真實IC!$C14:BY14)-1</f>
        <v>44.737662559413415</v>
      </c>
      <c r="BZ14" s="9">
        <f t="array" ref="BZ14">PRODUCT(1+真實IC!$C14:BZ14)-1</f>
        <v>47.483479992720909</v>
      </c>
      <c r="CA14" s="9">
        <f t="array" ref="CA14">PRODUCT(1+真實IC!$C14:CA14)-1</f>
        <v>48.669641232921059</v>
      </c>
      <c r="CB14" s="9">
        <f t="array" ref="CB14">PRODUCT(1+真實IC!$C14:CB14)-1</f>
        <v>56.838597991168072</v>
      </c>
      <c r="CC14" s="9">
        <f t="array" ref="CC14">PRODUCT(1+真實IC!$C14:CC14)-1</f>
        <v>63.813655892459934</v>
      </c>
      <c r="CD14" s="9">
        <f t="array" ref="CD14">PRODUCT(1+真實IC!$C14:CD14)-1</f>
        <v>70.166477201716461</v>
      </c>
      <c r="CE14" s="9">
        <f t="array" ref="CE14">PRODUCT(1+真實IC!$C14:CE14)-1</f>
        <v>82.304264484043017</v>
      </c>
      <c r="CF14" s="9">
        <f t="array" ref="CF14">PRODUCT(1+真實IC!$C14:CF14)-1</f>
        <v>89.995804144164282</v>
      </c>
      <c r="CG14" s="9">
        <f t="array" ref="CG14">PRODUCT(1+真實IC!$C14:CG14)-1</f>
        <v>95.211744028694795</v>
      </c>
      <c r="CH14" s="9">
        <f t="array" ref="CH14">PRODUCT(1+真實IC!$C14:CH14)-1</f>
        <v>101.43292935110564</v>
      </c>
      <c r="CI14" s="9">
        <f t="array" ref="CI14">PRODUCT(1+真實IC!$C14:CI14)-1</f>
        <v>112.27901727012413</v>
      </c>
      <c r="CJ14" s="9">
        <f t="array" ref="CJ14">PRODUCT(1+真實IC!$C14:CJ14)-1</f>
        <v>114.29494384137965</v>
      </c>
      <c r="CK14" s="9">
        <f t="array" ref="CK14">PRODUCT(1+真實IC!$C14:CK14)-1</f>
        <v>120.49689943512109</v>
      </c>
      <c r="CL14" s="9">
        <f t="array" ref="CL14">PRODUCT(1+真實IC!$C14:CL14)-1</f>
        <v>128.06250588086462</v>
      </c>
      <c r="CM14" s="9">
        <f t="array" ref="CM14">PRODUCT(1+真實IC!$C14:CM14)-1</f>
        <v>142.26813739986923</v>
      </c>
      <c r="CN14" s="9">
        <f t="array" ref="CN14">PRODUCT(1+真實IC!$C14:CN14)-1</f>
        <v>167.28213451007088</v>
      </c>
      <c r="CO14" s="9">
        <f t="array" ref="CO14">PRODUCT(1+真實IC!$C14:CO14)-1</f>
        <v>196.4368903165784</v>
      </c>
      <c r="CP14" s="9">
        <f t="array" ref="CP14">PRODUCT(1+真實IC!$C14:CP14)-1</f>
        <v>216.14293434891223</v>
      </c>
      <c r="CQ14" s="9">
        <f t="array" ref="CQ14">PRODUCT(1+真實IC!$C14:CQ14)-1</f>
        <v>223.14099509836259</v>
      </c>
      <c r="CR14" s="9">
        <f t="array" ref="CR14">PRODUCT(1+真實IC!$C14:CR14)-1</f>
        <v>269.69949817997633</v>
      </c>
      <c r="CS14" s="9">
        <f t="array" ref="CS14">PRODUCT(1+真實IC!$C14:CS14)-1</f>
        <v>268.50500049687355</v>
      </c>
      <c r="CT14" s="9">
        <f t="array" ref="CT14">PRODUCT(1+真實IC!$C14:CT14)-1</f>
        <v>285.17987062551094</v>
      </c>
      <c r="CU14" s="9">
        <f t="array" ref="CU14">PRODUCT(1+真實IC!$C14:CU14)-1</f>
        <v>314.24000557579097</v>
      </c>
      <c r="CV14" s="9">
        <f t="array" ref="CV14">PRODUCT(1+真實IC!$C14:CV14)-1</f>
        <v>361.96634662648046</v>
      </c>
      <c r="CW14" s="9">
        <f t="array" ref="CW14">PRODUCT(1+真實IC!$C14:CW14)-1</f>
        <v>378.2141302236605</v>
      </c>
      <c r="CX14" s="9">
        <f t="array" ref="CX14">PRODUCT(1+真實IC!$C14:CX14)-1</f>
        <v>391.9793789928471</v>
      </c>
      <c r="CY14" s="9">
        <f t="array" ref="CY14">PRODUCT(1+真實IC!$C14:CY14)-1</f>
        <v>411.68259977991568</v>
      </c>
      <c r="CZ14" s="9">
        <f t="array" ref="CZ14">PRODUCT(1+真實IC!$C14:CZ14)-1</f>
        <v>438.12051765451724</v>
      </c>
      <c r="DA14" s="9">
        <f t="array" ref="DA14">PRODUCT(1+真實IC!$C14:DA14)-1</f>
        <v>466.83574077264956</v>
      </c>
      <c r="DB14" s="9">
        <f t="array" ref="DB14">PRODUCT(1+真實IC!$C14:DB14)-1</f>
        <v>515.77512656632859</v>
      </c>
      <c r="DC14" s="9">
        <f t="array" ref="DC14">PRODUCT(1+真實IC!$C14:DC14)-1</f>
        <v>527.98787117925622</v>
      </c>
      <c r="DD14" s="9">
        <f t="array" ref="DD14">PRODUCT(1+真實IC!$C14:DD14)-1</f>
        <v>569.88654163943136</v>
      </c>
      <c r="DE14" s="9">
        <f t="array" ref="DE14">PRODUCT(1+真實IC!$C14:DE14)-1</f>
        <v>605.58232104483022</v>
      </c>
      <c r="DF14" s="9">
        <f t="array" ref="DF14">PRODUCT(1+真實IC!$C14:DF14)-1</f>
        <v>727.84776733237811</v>
      </c>
      <c r="DG14" s="9">
        <f t="array" ref="DG14">PRODUCT(1+真實IC!$C14:DG14)-1</f>
        <v>761.07129543559552</v>
      </c>
      <c r="DH14" s="9">
        <f t="array" ref="DH14">PRODUCT(1+真實IC!$C14:DH14)-1</f>
        <v>805.83732867124422</v>
      </c>
      <c r="DI14" s="9">
        <f t="array" ref="DI14">PRODUCT(1+真實IC!$C14:DI14)-1</f>
        <v>875.74719282813123</v>
      </c>
      <c r="DJ14" s="9">
        <f t="array" ref="DJ14">PRODUCT(1+真實IC!$C14:DJ14)-1</f>
        <v>883.45733340711286</v>
      </c>
      <c r="DK14" s="9">
        <f t="array" ref="DK14">PRODUCT(1+真實IC!$C14:DK14)-1</f>
        <v>955.64823057215244</v>
      </c>
      <c r="DL14" s="9">
        <f t="array" ref="DL14">PRODUCT(1+真實IC!$C14:DL14)-1</f>
        <v>994.6363065973336</v>
      </c>
      <c r="DM14" s="9">
        <f t="array" ref="DM14">PRODUCT(1+真實IC!$C14:DM14)-1</f>
        <v>995.75210048556391</v>
      </c>
      <c r="DN14" s="9">
        <f t="array" ref="DN14">PRODUCT(1+真實IC!$C14:DN14)-1</f>
        <v>1038.2760328791317</v>
      </c>
      <c r="DO14" s="9">
        <f t="array" ref="DO14">PRODUCT(1+真實IC!$C14:DO14)-1</f>
        <v>1144.8974396442675</v>
      </c>
      <c r="DP14" s="9">
        <f t="array" ref="DP14">PRODUCT(1+真實IC!$C14:DP14)-1</f>
        <v>1216.9913571277352</v>
      </c>
      <c r="DQ14" s="9">
        <f t="array" ref="DQ14">PRODUCT(1+真實IC!$C14:DQ14)-1</f>
        <v>1303.6789256521708</v>
      </c>
      <c r="DR14" s="9">
        <f t="array" ref="DR14">PRODUCT(1+真實IC!$C14:DR14)-1</f>
        <v>1372.3344178050488</v>
      </c>
      <c r="DS14" s="9">
        <f t="array" ref="DS14">PRODUCT(1+真實IC!$C14:DS14)-1</f>
        <v>1449.3121249073045</v>
      </c>
      <c r="DT14" s="9">
        <f t="array" ref="DT14">PRODUCT(1+真實IC!$C14:DT14)-1</f>
        <v>1460.5582662061279</v>
      </c>
      <c r="DU14" s="9">
        <f t="array" ref="DU14">PRODUCT(1+真實IC!$C14:DU14)-1</f>
        <v>1561.1080133086409</v>
      </c>
      <c r="DV14" s="9">
        <f t="array" ref="DV14">PRODUCT(1+真實IC!$C14:DV14)-1</f>
        <v>1730.2255048597826</v>
      </c>
      <c r="DW14" s="9">
        <f t="array" ref="DW14">PRODUCT(1+真實IC!$C14:DW14)-1</f>
        <v>1733.3588407893153</v>
      </c>
      <c r="DX14" s="9">
        <f t="array" ref="DX14">PRODUCT(1+真實IC!$C14:DX14)-1</f>
        <v>1910.1446485991219</v>
      </c>
      <c r="DY14" s="9">
        <f t="array" ref="DY14">PRODUCT(1+真實IC!$C14:DY14)-1</f>
        <v>2052.0621261551141</v>
      </c>
      <c r="DZ14" s="9">
        <f t="array" ref="DZ14">PRODUCT(1+真實IC!$C14:DZ14)-1</f>
        <v>2123.9827293846511</v>
      </c>
      <c r="EA14" s="9">
        <f t="array" ref="EA14">PRODUCT(1+真實IC!$C14:EA14)-1</f>
        <v>2257.6710975609512</v>
      </c>
      <c r="EB14" s="9">
        <f t="array" ref="EB14">PRODUCT(1+真實IC!$C14:EB14)-1</f>
        <v>2434.2536215758441</v>
      </c>
      <c r="EC14" s="9">
        <f t="array" ref="EC14">PRODUCT(1+真實IC!$C14:EC14)-1</f>
        <v>2449.0584589690288</v>
      </c>
      <c r="ED14" s="9">
        <f t="array" ref="ED14">PRODUCT(1+真實IC!$C14:ED14)-1</f>
        <v>2700.5072461021778</v>
      </c>
      <c r="EE14" s="9">
        <f t="array" ref="EE14">PRODUCT(1+真實IC!$C14:EE14)-1</f>
        <v>2691.3241120497169</v>
      </c>
      <c r="EF14" s="9">
        <f t="array" ref="EF14">PRODUCT(1+真實IC!$C14:EF14)-1</f>
        <v>2760.0435594907503</v>
      </c>
    </row>
    <row r="15" spans="1:136" ht="15" customHeight="1">
      <c r="A15" s="20">
        <v>10</v>
      </c>
      <c r="B15" s="20" t="s">
        <v>224</v>
      </c>
      <c r="C15" s="9">
        <f t="array" ref="C15">PRODUCT(1+真實IC!$C15:C15)-1</f>
        <v>0.22764509999999993</v>
      </c>
      <c r="D15" s="9">
        <f t="array" ref="D15">PRODUCT(1+真實IC!$C15:D15)-1</f>
        <v>0.68520033692747018</v>
      </c>
      <c r="E15" s="9">
        <f t="array" ref="E15">PRODUCT(1+真實IC!$C15:E15)-1</f>
        <v>0.78975791775200044</v>
      </c>
      <c r="F15" s="9">
        <f t="array" ref="F15">PRODUCT(1+真實IC!$C15:F15)-1</f>
        <v>0.72725700017537731</v>
      </c>
      <c r="G15" s="9">
        <f t="array" ref="G15">PRODUCT(1+真實IC!$C15:G15)-1</f>
        <v>0.78668141349917176</v>
      </c>
      <c r="H15" s="9">
        <f t="array" ref="H15">PRODUCT(1+真實IC!$C15:H15)-1</f>
        <v>0.99901849407763255</v>
      </c>
      <c r="I15" s="9">
        <f t="array" ref="I15">PRODUCT(1+真實IC!$C15:I15)-1</f>
        <v>1.1158240318287502</v>
      </c>
      <c r="J15" s="9">
        <f t="array" ref="J15">PRODUCT(1+真實IC!$C15:J15)-1</f>
        <v>1.2215337006645544</v>
      </c>
      <c r="K15" s="9">
        <f t="array" ref="K15">PRODUCT(1+真實IC!$C15:K15)-1</f>
        <v>1.4315015087265182</v>
      </c>
      <c r="L15" s="9">
        <f t="array" ref="L15">PRODUCT(1+真實IC!$C15:L15)-1</f>
        <v>1.3999724718130122</v>
      </c>
      <c r="M15" s="9">
        <f t="array" ref="M15">PRODUCT(1+真實IC!$C15:M15)-1</f>
        <v>1.3948532910839968</v>
      </c>
      <c r="N15" s="9">
        <f t="array" ref="N15">PRODUCT(1+真實IC!$C15:N15)-1</f>
        <v>2.1858963237206357</v>
      </c>
      <c r="O15" s="9">
        <f t="array" ref="O15">PRODUCT(1+真實IC!$C15:O15)-1</f>
        <v>2.1468028406224242</v>
      </c>
      <c r="P15" s="9">
        <f t="array" ref="P15">PRODUCT(1+真實IC!$C15:P15)-1</f>
        <v>2.3485638274848566</v>
      </c>
      <c r="Q15" s="9">
        <f t="array" ref="Q15">PRODUCT(1+真實IC!$C15:Q15)-1</f>
        <v>2.8693888708083009</v>
      </c>
      <c r="R15" s="9">
        <f t="array" ref="R15">PRODUCT(1+真實IC!$C15:R15)-1</f>
        <v>2.6676788280768737</v>
      </c>
      <c r="S15" s="9">
        <f t="array" ref="S15">PRODUCT(1+真實IC!$C15:S15)-1</f>
        <v>3.6579810682832914</v>
      </c>
      <c r="T15" s="9">
        <f t="array" ref="T15">PRODUCT(1+真實IC!$C15:T15)-1</f>
        <v>3.8717408366982644</v>
      </c>
      <c r="U15" s="9">
        <f t="array" ref="U15">PRODUCT(1+真實IC!$C15:U15)-1</f>
        <v>4.5390137360461038</v>
      </c>
      <c r="V15" s="9">
        <f t="array" ref="V15">PRODUCT(1+真實IC!$C15:V15)-1</f>
        <v>4.4441201650269804</v>
      </c>
      <c r="W15" s="9">
        <f t="array" ref="W15">PRODUCT(1+真實IC!$C15:W15)-1</f>
        <v>5.0262849772260747</v>
      </c>
      <c r="X15" s="9">
        <f t="array" ref="X15">PRODUCT(1+真實IC!$C15:X15)-1</f>
        <v>6.298953969012703</v>
      </c>
      <c r="Y15" s="9">
        <f t="array" ref="Y15">PRODUCT(1+真實IC!$C15:Y15)-1</f>
        <v>6.1483767357346721</v>
      </c>
      <c r="Z15" s="9">
        <f t="array" ref="Z15">PRODUCT(1+真實IC!$C15:Z15)-1</f>
        <v>6.482348697055075</v>
      </c>
      <c r="AA15" s="9">
        <f t="array" ref="AA15">PRODUCT(1+真實IC!$C15:AA15)-1</f>
        <v>7.6858873597925061</v>
      </c>
      <c r="AB15" s="9">
        <f t="array" ref="AB15">PRODUCT(1+真實IC!$C15:AB15)-1</f>
        <v>8.4128976302602112</v>
      </c>
      <c r="AC15" s="9">
        <f t="array" ref="AC15">PRODUCT(1+真實IC!$C15:AC15)-1</f>
        <v>8.4535394051283177</v>
      </c>
      <c r="AD15" s="9">
        <f t="array" ref="AD15">PRODUCT(1+真實IC!$C15:AD15)-1</f>
        <v>8.8287541655336224</v>
      </c>
      <c r="AE15" s="9">
        <f t="array" ref="AE15">PRODUCT(1+真實IC!$C15:AE15)-1</f>
        <v>10.910411988113873</v>
      </c>
      <c r="AF15" s="9">
        <f t="array" ref="AF15">PRODUCT(1+真實IC!$C15:AF15)-1</f>
        <v>12.550788809993021</v>
      </c>
      <c r="AG15" s="9">
        <f t="array" ref="AG15">PRODUCT(1+真實IC!$C15:AG15)-1</f>
        <v>12.687969925939269</v>
      </c>
      <c r="AH15" s="9">
        <f t="array" ref="AH15">PRODUCT(1+真實IC!$C15:AH15)-1</f>
        <v>12.227994274039357</v>
      </c>
      <c r="AI15" s="9">
        <f t="array" ref="AI15">PRODUCT(1+真實IC!$C15:AI15)-1</f>
        <v>13.210535295929887</v>
      </c>
      <c r="AJ15" s="9">
        <f t="array" ref="AJ15">PRODUCT(1+真實IC!$C15:AJ15)-1</f>
        <v>13.345036022568737</v>
      </c>
      <c r="AK15" s="9">
        <f t="array" ref="AK15">PRODUCT(1+真實IC!$C15:AK15)-1</f>
        <v>14.230979991309272</v>
      </c>
      <c r="AL15" s="9">
        <f t="array" ref="AL15">PRODUCT(1+真實IC!$C15:AL15)-1</f>
        <v>14.126148202225089</v>
      </c>
      <c r="AM15" s="9">
        <f t="array" ref="AM15">PRODUCT(1+真實IC!$C15:AM15)-1</f>
        <v>14.95994115392871</v>
      </c>
      <c r="AN15" s="9">
        <f t="array" ref="AN15">PRODUCT(1+真實IC!$C15:AN15)-1</f>
        <v>16.582886916309512</v>
      </c>
      <c r="AO15" s="9">
        <f t="array" ref="AO15">PRODUCT(1+真實IC!$C15:AO15)-1</f>
        <v>15.679398707681347</v>
      </c>
      <c r="AP15" s="9">
        <f t="array" ref="AP15">PRODUCT(1+真實IC!$C15:AP15)-1</f>
        <v>16.985157009226089</v>
      </c>
      <c r="AQ15" s="9">
        <f t="array" ref="AQ15">PRODUCT(1+真實IC!$C15:AQ15)-1</f>
        <v>17.340315300234376</v>
      </c>
      <c r="AR15" s="9">
        <f t="array" ref="AR15">PRODUCT(1+真實IC!$C15:AR15)-1</f>
        <v>16.890055057519032</v>
      </c>
      <c r="AS15" s="9">
        <f t="array" ref="AS15">PRODUCT(1+真實IC!$C15:AS15)-1</f>
        <v>16.018215044363888</v>
      </c>
      <c r="AT15" s="9">
        <f t="array" ref="AT15">PRODUCT(1+真實IC!$C15:AT15)-1</f>
        <v>17.226334941212833</v>
      </c>
      <c r="AU15" s="9">
        <f t="array" ref="AU15">PRODUCT(1+真實IC!$C15:AU15)-1</f>
        <v>20.272119546903969</v>
      </c>
      <c r="AV15" s="9">
        <f t="array" ref="AV15">PRODUCT(1+真實IC!$C15:AV15)-1</f>
        <v>21.065525545043347</v>
      </c>
      <c r="AW15" s="9">
        <f t="array" ref="AW15">PRODUCT(1+真實IC!$C15:AW15)-1</f>
        <v>23.089540439147296</v>
      </c>
      <c r="AX15" s="9">
        <f t="array" ref="AX15">PRODUCT(1+真實IC!$C15:AX15)-1</f>
        <v>25.04947908286659</v>
      </c>
      <c r="AY15" s="9">
        <f t="array" ref="AY15">PRODUCT(1+真實IC!$C15:AY15)-1</f>
        <v>25.779309008364226</v>
      </c>
      <c r="AZ15" s="9">
        <f t="array" ref="AZ15">PRODUCT(1+真實IC!$C15:AZ15)-1</f>
        <v>26.766075664635334</v>
      </c>
      <c r="BA15" s="9">
        <f t="array" ref="BA15">PRODUCT(1+真實IC!$C15:BA15)-1</f>
        <v>31.144460933863051</v>
      </c>
      <c r="BB15" s="9">
        <f t="array" ref="BB15">PRODUCT(1+真實IC!$C15:BB15)-1</f>
        <v>37.499843544216354</v>
      </c>
      <c r="BC15" s="9">
        <f t="array" ref="BC15">PRODUCT(1+真實IC!$C15:BC15)-1</f>
        <v>36.308785756980207</v>
      </c>
      <c r="BD15" s="9">
        <f t="array" ref="BD15">PRODUCT(1+真實IC!$C15:BD15)-1</f>
        <v>36.583553771444642</v>
      </c>
      <c r="BE15" s="9">
        <f t="array" ref="BE15">PRODUCT(1+真實IC!$C15:BE15)-1</f>
        <v>38.139436629160578</v>
      </c>
      <c r="BF15" s="9">
        <f t="array" ref="BF15">PRODUCT(1+真實IC!$C15:BF15)-1</f>
        <v>46.392851334333749</v>
      </c>
      <c r="BG15" s="9">
        <f t="array" ref="BG15">PRODUCT(1+真實IC!$C15:BG15)-1</f>
        <v>54.262491902732805</v>
      </c>
      <c r="BH15" s="9">
        <f t="array" ref="BH15">PRODUCT(1+真實IC!$C15:BH15)-1</f>
        <v>59.71408403097994</v>
      </c>
      <c r="BI15" s="9">
        <f t="array" ref="BI15">PRODUCT(1+真實IC!$C15:BI15)-1</f>
        <v>63.878260215890379</v>
      </c>
      <c r="BJ15" s="9">
        <f t="array" ref="BJ15">PRODUCT(1+真實IC!$C15:BJ15)-1</f>
        <v>68.754185862415625</v>
      </c>
      <c r="BK15" s="9">
        <f t="array" ref="BK15">PRODUCT(1+真實IC!$C15:BK15)-1</f>
        <v>63.671254141970095</v>
      </c>
      <c r="BL15" s="9">
        <f t="array" ref="BL15">PRODUCT(1+真實IC!$C15:BL15)-1</f>
        <v>67.53571215816082</v>
      </c>
      <c r="BM15" s="9">
        <f t="array" ref="BM15">PRODUCT(1+真實IC!$C15:BM15)-1</f>
        <v>70.840435970285924</v>
      </c>
      <c r="BN15" s="9">
        <f t="array" ref="BN15">PRODUCT(1+真實IC!$C15:BN15)-1</f>
        <v>66.09502315631228</v>
      </c>
      <c r="BO15" s="9">
        <f t="array" ref="BO15">PRODUCT(1+真實IC!$C15:BO15)-1</f>
        <v>67.955868462736561</v>
      </c>
      <c r="BP15" s="9">
        <f t="array" ref="BP15">PRODUCT(1+真實IC!$C15:BP15)-1</f>
        <v>64.396656147337637</v>
      </c>
      <c r="BQ15" s="9">
        <f t="array" ref="BQ15">PRODUCT(1+真實IC!$C15:BQ15)-1</f>
        <v>65.233925042609187</v>
      </c>
      <c r="BR15" s="9">
        <f t="array" ref="BR15">PRODUCT(1+真實IC!$C15:BR15)-1</f>
        <v>73.431177110454527</v>
      </c>
      <c r="BS15" s="9">
        <f t="array" ref="BS15">PRODUCT(1+真實IC!$C15:BS15)-1</f>
        <v>74.314370826870274</v>
      </c>
      <c r="BT15" s="9">
        <f t="array" ref="BT15">PRODUCT(1+真實IC!$C15:BT15)-1</f>
        <v>77.073332047622671</v>
      </c>
      <c r="BU15" s="9">
        <f t="array" ref="BU15">PRODUCT(1+真實IC!$C15:BU15)-1</f>
        <v>83.752232347634617</v>
      </c>
      <c r="BV15" s="9">
        <f t="array" ref="BV15">PRODUCT(1+真實IC!$C15:BV15)-1</f>
        <v>92.620709694480226</v>
      </c>
      <c r="BW15" s="9">
        <f t="array" ref="BW15">PRODUCT(1+真實IC!$C15:BW15)-1</f>
        <v>120.60197281134775</v>
      </c>
      <c r="BX15" s="9">
        <f t="array" ref="BX15">PRODUCT(1+真實IC!$C15:BX15)-1</f>
        <v>123.51434006017952</v>
      </c>
      <c r="BY15" s="9">
        <f t="array" ref="BY15">PRODUCT(1+真實IC!$C15:BY15)-1</f>
        <v>107.82259796420307</v>
      </c>
      <c r="BZ15" s="9">
        <f t="array" ref="BZ15">PRODUCT(1+真實IC!$C15:BZ15)-1</f>
        <v>119.02114726564068</v>
      </c>
      <c r="CA15" s="9">
        <f t="array" ref="CA15">PRODUCT(1+真實IC!$C15:CA15)-1</f>
        <v>121.25258293161633</v>
      </c>
      <c r="CB15" s="9">
        <f t="array" ref="CB15">PRODUCT(1+真實IC!$C15:CB15)-1</f>
        <v>137.27886963225461</v>
      </c>
      <c r="CC15" s="9">
        <f t="array" ref="CC15">PRODUCT(1+真實IC!$C15:CC15)-1</f>
        <v>161.29094003234778</v>
      </c>
      <c r="CD15" s="9">
        <f t="array" ref="CD15">PRODUCT(1+真實IC!$C15:CD15)-1</f>
        <v>180.79053468556231</v>
      </c>
      <c r="CE15" s="9">
        <f t="array" ref="CE15">PRODUCT(1+真實IC!$C15:CE15)-1</f>
        <v>194.12803356005182</v>
      </c>
      <c r="CF15" s="9">
        <f t="array" ref="CF15">PRODUCT(1+真實IC!$C15:CF15)-1</f>
        <v>212.53966120463318</v>
      </c>
      <c r="CG15" s="9">
        <f t="array" ref="CG15">PRODUCT(1+真實IC!$C15:CG15)-1</f>
        <v>230.87973314439819</v>
      </c>
      <c r="CH15" s="9">
        <f t="array" ref="CH15">PRODUCT(1+真實IC!$C15:CH15)-1</f>
        <v>245.4617123697526</v>
      </c>
      <c r="CI15" s="9">
        <f t="array" ref="CI15">PRODUCT(1+真實IC!$C15:CI15)-1</f>
        <v>255.02403614200165</v>
      </c>
      <c r="CJ15" s="9">
        <f t="array" ref="CJ15">PRODUCT(1+真實IC!$C15:CJ15)-1</f>
        <v>265.43697327161328</v>
      </c>
      <c r="CK15" s="9">
        <f t="array" ref="CK15">PRODUCT(1+真實IC!$C15:CK15)-1</f>
        <v>290.91920473618148</v>
      </c>
      <c r="CL15" s="9">
        <f t="array" ref="CL15">PRODUCT(1+真實IC!$C15:CL15)-1</f>
        <v>300.09188268745072</v>
      </c>
      <c r="CM15" s="9">
        <f t="array" ref="CM15">PRODUCT(1+真實IC!$C15:CM15)-1</f>
        <v>332.64530475066425</v>
      </c>
      <c r="CN15" s="9">
        <f t="array" ref="CN15">PRODUCT(1+真實IC!$C15:CN15)-1</f>
        <v>380.40656905903558</v>
      </c>
      <c r="CO15" s="9">
        <f t="array" ref="CO15">PRODUCT(1+真實IC!$C15:CO15)-1</f>
        <v>446.52717373045306</v>
      </c>
      <c r="CP15" s="9">
        <f t="array" ref="CP15">PRODUCT(1+真實IC!$C15:CP15)-1</f>
        <v>503.60292571111319</v>
      </c>
      <c r="CQ15" s="9">
        <f t="array" ref="CQ15">PRODUCT(1+真實IC!$C15:CQ15)-1</f>
        <v>491.00634098921307</v>
      </c>
      <c r="CR15" s="9">
        <f t="array" ref="CR15">PRODUCT(1+真實IC!$C15:CR15)-1</f>
        <v>580.30004646855639</v>
      </c>
      <c r="CS15" s="9">
        <f t="array" ref="CS15">PRODUCT(1+真實IC!$C15:CS15)-1</f>
        <v>584.06864437368972</v>
      </c>
      <c r="CT15" s="9">
        <f t="array" ref="CT15">PRODUCT(1+真實IC!$C15:CT15)-1</f>
        <v>602.91774238261246</v>
      </c>
      <c r="CU15" s="9">
        <f t="array" ref="CU15">PRODUCT(1+真實IC!$C15:CU15)-1</f>
        <v>677.83369690479356</v>
      </c>
      <c r="CV15" s="9">
        <f t="array" ref="CV15">PRODUCT(1+真實IC!$C15:CV15)-1</f>
        <v>801.79656893897402</v>
      </c>
      <c r="CW15" s="9">
        <f t="array" ref="CW15">PRODUCT(1+真實IC!$C15:CW15)-1</f>
        <v>822.7271540610692</v>
      </c>
      <c r="CX15" s="9">
        <f t="array" ref="CX15">PRODUCT(1+真實IC!$C15:CX15)-1</f>
        <v>842.5292311638558</v>
      </c>
      <c r="CY15" s="9">
        <f t="array" ref="CY15">PRODUCT(1+真實IC!$C15:CY15)-1</f>
        <v>889.54156145138779</v>
      </c>
      <c r="CZ15" s="9">
        <f t="array" ref="CZ15">PRODUCT(1+真實IC!$C15:CZ15)-1</f>
        <v>960.68420881332804</v>
      </c>
      <c r="DA15" s="9">
        <f t="array" ref="DA15">PRODUCT(1+真實IC!$C15:DA15)-1</f>
        <v>1046.1411986400562</v>
      </c>
      <c r="DB15" s="9">
        <f t="array" ref="DB15">PRODUCT(1+真實IC!$C15:DB15)-1</f>
        <v>1147.7638435433169</v>
      </c>
      <c r="DC15" s="9">
        <f t="array" ref="DC15">PRODUCT(1+真實IC!$C15:DC15)-1</f>
        <v>1188.0569076409761</v>
      </c>
      <c r="DD15" s="9">
        <f t="array" ref="DD15">PRODUCT(1+真實IC!$C15:DD15)-1</f>
        <v>1205.3062305548281</v>
      </c>
      <c r="DE15" s="9">
        <f t="array" ref="DE15">PRODUCT(1+真實IC!$C15:DE15)-1</f>
        <v>1274.2630792922982</v>
      </c>
      <c r="DF15" s="9">
        <f t="array" ref="DF15">PRODUCT(1+真實IC!$C15:DF15)-1</f>
        <v>1660.3127590765896</v>
      </c>
      <c r="DG15" s="9">
        <f t="array" ref="DG15">PRODUCT(1+真實IC!$C15:DG15)-1</f>
        <v>1739.9192116034699</v>
      </c>
      <c r="DH15" s="9">
        <f t="array" ref="DH15">PRODUCT(1+真實IC!$C15:DH15)-1</f>
        <v>1965.5832530287526</v>
      </c>
      <c r="DI15" s="9">
        <f t="array" ref="DI15">PRODUCT(1+真實IC!$C15:DI15)-1</f>
        <v>2049.7746486741662</v>
      </c>
      <c r="DJ15" s="9">
        <f t="array" ref="DJ15">PRODUCT(1+真實IC!$C15:DJ15)-1</f>
        <v>2172.8698882298654</v>
      </c>
      <c r="DK15" s="9">
        <f t="array" ref="DK15">PRODUCT(1+真實IC!$C15:DK15)-1</f>
        <v>2390.9720802460793</v>
      </c>
      <c r="DL15" s="9">
        <f t="array" ref="DL15">PRODUCT(1+真實IC!$C15:DL15)-1</f>
        <v>2390.2449369923306</v>
      </c>
      <c r="DM15" s="9">
        <f t="array" ref="DM15">PRODUCT(1+真實IC!$C15:DM15)-1</f>
        <v>2386.0040640965749</v>
      </c>
      <c r="DN15" s="9">
        <f t="array" ref="DN15">PRODUCT(1+真實IC!$C15:DN15)-1</f>
        <v>2491.0238822527695</v>
      </c>
      <c r="DO15" s="9">
        <f t="array" ref="DO15">PRODUCT(1+真實IC!$C15:DO15)-1</f>
        <v>2888.615327761117</v>
      </c>
      <c r="DP15" s="9">
        <f t="array" ref="DP15">PRODUCT(1+真實IC!$C15:DP15)-1</f>
        <v>3276.7049622622299</v>
      </c>
      <c r="DQ15" s="9">
        <f t="array" ref="DQ15">PRODUCT(1+真實IC!$C15:DQ15)-1</f>
        <v>3398.1068568365345</v>
      </c>
      <c r="DR15" s="9">
        <f t="array" ref="DR15">PRODUCT(1+真實IC!$C15:DR15)-1</f>
        <v>3636.0802538785802</v>
      </c>
      <c r="DS15" s="9">
        <f t="array" ref="DS15">PRODUCT(1+真實IC!$C15:DS15)-1</f>
        <v>3772.5795120986177</v>
      </c>
      <c r="DT15" s="9">
        <f t="array" ref="DT15">PRODUCT(1+真實IC!$C15:DT15)-1</f>
        <v>3971.5180579040002</v>
      </c>
      <c r="DU15" s="9">
        <f t="array" ref="DU15">PRODUCT(1+真實IC!$C15:DU15)-1</f>
        <v>4436.8131392492087</v>
      </c>
      <c r="DV15" s="9">
        <f t="array" ref="DV15">PRODUCT(1+真實IC!$C15:DV15)-1</f>
        <v>5057.0789901326816</v>
      </c>
      <c r="DW15" s="9">
        <f t="array" ref="DW15">PRODUCT(1+真實IC!$C15:DW15)-1</f>
        <v>4749.412231015679</v>
      </c>
      <c r="DX15" s="9">
        <f t="array" ref="DX15">PRODUCT(1+真實IC!$C15:DX15)-1</f>
        <v>5312.8883189005956</v>
      </c>
      <c r="DY15" s="9">
        <f t="array" ref="DY15">PRODUCT(1+真實IC!$C15:DY15)-1</f>
        <v>6076.0136948225827</v>
      </c>
      <c r="DZ15" s="9">
        <f t="array" ref="DZ15">PRODUCT(1+真實IC!$C15:DZ15)-1</f>
        <v>6321.8604992493692</v>
      </c>
      <c r="EA15" s="9">
        <f t="array" ref="EA15">PRODUCT(1+真實IC!$C15:EA15)-1</f>
        <v>6596.5965036040207</v>
      </c>
      <c r="EB15" s="9">
        <f t="array" ref="EB15">PRODUCT(1+真實IC!$C15:EB15)-1</f>
        <v>7177.7619526164326</v>
      </c>
      <c r="EC15" s="9">
        <f t="array" ref="EC15">PRODUCT(1+真實IC!$C15:EC15)-1</f>
        <v>7652.1478665717059</v>
      </c>
      <c r="ED15" s="9">
        <f t="array" ref="ED15">PRODUCT(1+真實IC!$C15:ED15)-1</f>
        <v>8519.6861773638848</v>
      </c>
      <c r="EE15" s="9">
        <f t="array" ref="EE15">PRODUCT(1+真實IC!$C15:EE15)-1</f>
        <v>8546.86887040691</v>
      </c>
      <c r="EF15" s="9">
        <f t="array" ref="EF15">PRODUCT(1+真實IC!$C15:EF15)-1</f>
        <v>8800.2627499881401</v>
      </c>
    </row>
    <row r="16" spans="1:136" ht="15" customHeight="1">
      <c r="A16" s="20">
        <v>9</v>
      </c>
      <c r="B16" s="20" t="s">
        <v>225</v>
      </c>
      <c r="C16" s="9">
        <f t="array" ref="C16">PRODUCT(1+真實IC!$C16:C16)-1</f>
        <v>0.20787511111111101</v>
      </c>
      <c r="D16" s="9">
        <f t="array" ref="D16">PRODUCT(1+真實IC!$C16:D16)-1</f>
        <v>0.70092422892449369</v>
      </c>
      <c r="E16" s="9">
        <f t="array" ref="E16">PRODUCT(1+真實IC!$C16:E16)-1</f>
        <v>0.81149261943414963</v>
      </c>
      <c r="F16" s="9">
        <f t="array" ref="F16">PRODUCT(1+真實IC!$C16:F16)-1</f>
        <v>0.66890012304417779</v>
      </c>
      <c r="G16" s="9">
        <f t="array" ref="G16">PRODUCT(1+真實IC!$C16:G16)-1</f>
        <v>0.682495902441284</v>
      </c>
      <c r="H16" s="9">
        <f t="array" ref="H16">PRODUCT(1+真實IC!$C16:H16)-1</f>
        <v>0.80506367255025069</v>
      </c>
      <c r="I16" s="9">
        <f t="array" ref="I16">PRODUCT(1+真實IC!$C16:I16)-1</f>
        <v>0.90891010236290537</v>
      </c>
      <c r="J16" s="9">
        <f t="array" ref="J16">PRODUCT(1+真實IC!$C16:J16)-1</f>
        <v>0.99807515206637509</v>
      </c>
      <c r="K16" s="9">
        <f t="array" ref="K16">PRODUCT(1+真實IC!$C16:K16)-1</f>
        <v>1.1707505881565718</v>
      </c>
      <c r="L16" s="9">
        <f t="array" ref="L16">PRODUCT(1+真實IC!$C16:L16)-1</f>
        <v>1.1033996744358769</v>
      </c>
      <c r="M16" s="9">
        <f t="array" ref="M16">PRODUCT(1+真實IC!$C16:M16)-1</f>
        <v>1.0739785063977276</v>
      </c>
      <c r="N16" s="9">
        <f t="array" ref="N16">PRODUCT(1+真實IC!$C16:N16)-1</f>
        <v>1.8351035000615608</v>
      </c>
      <c r="O16" s="9">
        <f t="array" ref="O16">PRODUCT(1+真實IC!$C16:O16)-1</f>
        <v>1.7540561783454378</v>
      </c>
      <c r="P16" s="9">
        <f t="array" ref="P16">PRODUCT(1+真實IC!$C16:P16)-1</f>
        <v>1.9221781761191337</v>
      </c>
      <c r="Q16" s="9">
        <f t="array" ref="Q16">PRODUCT(1+真實IC!$C16:Q16)-1</f>
        <v>2.383599082455337</v>
      </c>
      <c r="R16" s="9">
        <f t="array" ref="R16">PRODUCT(1+真實IC!$C16:R16)-1</f>
        <v>2.2178332532886373</v>
      </c>
      <c r="S16" s="9">
        <f t="array" ref="S16">PRODUCT(1+真實IC!$C16:S16)-1</f>
        <v>3.1415541861173537</v>
      </c>
      <c r="T16" s="9">
        <f t="array" ref="T16">PRODUCT(1+真實IC!$C16:T16)-1</f>
        <v>3.3006175046713535</v>
      </c>
      <c r="U16" s="9">
        <f t="array" ref="U16">PRODUCT(1+真實IC!$C16:U16)-1</f>
        <v>3.8599664460029306</v>
      </c>
      <c r="V16" s="9">
        <f t="array" ref="V16">PRODUCT(1+真實IC!$C16:V16)-1</f>
        <v>3.8306990217517649</v>
      </c>
      <c r="W16" s="9">
        <f t="array" ref="W16">PRODUCT(1+真實IC!$C16:W16)-1</f>
        <v>4.2092975431608588</v>
      </c>
      <c r="X16" s="9">
        <f t="array" ref="X16">PRODUCT(1+真實IC!$C16:X16)-1</f>
        <v>5.4623000999169173</v>
      </c>
      <c r="Y16" s="9">
        <f t="array" ref="Y16">PRODUCT(1+真實IC!$C16:Y16)-1</f>
        <v>5.3318870813563244</v>
      </c>
      <c r="Z16" s="9">
        <f t="array" ref="Z16">PRODUCT(1+真實IC!$C16:Z16)-1</f>
        <v>5.6045250376719977</v>
      </c>
      <c r="AA16" s="9">
        <f t="array" ref="AA16">PRODUCT(1+真實IC!$C16:AA16)-1</f>
        <v>6.7019255954769479</v>
      </c>
      <c r="AB16" s="9">
        <f t="array" ref="AB16">PRODUCT(1+真實IC!$C16:AB16)-1</f>
        <v>7.2794548069464149</v>
      </c>
      <c r="AC16" s="9">
        <f t="array" ref="AC16">PRODUCT(1+真實IC!$C16:AC16)-1</f>
        <v>7.1737638568467599</v>
      </c>
      <c r="AD16" s="9">
        <f t="array" ref="AD16">PRODUCT(1+真實IC!$C16:AD16)-1</f>
        <v>7.4583007504674512</v>
      </c>
      <c r="AE16" s="9">
        <f t="array" ref="AE16">PRODUCT(1+真實IC!$C16:AE16)-1</f>
        <v>9.2313994601332858</v>
      </c>
      <c r="AF16" s="9">
        <f t="array" ref="AF16">PRODUCT(1+真實IC!$C16:AF16)-1</f>
        <v>10.744783155138025</v>
      </c>
      <c r="AG16" s="9">
        <f t="array" ref="AG16">PRODUCT(1+真實IC!$C16:AG16)-1</f>
        <v>10.900880167520626</v>
      </c>
      <c r="AH16" s="9">
        <f t="array" ref="AH16">PRODUCT(1+真實IC!$C16:AH16)-1</f>
        <v>10.522843943298527</v>
      </c>
      <c r="AI16" s="9">
        <f t="array" ref="AI16">PRODUCT(1+真實IC!$C16:AI16)-1</f>
        <v>11.565927625893734</v>
      </c>
      <c r="AJ16" s="9">
        <f t="array" ref="AJ16">PRODUCT(1+真實IC!$C16:AJ16)-1</f>
        <v>11.477639844732554</v>
      </c>
      <c r="AK16" s="9">
        <f t="array" ref="AK16">PRODUCT(1+真實IC!$C16:AK16)-1</f>
        <v>12.281466882612046</v>
      </c>
      <c r="AL16" s="9">
        <f t="array" ref="AL16">PRODUCT(1+真實IC!$C16:AL16)-1</f>
        <v>12.089235358108747</v>
      </c>
      <c r="AM16" s="9">
        <f t="array" ref="AM16">PRODUCT(1+真實IC!$C16:AM16)-1</f>
        <v>12.954129236650028</v>
      </c>
      <c r="AN16" s="9">
        <f t="array" ref="AN16">PRODUCT(1+真實IC!$C16:AN16)-1</f>
        <v>14.439632810744035</v>
      </c>
      <c r="AO16" s="9">
        <f t="array" ref="AO16">PRODUCT(1+真實IC!$C16:AO16)-1</f>
        <v>13.805215930701591</v>
      </c>
      <c r="AP16" s="9">
        <f t="array" ref="AP16">PRODUCT(1+真實IC!$C16:AP16)-1</f>
        <v>14.957037570153245</v>
      </c>
      <c r="AQ16" s="9">
        <f t="array" ref="AQ16">PRODUCT(1+真實IC!$C16:AQ16)-1</f>
        <v>15.340525962060042</v>
      </c>
      <c r="AR16" s="9">
        <f t="array" ref="AR16">PRODUCT(1+真實IC!$C16:AR16)-1</f>
        <v>14.809585961272795</v>
      </c>
      <c r="AS16" s="9">
        <f t="array" ref="AS16">PRODUCT(1+真實IC!$C16:AS16)-1</f>
        <v>13.977326382050375</v>
      </c>
      <c r="AT16" s="9">
        <f t="array" ref="AT16">PRODUCT(1+真實IC!$C16:AT16)-1</f>
        <v>15.813008062011363</v>
      </c>
      <c r="AU16" s="9">
        <f t="array" ref="AU16">PRODUCT(1+真實IC!$C16:AU16)-1</f>
        <v>18.675196643015965</v>
      </c>
      <c r="AV16" s="9">
        <f t="array" ref="AV16">PRODUCT(1+真實IC!$C16:AV16)-1</f>
        <v>19.699897321566329</v>
      </c>
      <c r="AW16" s="9">
        <f t="array" ref="AW16">PRODUCT(1+真實IC!$C16:AW16)-1</f>
        <v>21.955874361043179</v>
      </c>
      <c r="AX16" s="9">
        <f t="array" ref="AX16">PRODUCT(1+真實IC!$C16:AX16)-1</f>
        <v>24.26572494993616</v>
      </c>
      <c r="AY16" s="9">
        <f t="array" ref="AY16">PRODUCT(1+真實IC!$C16:AY16)-1</f>
        <v>25.120024544788411</v>
      </c>
      <c r="AZ16" s="9">
        <f t="array" ref="AZ16">PRODUCT(1+真實IC!$C16:AZ16)-1</f>
        <v>26.343170151946811</v>
      </c>
      <c r="BA16" s="9">
        <f t="array" ref="BA16">PRODUCT(1+真實IC!$C16:BA16)-1</f>
        <v>30.717834325856952</v>
      </c>
      <c r="BB16" s="9">
        <f t="array" ref="BB16">PRODUCT(1+真實IC!$C16:BB16)-1</f>
        <v>37.869367444353912</v>
      </c>
      <c r="BC16" s="9">
        <f t="array" ref="BC16">PRODUCT(1+真實IC!$C16:BC16)-1</f>
        <v>36.353485749622322</v>
      </c>
      <c r="BD16" s="9">
        <f t="array" ref="BD16">PRODUCT(1+真實IC!$C16:BD16)-1</f>
        <v>36.588219204460259</v>
      </c>
      <c r="BE16" s="9">
        <f t="array" ref="BE16">PRODUCT(1+真實IC!$C16:BE16)-1</f>
        <v>38.888529659164512</v>
      </c>
      <c r="BF16" s="9">
        <f t="array" ref="BF16">PRODUCT(1+真實IC!$C16:BF16)-1</f>
        <v>48.772383137544438</v>
      </c>
      <c r="BG16" s="9">
        <f t="array" ref="BG16">PRODUCT(1+真實IC!$C16:BG16)-1</f>
        <v>56.797163047998119</v>
      </c>
      <c r="BH16" s="9">
        <f t="array" ref="BH16">PRODUCT(1+真實IC!$C16:BH16)-1</f>
        <v>62.355055835468825</v>
      </c>
      <c r="BI16" s="9">
        <f t="array" ref="BI16">PRODUCT(1+真實IC!$C16:BI16)-1</f>
        <v>64.98073059034472</v>
      </c>
      <c r="BJ16" s="9">
        <f t="array" ref="BJ16">PRODUCT(1+真實IC!$C16:BJ16)-1</f>
        <v>70.353468170393626</v>
      </c>
      <c r="BK16" s="9">
        <f t="array" ref="BK16">PRODUCT(1+真實IC!$C16:BK16)-1</f>
        <v>62.877535393450714</v>
      </c>
      <c r="BL16" s="9">
        <f t="array" ref="BL16">PRODUCT(1+真實IC!$C16:BL16)-1</f>
        <v>66.785154159664742</v>
      </c>
      <c r="BM16" s="9">
        <f t="array" ref="BM16">PRODUCT(1+真實IC!$C16:BM16)-1</f>
        <v>69.462531195175572</v>
      </c>
      <c r="BN16" s="9">
        <f t="array" ref="BN16">PRODUCT(1+真實IC!$C16:BN16)-1</f>
        <v>64.727496073880573</v>
      </c>
      <c r="BO16" s="9">
        <f t="array" ref="BO16">PRODUCT(1+真實IC!$C16:BO16)-1</f>
        <v>66.166294621790442</v>
      </c>
      <c r="BP16" s="9">
        <f t="array" ref="BP16">PRODUCT(1+真實IC!$C16:BP16)-1</f>
        <v>62.287515736598294</v>
      </c>
      <c r="BQ16" s="9">
        <f t="array" ref="BQ16">PRODUCT(1+真實IC!$C16:BQ16)-1</f>
        <v>63.330368449640005</v>
      </c>
      <c r="BR16" s="9">
        <f t="array" ref="BR16">PRODUCT(1+真實IC!$C16:BR16)-1</f>
        <v>71.730818908803286</v>
      </c>
      <c r="BS16" s="9">
        <f t="array" ref="BS16">PRODUCT(1+真實IC!$C16:BS16)-1</f>
        <v>74.058713298145264</v>
      </c>
      <c r="BT16" s="9">
        <f t="array" ref="BT16">PRODUCT(1+真實IC!$C16:BT16)-1</f>
        <v>76.915848239410266</v>
      </c>
      <c r="BU16" s="9">
        <f t="array" ref="BU16">PRODUCT(1+真實IC!$C16:BU16)-1</f>
        <v>84.827207036728211</v>
      </c>
      <c r="BV16" s="9">
        <f t="array" ref="BV16">PRODUCT(1+真實IC!$C16:BV16)-1</f>
        <v>87.967250157380391</v>
      </c>
      <c r="BW16" s="9">
        <f t="array" ref="BW16">PRODUCT(1+真實IC!$C16:BW16)-1</f>
        <v>116.25624093650632</v>
      </c>
      <c r="BX16" s="9">
        <f t="array" ref="BX16">PRODUCT(1+真實IC!$C16:BX16)-1</f>
        <v>119.07964093354525</v>
      </c>
      <c r="BY16" s="9">
        <f t="array" ref="BY16">PRODUCT(1+真實IC!$C16:BY16)-1</f>
        <v>103.16207474719722</v>
      </c>
      <c r="BZ16" s="9">
        <f t="array" ref="BZ16">PRODUCT(1+真實IC!$C16:BZ16)-1</f>
        <v>114.7788385150706</v>
      </c>
      <c r="CA16" s="9">
        <f t="array" ref="CA16">PRODUCT(1+真實IC!$C16:CA16)-1</f>
        <v>118.21913604815381</v>
      </c>
      <c r="CB16" s="9">
        <f t="array" ref="CB16">PRODUCT(1+真實IC!$C16:CB16)-1</f>
        <v>134.82743467188607</v>
      </c>
      <c r="CC16" s="9">
        <f t="array" ref="CC16">PRODUCT(1+真實IC!$C16:CC16)-1</f>
        <v>140.85631646304398</v>
      </c>
      <c r="CD16" s="9">
        <f t="array" ref="CD16">PRODUCT(1+真實IC!$C16:CD16)-1</f>
        <v>162.85415584519981</v>
      </c>
      <c r="CE16" s="9">
        <f t="array" ref="CE16">PRODUCT(1+真實IC!$C16:CE16)-1</f>
        <v>178.19316237845771</v>
      </c>
      <c r="CF16" s="9">
        <f t="array" ref="CF16">PRODUCT(1+真實IC!$C16:CF16)-1</f>
        <v>197.04450956257602</v>
      </c>
      <c r="CG16" s="9">
        <f t="array" ref="CG16">PRODUCT(1+真實IC!$C16:CG16)-1</f>
        <v>209.26937691647106</v>
      </c>
      <c r="CH16" s="9">
        <f t="array" ref="CH16">PRODUCT(1+真實IC!$C16:CH16)-1</f>
        <v>218.03706632510426</v>
      </c>
      <c r="CI16" s="9">
        <f t="array" ref="CI16">PRODUCT(1+真實IC!$C16:CI16)-1</f>
        <v>226.51596527861417</v>
      </c>
      <c r="CJ16" s="9">
        <f t="array" ref="CJ16">PRODUCT(1+真實IC!$C16:CJ16)-1</f>
        <v>233.27395970127054</v>
      </c>
      <c r="CK16" s="9">
        <f t="array" ref="CK16">PRODUCT(1+真實IC!$C16:CK16)-1</f>
        <v>253.98909336384483</v>
      </c>
      <c r="CL16" s="9">
        <f t="array" ref="CL16">PRODUCT(1+真實IC!$C16:CL16)-1</f>
        <v>258.03798417618486</v>
      </c>
      <c r="CM16" s="9">
        <f t="array" ref="CM16">PRODUCT(1+真實IC!$C16:CM16)-1</f>
        <v>287.32335078523403</v>
      </c>
      <c r="CN16" s="9">
        <f t="array" ref="CN16">PRODUCT(1+真實IC!$C16:CN16)-1</f>
        <v>333.55885918925497</v>
      </c>
      <c r="CO16" s="9">
        <f t="array" ref="CO16">PRODUCT(1+真實IC!$C16:CO16)-1</f>
        <v>403.66466445578578</v>
      </c>
      <c r="CP16" s="9">
        <f t="array" ref="CP16">PRODUCT(1+真實IC!$C16:CP16)-1</f>
        <v>458.95468123408341</v>
      </c>
      <c r="CQ16" s="9">
        <f t="array" ref="CQ16">PRODUCT(1+真實IC!$C16:CQ16)-1</f>
        <v>449.60206401852525</v>
      </c>
      <c r="CR16" s="9">
        <f t="array" ref="CR16">PRODUCT(1+真實IC!$C16:CR16)-1</f>
        <v>534.89496668984657</v>
      </c>
      <c r="CS16" s="9">
        <f t="array" ref="CS16">PRODUCT(1+真實IC!$C16:CS16)-1</f>
        <v>556.78744840013894</v>
      </c>
      <c r="CT16" s="9">
        <f t="array" ref="CT16">PRODUCT(1+真實IC!$C16:CT16)-1</f>
        <v>584.06542380031613</v>
      </c>
      <c r="CU16" s="9">
        <f t="array" ref="CU16">PRODUCT(1+真實IC!$C16:CU16)-1</f>
        <v>663.3252318793825</v>
      </c>
      <c r="CV16" s="9">
        <f t="array" ref="CV16">PRODUCT(1+真實IC!$C16:CV16)-1</f>
        <v>777.75626459777175</v>
      </c>
      <c r="CW16" s="9">
        <f t="array" ref="CW16">PRODUCT(1+真實IC!$C16:CW16)-1</f>
        <v>814.62387825619476</v>
      </c>
      <c r="CX16" s="9">
        <f t="array" ref="CX16">PRODUCT(1+真實IC!$C16:CX16)-1</f>
        <v>824.60734677841629</v>
      </c>
      <c r="CY16" s="9">
        <f t="array" ref="CY16">PRODUCT(1+真實IC!$C16:CY16)-1</f>
        <v>872.95041803242793</v>
      </c>
      <c r="CZ16" s="9">
        <f t="array" ref="CZ16">PRODUCT(1+真實IC!$C16:CZ16)-1</f>
        <v>962.64679779518735</v>
      </c>
      <c r="DA16" s="9">
        <f t="array" ref="DA16">PRODUCT(1+真實IC!$C16:DA16)-1</f>
        <v>1076.5311117179547</v>
      </c>
      <c r="DB16" s="9">
        <f t="array" ref="DB16">PRODUCT(1+真實IC!$C16:DB16)-1</f>
        <v>1182.1471195181762</v>
      </c>
      <c r="DC16" s="9">
        <f t="array" ref="DC16">PRODUCT(1+真實IC!$C16:DC16)-1</f>
        <v>1232.9542518029821</v>
      </c>
      <c r="DD16" s="9">
        <f t="array" ref="DD16">PRODUCT(1+真實IC!$C16:DD16)-1</f>
        <v>1272.1245383267642</v>
      </c>
      <c r="DE16" s="9">
        <f t="array" ref="DE16">PRODUCT(1+真實IC!$C16:DE16)-1</f>
        <v>1316.1140470816304</v>
      </c>
      <c r="DF16" s="9">
        <f t="array" ref="DF16">PRODUCT(1+真實IC!$C16:DF16)-1</f>
        <v>1744.9412092985094</v>
      </c>
      <c r="DG16" s="9">
        <f t="array" ref="DG16">PRODUCT(1+真實IC!$C16:DG16)-1</f>
        <v>1824.6905659156373</v>
      </c>
      <c r="DH16" s="9">
        <f t="array" ref="DH16">PRODUCT(1+真實IC!$C16:DH16)-1</f>
        <v>2075.0830127584304</v>
      </c>
      <c r="DI16" s="9">
        <f t="array" ref="DI16">PRODUCT(1+真實IC!$C16:DI16)-1</f>
        <v>2174.3795258238724</v>
      </c>
      <c r="DJ16" s="9">
        <f t="array" ref="DJ16">PRODUCT(1+真實IC!$C16:DJ16)-1</f>
        <v>2328.7336941488325</v>
      </c>
      <c r="DK16" s="9">
        <f t="array" ref="DK16">PRODUCT(1+真實IC!$C16:DK16)-1</f>
        <v>2552.9806577233326</v>
      </c>
      <c r="DL16" s="9">
        <f t="array" ref="DL16">PRODUCT(1+真實IC!$C16:DL16)-1</f>
        <v>2497.1177599605944</v>
      </c>
      <c r="DM16" s="9">
        <f t="array" ref="DM16">PRODUCT(1+真實IC!$C16:DM16)-1</f>
        <v>2401.8512064785773</v>
      </c>
      <c r="DN16" s="9">
        <f t="array" ref="DN16">PRODUCT(1+真實IC!$C16:DN16)-1</f>
        <v>2503.8230536235897</v>
      </c>
      <c r="DO16" s="9">
        <f t="array" ref="DO16">PRODUCT(1+真實IC!$C16:DO16)-1</f>
        <v>2928.6176651696501</v>
      </c>
      <c r="DP16" s="9">
        <f t="array" ref="DP16">PRODUCT(1+真實IC!$C16:DP16)-1</f>
        <v>3398.3349677132032</v>
      </c>
      <c r="DQ16" s="9">
        <f t="array" ref="DQ16">PRODUCT(1+真實IC!$C16:DQ16)-1</f>
        <v>3558.3421949551234</v>
      </c>
      <c r="DR16" s="9">
        <f t="array" ref="DR16">PRODUCT(1+真實IC!$C16:DR16)-1</f>
        <v>3754.7867457436296</v>
      </c>
      <c r="DS16" s="9">
        <f t="array" ref="DS16">PRODUCT(1+真實IC!$C16:DS16)-1</f>
        <v>3835.3103962627347</v>
      </c>
      <c r="DT16" s="9">
        <f t="array" ref="DT16">PRODUCT(1+真實IC!$C16:DT16)-1</f>
        <v>4062.0861171091997</v>
      </c>
      <c r="DU16" s="9">
        <f t="array" ref="DU16">PRODUCT(1+真實IC!$C16:DU16)-1</f>
        <v>4560.9233889650477</v>
      </c>
      <c r="DV16" s="9">
        <f t="array" ref="DV16">PRODUCT(1+真實IC!$C16:DV16)-1</f>
        <v>5185.6958222630719</v>
      </c>
      <c r="DW16" s="9">
        <f t="array" ref="DW16">PRODUCT(1+真實IC!$C16:DW16)-1</f>
        <v>4815.8682737487125</v>
      </c>
      <c r="DX16" s="9">
        <f t="array" ref="DX16">PRODUCT(1+真實IC!$C16:DX16)-1</f>
        <v>5419.3482008266046</v>
      </c>
      <c r="DY16" s="9">
        <f t="array" ref="DY16">PRODUCT(1+真實IC!$C16:DY16)-1</f>
        <v>6273.4421030054327</v>
      </c>
      <c r="DZ16" s="9">
        <f t="array" ref="DZ16">PRODUCT(1+真實IC!$C16:DZ16)-1</f>
        <v>6642.4448317241167</v>
      </c>
      <c r="EA16" s="9">
        <f t="array" ref="EA16">PRODUCT(1+真實IC!$C16:EA16)-1</f>
        <v>6645.2385015235759</v>
      </c>
      <c r="EB16" s="9">
        <f t="array" ref="EB16">PRODUCT(1+真實IC!$C16:EB16)-1</f>
        <v>7314.3758167431615</v>
      </c>
      <c r="EC16" s="9">
        <f t="array" ref="EC16">PRODUCT(1+真實IC!$C16:EC16)-1</f>
        <v>7779.1367605894084</v>
      </c>
      <c r="ED16" s="9">
        <f t="array" ref="ED16">PRODUCT(1+真實IC!$C16:ED16)-1</f>
        <v>8677.0948405934305</v>
      </c>
      <c r="EE16" s="9">
        <f t="array" ref="EE16">PRODUCT(1+真實IC!$C16:EE16)-1</f>
        <v>8715.2447097454387</v>
      </c>
      <c r="EF16" s="9">
        <f t="array" ref="EF16">PRODUCT(1+真實IC!$C16:EF16)-1</f>
        <v>9016.3774058642612</v>
      </c>
    </row>
    <row r="17" spans="1:136" ht="15" customHeight="1">
      <c r="A17" s="20">
        <v>8</v>
      </c>
      <c r="B17" s="20" t="s">
        <v>226</v>
      </c>
      <c r="C17" s="9">
        <f t="array" ref="C17">PRODUCT(1+真實IC!$C17:C17)-1</f>
        <v>0.20609237499999988</v>
      </c>
      <c r="D17" s="9">
        <f t="array" ref="D17">PRODUCT(1+真實IC!$C17:D17)-1</f>
        <v>0.73627656222614046</v>
      </c>
      <c r="E17" s="9">
        <f t="array" ref="E17">PRODUCT(1+真實IC!$C17:E17)-1</f>
        <v>0.87446334126059444</v>
      </c>
      <c r="F17" s="9">
        <f t="array" ref="F17">PRODUCT(1+真實IC!$C17:F17)-1</f>
        <v>0.72309636982961445</v>
      </c>
      <c r="G17" s="9">
        <f t="array" ref="G17">PRODUCT(1+真實IC!$C17:G17)-1</f>
        <v>0.90468845560965128</v>
      </c>
      <c r="H17" s="9">
        <f t="array" ref="H17">PRODUCT(1+真實IC!$C17:H17)-1</f>
        <v>1.1046707438342724</v>
      </c>
      <c r="I17" s="9">
        <f t="array" ref="I17">PRODUCT(1+真實IC!$C17:I17)-1</f>
        <v>1.3440244826912759</v>
      </c>
      <c r="J17" s="9">
        <f t="array" ref="J17">PRODUCT(1+真實IC!$C17:J17)-1</f>
        <v>1.4421415856545701</v>
      </c>
      <c r="K17" s="9">
        <f t="array" ref="K17">PRODUCT(1+真實IC!$C17:K17)-1</f>
        <v>1.6901656797868165</v>
      </c>
      <c r="L17" s="9">
        <f t="array" ref="L17">PRODUCT(1+真實IC!$C17:L17)-1</f>
        <v>1.5993056702227268</v>
      </c>
      <c r="M17" s="9">
        <f t="array" ref="M17">PRODUCT(1+真實IC!$C17:M17)-1</f>
        <v>1.6374092613786142</v>
      </c>
      <c r="N17" s="9">
        <f t="array" ref="N17">PRODUCT(1+真實IC!$C17:N17)-1</f>
        <v>2.7058455117894975</v>
      </c>
      <c r="O17" s="9">
        <f t="array" ref="O17">PRODUCT(1+真實IC!$C17:O17)-1</f>
        <v>2.6639447170439752</v>
      </c>
      <c r="P17" s="9">
        <f t="array" ref="P17">PRODUCT(1+真實IC!$C17:P17)-1</f>
        <v>2.9070084981322251</v>
      </c>
      <c r="Q17" s="9">
        <f t="array" ref="Q17">PRODUCT(1+真實IC!$C17:Q17)-1</f>
        <v>3.5391675312023212</v>
      </c>
      <c r="R17" s="9">
        <f t="array" ref="R17">PRODUCT(1+真實IC!$C17:R17)-1</f>
        <v>3.3028693231108619</v>
      </c>
      <c r="S17" s="9">
        <f t="array" ref="S17">PRODUCT(1+真實IC!$C17:S17)-1</f>
        <v>4.6395704486024298</v>
      </c>
      <c r="T17" s="9">
        <f t="array" ref="T17">PRODUCT(1+真實IC!$C17:T17)-1</f>
        <v>4.7712126040439067</v>
      </c>
      <c r="U17" s="9">
        <f t="array" ref="U17">PRODUCT(1+真實IC!$C17:U17)-1</f>
        <v>5.5865184024501096</v>
      </c>
      <c r="V17" s="9">
        <f t="array" ref="V17">PRODUCT(1+真實IC!$C17:V17)-1</f>
        <v>5.6129381780791388</v>
      </c>
      <c r="W17" s="9">
        <f t="array" ref="W17">PRODUCT(1+真實IC!$C17:W17)-1</f>
        <v>6.13630015798595</v>
      </c>
      <c r="X17" s="9">
        <f t="array" ref="X17">PRODUCT(1+真實IC!$C17:X17)-1</f>
        <v>7.8346641743160994</v>
      </c>
      <c r="Y17" s="9">
        <f t="array" ref="Y17">PRODUCT(1+真實IC!$C17:Y17)-1</f>
        <v>7.6321028963925386</v>
      </c>
      <c r="Z17" s="9">
        <f t="array" ref="Z17">PRODUCT(1+真實IC!$C17:Z17)-1</f>
        <v>8.0971012388245125</v>
      </c>
      <c r="AA17" s="9">
        <f t="array" ref="AA17">PRODUCT(1+真實IC!$C17:AA17)-1</f>
        <v>9.8372260297542944</v>
      </c>
      <c r="AB17" s="9">
        <f t="array" ref="AB17">PRODUCT(1+真實IC!$C17:AB17)-1</f>
        <v>10.756787014255972</v>
      </c>
      <c r="AC17" s="9">
        <f t="array" ref="AC17">PRODUCT(1+真實IC!$C17:AC17)-1</f>
        <v>10.520637195386962</v>
      </c>
      <c r="AD17" s="9">
        <f t="array" ref="AD17">PRODUCT(1+真實IC!$C17:AD17)-1</f>
        <v>11.311181879654766</v>
      </c>
      <c r="AE17" s="9">
        <f t="array" ref="AE17">PRODUCT(1+真實IC!$C17:AE17)-1</f>
        <v>14.045774893474222</v>
      </c>
      <c r="AF17" s="9">
        <f t="array" ref="AF17">PRODUCT(1+真實IC!$C17:AF17)-1</f>
        <v>15.855575857009448</v>
      </c>
      <c r="AG17" s="9">
        <f t="array" ref="AG17">PRODUCT(1+真實IC!$C17:AG17)-1</f>
        <v>16.238888183740841</v>
      </c>
      <c r="AH17" s="9">
        <f t="array" ref="AH17">PRODUCT(1+真實IC!$C17:AH17)-1</f>
        <v>15.627379668234987</v>
      </c>
      <c r="AI17" s="9">
        <f t="array" ref="AI17">PRODUCT(1+真實IC!$C17:AI17)-1</f>
        <v>17.537285712249254</v>
      </c>
      <c r="AJ17" s="9">
        <f t="array" ref="AJ17">PRODUCT(1+真實IC!$C17:AJ17)-1</f>
        <v>16.74754857822596</v>
      </c>
      <c r="AK17" s="9">
        <f t="array" ref="AK17">PRODUCT(1+真實IC!$C17:AK17)-1</f>
        <v>18.055831745162862</v>
      </c>
      <c r="AL17" s="9">
        <f t="array" ref="AL17">PRODUCT(1+真實IC!$C17:AL17)-1</f>
        <v>17.865561647166381</v>
      </c>
      <c r="AM17" s="9">
        <f t="array" ref="AM17">PRODUCT(1+真實IC!$C17:AM17)-1</f>
        <v>19.287447097699268</v>
      </c>
      <c r="AN17" s="9">
        <f t="array" ref="AN17">PRODUCT(1+真實IC!$C17:AN17)-1</f>
        <v>21.585753558567767</v>
      </c>
      <c r="AO17" s="9">
        <f t="array" ref="AO17">PRODUCT(1+真實IC!$C17:AO17)-1</f>
        <v>19.853549858392437</v>
      </c>
      <c r="AP17" s="9">
        <f t="array" ref="AP17">PRODUCT(1+真實IC!$C17:AP17)-1</f>
        <v>21.46433674009382</v>
      </c>
      <c r="AQ17" s="9">
        <f t="array" ref="AQ17">PRODUCT(1+真實IC!$C17:AQ17)-1</f>
        <v>21.671690992331165</v>
      </c>
      <c r="AR17" s="9">
        <f t="array" ref="AR17">PRODUCT(1+真實IC!$C17:AR17)-1</f>
        <v>20.878258324556672</v>
      </c>
      <c r="AS17" s="9">
        <f t="array" ref="AS17">PRODUCT(1+真實IC!$C17:AS17)-1</f>
        <v>19.591752042282931</v>
      </c>
      <c r="AT17" s="9">
        <f t="array" ref="AT17">PRODUCT(1+真實IC!$C17:AT17)-1</f>
        <v>22.208382897515737</v>
      </c>
      <c r="AU17" s="9">
        <f t="array" ref="AU17">PRODUCT(1+真實IC!$C17:AU17)-1</f>
        <v>26.329324286803736</v>
      </c>
      <c r="AV17" s="9">
        <f t="array" ref="AV17">PRODUCT(1+真實IC!$C17:AV17)-1</f>
        <v>27.928894587997924</v>
      </c>
      <c r="AW17" s="9">
        <f t="array" ref="AW17">PRODUCT(1+真實IC!$C17:AW17)-1</f>
        <v>30.132975791036934</v>
      </c>
      <c r="AX17" s="9">
        <f t="array" ref="AX17">PRODUCT(1+真實IC!$C17:AX17)-1</f>
        <v>33.172149027406107</v>
      </c>
      <c r="AY17" s="9">
        <f t="array" ref="AY17">PRODUCT(1+真實IC!$C17:AY17)-1</f>
        <v>34.109275677599705</v>
      </c>
      <c r="AZ17" s="9">
        <f t="array" ref="AZ17">PRODUCT(1+真實IC!$C17:AZ17)-1</f>
        <v>35.793866999864996</v>
      </c>
      <c r="BA17" s="9">
        <f t="array" ref="BA17">PRODUCT(1+真實IC!$C17:BA17)-1</f>
        <v>41.784147707578519</v>
      </c>
      <c r="BB17" s="9">
        <f t="array" ref="BB17">PRODUCT(1+真實IC!$C17:BB17)-1</f>
        <v>51.643414196664644</v>
      </c>
      <c r="BC17" s="9">
        <f t="array" ref="BC17">PRODUCT(1+真實IC!$C17:BC17)-1</f>
        <v>50.206626738205685</v>
      </c>
      <c r="BD17" s="9">
        <f t="array" ref="BD17">PRODUCT(1+真實IC!$C17:BD17)-1</f>
        <v>51.200758590529553</v>
      </c>
      <c r="BE17" s="9">
        <f t="array" ref="BE17">PRODUCT(1+真實IC!$C17:BE17)-1</f>
        <v>53.503347276750567</v>
      </c>
      <c r="BF17" s="9">
        <f t="array" ref="BF17">PRODUCT(1+真實IC!$C17:BF17)-1</f>
        <v>61.557679176967461</v>
      </c>
      <c r="BG17" s="9">
        <f t="array" ref="BG17">PRODUCT(1+真實IC!$C17:BG17)-1</f>
        <v>73.17786680829451</v>
      </c>
      <c r="BH17" s="9">
        <f t="array" ref="BH17">PRODUCT(1+真實IC!$C17:BH17)-1</f>
        <v>83.057699472589235</v>
      </c>
      <c r="BI17" s="9">
        <f t="array" ref="BI17">PRODUCT(1+真實IC!$C17:BI17)-1</f>
        <v>90.380129202852899</v>
      </c>
      <c r="BJ17" s="9">
        <f t="array" ref="BJ17">PRODUCT(1+真實IC!$C17:BJ17)-1</f>
        <v>98.530551376778362</v>
      </c>
      <c r="BK17" s="9">
        <f t="array" ref="BK17">PRODUCT(1+真實IC!$C17:BK17)-1</f>
        <v>87.102839148583257</v>
      </c>
      <c r="BL17" s="9">
        <f t="array" ref="BL17">PRODUCT(1+真實IC!$C17:BL17)-1</f>
        <v>90.111766721726028</v>
      </c>
      <c r="BM17" s="9">
        <f t="array" ref="BM17">PRODUCT(1+真實IC!$C17:BM17)-1</f>
        <v>92.759384567003366</v>
      </c>
      <c r="BN17" s="9">
        <f t="array" ref="BN17">PRODUCT(1+真實IC!$C17:BN17)-1</f>
        <v>85.853255818567035</v>
      </c>
      <c r="BO17" s="9">
        <f t="array" ref="BO17">PRODUCT(1+真實IC!$C17:BO17)-1</f>
        <v>88.908719955954538</v>
      </c>
      <c r="BP17" s="9">
        <f t="array" ref="BP17">PRODUCT(1+真實IC!$C17:BP17)-1</f>
        <v>83.456936142575316</v>
      </c>
      <c r="BQ17" s="9">
        <f t="array" ref="BQ17">PRODUCT(1+真實IC!$C17:BQ17)-1</f>
        <v>84.417761358876618</v>
      </c>
      <c r="BR17" s="9">
        <f t="array" ref="BR17">PRODUCT(1+真實IC!$C17:BR17)-1</f>
        <v>94.242713260566731</v>
      </c>
      <c r="BS17" s="9">
        <f t="array" ref="BS17">PRODUCT(1+真實IC!$C17:BS17)-1</f>
        <v>96.233859158713926</v>
      </c>
      <c r="BT17" s="9">
        <f t="array" ref="BT17">PRODUCT(1+真實IC!$C17:BT17)-1</f>
        <v>99.505511126291964</v>
      </c>
      <c r="BU17" s="9">
        <f t="array" ref="BU17">PRODUCT(1+真實IC!$C17:BU17)-1</f>
        <v>110.01078686082317</v>
      </c>
      <c r="BV17" s="9">
        <f t="array" ref="BV17">PRODUCT(1+真實IC!$C17:BV17)-1</f>
        <v>114.25594553244225</v>
      </c>
      <c r="BW17" s="9">
        <f t="array" ref="BW17">PRODUCT(1+真實IC!$C17:BW17)-1</f>
        <v>138.26800334667632</v>
      </c>
      <c r="BX17" s="9">
        <f t="array" ref="BX17">PRODUCT(1+真實IC!$C17:BX17)-1</f>
        <v>139.25631873242602</v>
      </c>
      <c r="BY17" s="9">
        <f t="array" ref="BY17">PRODUCT(1+真實IC!$C17:BY17)-1</f>
        <v>119.27296659452884</v>
      </c>
      <c r="BZ17" s="9">
        <f t="array" ref="BZ17">PRODUCT(1+真實IC!$C17:BZ17)-1</f>
        <v>133.77525910884449</v>
      </c>
      <c r="CA17" s="9">
        <f t="array" ref="CA17">PRODUCT(1+真實IC!$C17:CA17)-1</f>
        <v>137.54018337812207</v>
      </c>
      <c r="CB17" s="9">
        <f t="array" ref="CB17">PRODUCT(1+真實IC!$C17:CB17)-1</f>
        <v>158.27041859010939</v>
      </c>
      <c r="CC17" s="9">
        <f t="array" ref="CC17">PRODUCT(1+真實IC!$C17:CC17)-1</f>
        <v>164.92131236480446</v>
      </c>
      <c r="CD17" s="9">
        <f t="array" ref="CD17">PRODUCT(1+真實IC!$C17:CD17)-1</f>
        <v>193.61901961416257</v>
      </c>
      <c r="CE17" s="9">
        <f t="array" ref="CE17">PRODUCT(1+真實IC!$C17:CE17)-1</f>
        <v>212.24554376126247</v>
      </c>
      <c r="CF17" s="9">
        <f t="array" ref="CF17">PRODUCT(1+真實IC!$C17:CF17)-1</f>
        <v>233.30273032576915</v>
      </c>
      <c r="CG17" s="9">
        <f t="array" ref="CG17">PRODUCT(1+真實IC!$C17:CG17)-1</f>
        <v>250.80865615773962</v>
      </c>
      <c r="CH17" s="9">
        <f t="array" ref="CH17">PRODUCT(1+真實IC!$C17:CH17)-1</f>
        <v>265.57382097972589</v>
      </c>
      <c r="CI17" s="9">
        <f t="array" ref="CI17">PRODUCT(1+真實IC!$C17:CI17)-1</f>
        <v>269.44745448576379</v>
      </c>
      <c r="CJ17" s="9">
        <f t="array" ref="CJ17">PRODUCT(1+真實IC!$C17:CJ17)-1</f>
        <v>275.11355244746483</v>
      </c>
      <c r="CK17" s="9">
        <f t="array" ref="CK17">PRODUCT(1+真實IC!$C17:CK17)-1</f>
        <v>298.2948999591718</v>
      </c>
      <c r="CL17" s="9">
        <f t="array" ref="CL17">PRODUCT(1+真實IC!$C17:CL17)-1</f>
        <v>295.47364304454391</v>
      </c>
      <c r="CM17" s="9">
        <f t="array" ref="CM17">PRODUCT(1+真實IC!$C17:CM17)-1</f>
        <v>323.78468946218038</v>
      </c>
      <c r="CN17" s="9">
        <f t="array" ref="CN17">PRODUCT(1+真實IC!$C17:CN17)-1</f>
        <v>381.11934595659778</v>
      </c>
      <c r="CO17" s="9">
        <f t="array" ref="CO17">PRODUCT(1+真實IC!$C17:CO17)-1</f>
        <v>456.80968929843539</v>
      </c>
      <c r="CP17" s="9">
        <f t="array" ref="CP17">PRODUCT(1+真實IC!$C17:CP17)-1</f>
        <v>524.63843829635459</v>
      </c>
      <c r="CQ17" s="9">
        <f t="array" ref="CQ17">PRODUCT(1+真實IC!$C17:CQ17)-1</f>
        <v>551.92280703338713</v>
      </c>
      <c r="CR17" s="9">
        <f t="array" ref="CR17">PRODUCT(1+真實IC!$C17:CR17)-1</f>
        <v>660.51830149613681</v>
      </c>
      <c r="CS17" s="9">
        <f t="array" ref="CS17">PRODUCT(1+真實IC!$C17:CS17)-1</f>
        <v>681.2541340402787</v>
      </c>
      <c r="CT17" s="9">
        <f t="array" ref="CT17">PRODUCT(1+真實IC!$C17:CT17)-1</f>
        <v>721.27123858181074</v>
      </c>
      <c r="CU17" s="9">
        <f t="array" ref="CU17">PRODUCT(1+真實IC!$C17:CU17)-1</f>
        <v>833.47744261032165</v>
      </c>
      <c r="CV17" s="9">
        <f t="array" ref="CV17">PRODUCT(1+真實IC!$C17:CV17)-1</f>
        <v>959.87689647806849</v>
      </c>
      <c r="CW17" s="9">
        <f t="array" ref="CW17">PRODUCT(1+真實IC!$C17:CW17)-1</f>
        <v>1020.78997582068</v>
      </c>
      <c r="CX17" s="9">
        <f t="array" ref="CX17">PRODUCT(1+真實IC!$C17:CX17)-1</f>
        <v>1031.7971005608354</v>
      </c>
      <c r="CY17" s="9">
        <f t="array" ref="CY17">PRODUCT(1+真實IC!$C17:CY17)-1</f>
        <v>1093.2465915496414</v>
      </c>
      <c r="CZ17" s="9">
        <f t="array" ref="CZ17">PRODUCT(1+真實IC!$C17:CZ17)-1</f>
        <v>1229.2054588684043</v>
      </c>
      <c r="DA17" s="9">
        <f t="array" ref="DA17">PRODUCT(1+真實IC!$C17:DA17)-1</f>
        <v>1345.454492582586</v>
      </c>
      <c r="DB17" s="9">
        <f t="array" ref="DB17">PRODUCT(1+真實IC!$C17:DB17)-1</f>
        <v>1485.8506489786648</v>
      </c>
      <c r="DC17" s="9">
        <f t="array" ref="DC17">PRODUCT(1+真實IC!$C17:DC17)-1</f>
        <v>1550.3256509698258</v>
      </c>
      <c r="DD17" s="9">
        <f t="array" ref="DD17">PRODUCT(1+真實IC!$C17:DD17)-1</f>
        <v>1595.5552032502601</v>
      </c>
      <c r="DE17" s="9">
        <f t="array" ref="DE17">PRODUCT(1+真實IC!$C17:DE17)-1</f>
        <v>1634.0718793541705</v>
      </c>
      <c r="DF17" s="9">
        <f t="array" ref="DF17">PRODUCT(1+真實IC!$C17:DF17)-1</f>
        <v>2209.9889553554067</v>
      </c>
      <c r="DG17" s="9">
        <f t="array" ref="DG17">PRODUCT(1+真實IC!$C17:DG17)-1</f>
        <v>2314.3722313003104</v>
      </c>
      <c r="DH17" s="9">
        <f t="array" ref="DH17">PRODUCT(1+真實IC!$C17:DH17)-1</f>
        <v>2692.7813294430007</v>
      </c>
      <c r="DI17" s="9">
        <f t="array" ref="DI17">PRODUCT(1+真實IC!$C17:DI17)-1</f>
        <v>2881.8342703699727</v>
      </c>
      <c r="DJ17" s="9">
        <f t="array" ref="DJ17">PRODUCT(1+真實IC!$C17:DJ17)-1</f>
        <v>3253.5038510305785</v>
      </c>
      <c r="DK17" s="9">
        <f t="array" ref="DK17">PRODUCT(1+真實IC!$C17:DK17)-1</f>
        <v>3588.00135002652</v>
      </c>
      <c r="DL17" s="9">
        <f t="array" ref="DL17">PRODUCT(1+真實IC!$C17:DL17)-1</f>
        <v>3573.8975376818171</v>
      </c>
      <c r="DM17" s="9">
        <f t="array" ref="DM17">PRODUCT(1+真實IC!$C17:DM17)-1</f>
        <v>3421.737386336697</v>
      </c>
      <c r="DN17" s="9">
        <f t="array" ref="DN17">PRODUCT(1+真實IC!$C17:DN17)-1</f>
        <v>3543.2070254129908</v>
      </c>
      <c r="DO17" s="9">
        <f t="array" ref="DO17">PRODUCT(1+真實IC!$C17:DO17)-1</f>
        <v>4180.3207687152808</v>
      </c>
      <c r="DP17" s="9">
        <f t="array" ref="DP17">PRODUCT(1+真實IC!$C17:DP17)-1</f>
        <v>4774.2111444756529</v>
      </c>
      <c r="DQ17" s="9">
        <f t="array" ref="DQ17">PRODUCT(1+真實IC!$C17:DQ17)-1</f>
        <v>5121.1493593487339</v>
      </c>
      <c r="DR17" s="9">
        <f t="array" ref="DR17">PRODUCT(1+真實IC!$C17:DR17)-1</f>
        <v>5407.3997280648409</v>
      </c>
      <c r="DS17" s="9">
        <f t="array" ref="DS17">PRODUCT(1+真實IC!$C17:DS17)-1</f>
        <v>5609.4230633570769</v>
      </c>
      <c r="DT17" s="9">
        <f t="array" ref="DT17">PRODUCT(1+真實IC!$C17:DT17)-1</f>
        <v>5944.993324263407</v>
      </c>
      <c r="DU17" s="9">
        <f t="array" ref="DU17">PRODUCT(1+真實IC!$C17:DU17)-1</f>
        <v>6714.9637837955725</v>
      </c>
      <c r="DV17" s="9">
        <f t="array" ref="DV17">PRODUCT(1+真實IC!$C17:DV17)-1</f>
        <v>7505.8719324930089</v>
      </c>
      <c r="DW17" s="9">
        <f t="array" ref="DW17">PRODUCT(1+真實IC!$C17:DW17)-1</f>
        <v>6930.8474191820278</v>
      </c>
      <c r="DX17" s="9">
        <f t="array" ref="DX17">PRODUCT(1+真實IC!$C17:DX17)-1</f>
        <v>7828.7918813768629</v>
      </c>
      <c r="DY17" s="9">
        <f t="array" ref="DY17">PRODUCT(1+真實IC!$C17:DY17)-1</f>
        <v>8668.789571442705</v>
      </c>
      <c r="DZ17" s="9">
        <f t="array" ref="DZ17">PRODUCT(1+真實IC!$C17:DZ17)-1</f>
        <v>9095.4472558325433</v>
      </c>
      <c r="EA17" s="9">
        <f t="array" ref="EA17">PRODUCT(1+真實IC!$C17:EA17)-1</f>
        <v>9053.3077436337408</v>
      </c>
      <c r="EB17" s="9">
        <f t="array" ref="EB17">PRODUCT(1+真實IC!$C17:EB17)-1</f>
        <v>10024.702108438563</v>
      </c>
      <c r="EC17" s="9">
        <f t="array" ref="EC17">PRODUCT(1+真實IC!$C17:EC17)-1</f>
        <v>10189.376443313184</v>
      </c>
      <c r="ED17" s="9">
        <f t="array" ref="ED17">PRODUCT(1+真實IC!$C17:ED17)-1</f>
        <v>11497.050833827638</v>
      </c>
      <c r="EE17" s="9">
        <f t="array" ref="EE17">PRODUCT(1+真實IC!$C17:EE17)-1</f>
        <v>11494.815900196812</v>
      </c>
      <c r="EF17" s="9">
        <f t="array" ref="EF17">PRODUCT(1+真實IC!$C17:EF17)-1</f>
        <v>11965.969040912403</v>
      </c>
    </row>
    <row r="18" spans="1:136" ht="15" customHeight="1">
      <c r="A18" s="20">
        <v>7</v>
      </c>
      <c r="B18" s="20" t="s">
        <v>227</v>
      </c>
      <c r="C18" s="9">
        <f t="array" ref="C18">PRODUCT(1+真實IC!$C18:C18)-1</f>
        <v>0.18975114285714278</v>
      </c>
      <c r="D18" s="9">
        <f t="array" ref="D18">PRODUCT(1+真實IC!$C18:D18)-1</f>
        <v>0.66789309115314288</v>
      </c>
      <c r="E18" s="9">
        <f t="array" ref="E18">PRODUCT(1+真實IC!$C18:E18)-1</f>
        <v>0.7570217238877428</v>
      </c>
      <c r="F18" s="9">
        <f t="array" ref="F18">PRODUCT(1+真實IC!$C18:F18)-1</f>
        <v>0.54726326952617166</v>
      </c>
      <c r="G18" s="9">
        <f t="array" ref="G18">PRODUCT(1+真實IC!$C18:G18)-1</f>
        <v>0.71485721539846181</v>
      </c>
      <c r="H18" s="9">
        <f t="array" ref="H18">PRODUCT(1+真實IC!$C18:H18)-1</f>
        <v>0.93528496186578036</v>
      </c>
      <c r="I18" s="9">
        <f t="array" ref="I18">PRODUCT(1+真實IC!$C18:I18)-1</f>
        <v>1.1975164229819222</v>
      </c>
      <c r="J18" s="9">
        <f t="array" ref="J18">PRODUCT(1+真實IC!$C18:J18)-1</f>
        <v>1.2929139417926931</v>
      </c>
      <c r="K18" s="9">
        <f t="array" ref="K18">PRODUCT(1+真實IC!$C18:K18)-1</f>
        <v>1.6039428771456707</v>
      </c>
      <c r="L18" s="9">
        <f t="array" ref="L18">PRODUCT(1+真實IC!$C18:L18)-1</f>
        <v>1.4824127711590465</v>
      </c>
      <c r="M18" s="9">
        <f t="array" ref="M18">PRODUCT(1+真實IC!$C18:M18)-1</f>
        <v>1.5545304973480358</v>
      </c>
      <c r="N18" s="9">
        <f t="array" ref="N18">PRODUCT(1+真實IC!$C18:N18)-1</f>
        <v>2.7342648664320901</v>
      </c>
      <c r="O18" s="9">
        <f t="array" ref="O18">PRODUCT(1+真實IC!$C18:O18)-1</f>
        <v>2.8527827448053689</v>
      </c>
      <c r="P18" s="9">
        <f t="array" ref="P18">PRODUCT(1+真實IC!$C18:P18)-1</f>
        <v>3.1708400222006841</v>
      </c>
      <c r="Q18" s="9">
        <f t="array" ref="Q18">PRODUCT(1+真實IC!$C18:Q18)-1</f>
        <v>3.9590262616829399</v>
      </c>
      <c r="R18" s="9">
        <f t="array" ref="R18">PRODUCT(1+真實IC!$C18:R18)-1</f>
        <v>3.6540846391861619</v>
      </c>
      <c r="S18" s="9">
        <f t="array" ref="S18">PRODUCT(1+真實IC!$C18:S18)-1</f>
        <v>5.4400087730526145</v>
      </c>
      <c r="T18" s="9">
        <f t="array" ref="T18">PRODUCT(1+真實IC!$C18:T18)-1</f>
        <v>5.7768836841950506</v>
      </c>
      <c r="U18" s="9">
        <f t="array" ref="U18">PRODUCT(1+真實IC!$C18:U18)-1</f>
        <v>6.6747870534905163</v>
      </c>
      <c r="V18" s="9">
        <f t="array" ref="V18">PRODUCT(1+真實IC!$C18:V18)-1</f>
        <v>6.7737544691776179</v>
      </c>
      <c r="W18" s="9">
        <f t="array" ref="W18">PRODUCT(1+真實IC!$C18:W18)-1</f>
        <v>7.3746423683816396</v>
      </c>
      <c r="X18" s="9">
        <f t="array" ref="X18">PRODUCT(1+真實IC!$C18:X18)-1</f>
        <v>9.1762042900143346</v>
      </c>
      <c r="Y18" s="9">
        <f t="array" ref="Y18">PRODUCT(1+真實IC!$C18:Y18)-1</f>
        <v>8.9804921266192093</v>
      </c>
      <c r="Z18" s="9">
        <f t="array" ref="Z18">PRODUCT(1+真實IC!$C18:Z18)-1</f>
        <v>9.8710949883612251</v>
      </c>
      <c r="AA18" s="9">
        <f t="array" ref="AA18">PRODUCT(1+真實IC!$C18:AA18)-1</f>
        <v>11.747126998623042</v>
      </c>
      <c r="AB18" s="9">
        <f t="array" ref="AB18">PRODUCT(1+真實IC!$C18:AB18)-1</f>
        <v>12.826786981854964</v>
      </c>
      <c r="AC18" s="9">
        <f t="array" ref="AC18">PRODUCT(1+真實IC!$C18:AC18)-1</f>
        <v>12.845666359928787</v>
      </c>
      <c r="AD18" s="9">
        <f t="array" ref="AD18">PRODUCT(1+真實IC!$C18:AD18)-1</f>
        <v>14.178808213108551</v>
      </c>
      <c r="AE18" s="9">
        <f t="array" ref="AE18">PRODUCT(1+真實IC!$C18:AE18)-1</f>
        <v>18.100880942218915</v>
      </c>
      <c r="AF18" s="9">
        <f t="array" ref="AF18">PRODUCT(1+真實IC!$C18:AF18)-1</f>
        <v>20.976397083106825</v>
      </c>
      <c r="AG18" s="9">
        <f t="array" ref="AG18">PRODUCT(1+真實IC!$C18:AG18)-1</f>
        <v>21.690478704941242</v>
      </c>
      <c r="AH18" s="9">
        <f t="array" ref="AH18">PRODUCT(1+真實IC!$C18:AH18)-1</f>
        <v>20.778379072842451</v>
      </c>
      <c r="AI18" s="9">
        <f t="array" ref="AI18">PRODUCT(1+真實IC!$C18:AI18)-1</f>
        <v>23.350110077629161</v>
      </c>
      <c r="AJ18" s="9">
        <f t="array" ref="AJ18">PRODUCT(1+真實IC!$C18:AJ18)-1</f>
        <v>22.196066897983808</v>
      </c>
      <c r="AK18" s="9">
        <f t="array" ref="AK18">PRODUCT(1+真實IC!$C18:AK18)-1</f>
        <v>22.895485855066504</v>
      </c>
      <c r="AL18" s="9">
        <f t="array" ref="AL18">PRODUCT(1+真實IC!$C18:AL18)-1</f>
        <v>22.875004010047874</v>
      </c>
      <c r="AM18" s="9">
        <f t="array" ref="AM18">PRODUCT(1+真實IC!$C18:AM18)-1</f>
        <v>24.466115581807529</v>
      </c>
      <c r="AN18" s="9">
        <f t="array" ref="AN18">PRODUCT(1+真實IC!$C18:AN18)-1</f>
        <v>26.485442047924508</v>
      </c>
      <c r="AO18" s="9">
        <f t="array" ref="AO18">PRODUCT(1+真實IC!$C18:AO18)-1</f>
        <v>27.161151863380169</v>
      </c>
      <c r="AP18" s="9">
        <f t="array" ref="AP18">PRODUCT(1+真實IC!$C18:AP18)-1</f>
        <v>29.365567178479672</v>
      </c>
      <c r="AQ18" s="9">
        <f t="array" ref="AQ18">PRODUCT(1+真實IC!$C18:AQ18)-1</f>
        <v>28.855785698749187</v>
      </c>
      <c r="AR18" s="9">
        <f t="array" ref="AR18">PRODUCT(1+真實IC!$C18:AR18)-1</f>
        <v>27.013850060513825</v>
      </c>
      <c r="AS18" s="9">
        <f t="array" ref="AS18">PRODUCT(1+真實IC!$C18:AS18)-1</f>
        <v>24.68160941875739</v>
      </c>
      <c r="AT18" s="9">
        <f t="array" ref="AT18">PRODUCT(1+真實IC!$C18:AT18)-1</f>
        <v>28.954664789209872</v>
      </c>
      <c r="AU18" s="9">
        <f t="array" ref="AU18">PRODUCT(1+真實IC!$C18:AU18)-1</f>
        <v>34.845553445893714</v>
      </c>
      <c r="AV18" s="9">
        <f t="array" ref="AV18">PRODUCT(1+真實IC!$C18:AV18)-1</f>
        <v>37.004734184478416</v>
      </c>
      <c r="AW18" s="9">
        <f t="array" ref="AW18">PRODUCT(1+真實IC!$C18:AW18)-1</f>
        <v>40.720337780045092</v>
      </c>
      <c r="AX18" s="9">
        <f t="array" ref="AX18">PRODUCT(1+真實IC!$C18:AX18)-1</f>
        <v>45.97978451948071</v>
      </c>
      <c r="AY18" s="9">
        <f t="array" ref="AY18">PRODUCT(1+真實IC!$C18:AY18)-1</f>
        <v>47.613895454922904</v>
      </c>
      <c r="AZ18" s="9">
        <f t="array" ref="AZ18">PRODUCT(1+真實IC!$C18:AZ18)-1</f>
        <v>50.839038507193393</v>
      </c>
      <c r="BA18" s="9">
        <f t="array" ref="BA18">PRODUCT(1+真實IC!$C18:BA18)-1</f>
        <v>60.194940771394727</v>
      </c>
      <c r="BB18" s="9">
        <f t="array" ref="BB18">PRODUCT(1+真實IC!$C18:BB18)-1</f>
        <v>79.621729132349529</v>
      </c>
      <c r="BC18" s="9">
        <f t="array" ref="BC18">PRODUCT(1+真實IC!$C18:BC18)-1</f>
        <v>81.874465575446109</v>
      </c>
      <c r="BD18" s="9">
        <f t="array" ref="BD18">PRODUCT(1+真實IC!$C18:BD18)-1</f>
        <v>83.554970309966265</v>
      </c>
      <c r="BE18" s="9">
        <f t="array" ref="BE18">PRODUCT(1+真實IC!$C18:BE18)-1</f>
        <v>91.264088176273717</v>
      </c>
      <c r="BF18" s="9">
        <f t="array" ref="BF18">PRODUCT(1+真實IC!$C18:BF18)-1</f>
        <v>106.48641667080045</v>
      </c>
      <c r="BG18" s="9">
        <f t="array" ref="BG18">PRODUCT(1+真實IC!$C18:BG18)-1</f>
        <v>122.25617610062321</v>
      </c>
      <c r="BH18" s="9">
        <f t="array" ref="BH18">PRODUCT(1+真實IC!$C18:BH18)-1</f>
        <v>139.25298895393962</v>
      </c>
      <c r="BI18" s="9">
        <f t="array" ref="BI18">PRODUCT(1+真實IC!$C18:BI18)-1</f>
        <v>154.54056572028259</v>
      </c>
      <c r="BJ18" s="9">
        <f t="array" ref="BJ18">PRODUCT(1+真實IC!$C18:BJ18)-1</f>
        <v>170.02194040795783</v>
      </c>
      <c r="BK18" s="9">
        <f t="array" ref="BK18">PRODUCT(1+真實IC!$C18:BK18)-1</f>
        <v>157.4593283216451</v>
      </c>
      <c r="BL18" s="9">
        <f t="array" ref="BL18">PRODUCT(1+真實IC!$C18:BL18)-1</f>
        <v>166.29943845149072</v>
      </c>
      <c r="BM18" s="9">
        <f t="array" ref="BM18">PRODUCT(1+真實IC!$C18:BM18)-1</f>
        <v>170.99743360366574</v>
      </c>
      <c r="BN18" s="9">
        <f t="array" ref="BN18">PRODUCT(1+真實IC!$C18:BN18)-1</f>
        <v>157.54548975046109</v>
      </c>
      <c r="BO18" s="9">
        <f t="array" ref="BO18">PRODUCT(1+真實IC!$C18:BO18)-1</f>
        <v>160.75246802707181</v>
      </c>
      <c r="BP18" s="9">
        <f t="array" ref="BP18">PRODUCT(1+真實IC!$C18:BP18)-1</f>
        <v>150.64908536916485</v>
      </c>
      <c r="BQ18" s="9">
        <f t="array" ref="BQ18">PRODUCT(1+真實IC!$C18:BQ18)-1</f>
        <v>150.9397639262736</v>
      </c>
      <c r="BR18" s="9">
        <f t="array" ref="BR18">PRODUCT(1+真實IC!$C18:BR18)-1</f>
        <v>169.31867397942989</v>
      </c>
      <c r="BS18" s="9">
        <f t="array" ref="BS18">PRODUCT(1+真實IC!$C18:BS18)-1</f>
        <v>174.91760344884523</v>
      </c>
      <c r="BT18" s="9">
        <f t="array" ref="BT18">PRODUCT(1+真實IC!$C18:BT18)-1</f>
        <v>177.25710652602521</v>
      </c>
      <c r="BU18" s="9">
        <f t="array" ref="BU18">PRODUCT(1+真實IC!$C18:BU18)-1</f>
        <v>197.12602559892994</v>
      </c>
      <c r="BV18" s="9">
        <f t="array" ref="BV18">PRODUCT(1+真實IC!$C18:BV18)-1</f>
        <v>204.97665566354576</v>
      </c>
      <c r="BW18" s="9">
        <f t="array" ref="BW18">PRODUCT(1+真實IC!$C18:BW18)-1</f>
        <v>249.95691065340435</v>
      </c>
      <c r="BX18" s="9">
        <f t="array" ref="BX18">PRODUCT(1+真實IC!$C18:BX18)-1</f>
        <v>245.98910264103785</v>
      </c>
      <c r="BY18" s="9">
        <f t="array" ref="BY18">PRODUCT(1+真實IC!$C18:BY18)-1</f>
        <v>224.38613451825381</v>
      </c>
      <c r="BZ18" s="9">
        <f t="array" ref="BZ18">PRODUCT(1+真實IC!$C18:BZ18)-1</f>
        <v>258.94233391346722</v>
      </c>
      <c r="CA18" s="9">
        <f t="array" ref="CA18">PRODUCT(1+真實IC!$C18:CA18)-1</f>
        <v>263.12130825423975</v>
      </c>
      <c r="CB18" s="9">
        <f t="array" ref="CB18">PRODUCT(1+真實IC!$C18:CB18)-1</f>
        <v>291.34168901920322</v>
      </c>
      <c r="CC18" s="9">
        <f t="array" ref="CC18">PRODUCT(1+真實IC!$C18:CC18)-1</f>
        <v>321.9380866657562</v>
      </c>
      <c r="CD18" s="9">
        <f t="array" ref="CD18">PRODUCT(1+真實IC!$C18:CD18)-1</f>
        <v>384.49662543454099</v>
      </c>
      <c r="CE18" s="9">
        <f t="array" ref="CE18">PRODUCT(1+真實IC!$C18:CE18)-1</f>
        <v>414.28003964466711</v>
      </c>
      <c r="CF18" s="9">
        <f t="array" ref="CF18">PRODUCT(1+真實IC!$C18:CF18)-1</f>
        <v>444.10445197318296</v>
      </c>
      <c r="CG18" s="9">
        <f t="array" ref="CG18">PRODUCT(1+真實IC!$C18:CG18)-1</f>
        <v>484.88013946663256</v>
      </c>
      <c r="CH18" s="9">
        <f t="array" ref="CH18">PRODUCT(1+真實IC!$C18:CH18)-1</f>
        <v>563.91196799625595</v>
      </c>
      <c r="CI18" s="9">
        <f t="array" ref="CI18">PRODUCT(1+真實IC!$C18:CI18)-1</f>
        <v>585.86961029888323</v>
      </c>
      <c r="CJ18" s="9">
        <f t="array" ref="CJ18">PRODUCT(1+真實IC!$C18:CJ18)-1</f>
        <v>583.65572304089039</v>
      </c>
      <c r="CK18" s="9">
        <f t="array" ref="CK18">PRODUCT(1+真實IC!$C18:CK18)-1</f>
        <v>639.81660099818157</v>
      </c>
      <c r="CL18" s="9">
        <f t="array" ref="CL18">PRODUCT(1+真實IC!$C18:CL18)-1</f>
        <v>619.95798606751032</v>
      </c>
      <c r="CM18" s="9">
        <f t="array" ref="CM18">PRODUCT(1+真實IC!$C18:CM18)-1</f>
        <v>683.7730399211149</v>
      </c>
      <c r="CN18" s="9">
        <f t="array" ref="CN18">PRODUCT(1+真實IC!$C18:CN18)-1</f>
        <v>766.59163713396435</v>
      </c>
      <c r="CO18" s="9">
        <f t="array" ref="CO18">PRODUCT(1+真實IC!$C18:CO18)-1</f>
        <v>941.81899124218012</v>
      </c>
      <c r="CP18" s="9">
        <f t="array" ref="CP18">PRODUCT(1+真實IC!$C18:CP18)-1</f>
        <v>1095.3467956753191</v>
      </c>
      <c r="CQ18" s="9">
        <f t="array" ref="CQ18">PRODUCT(1+真實IC!$C18:CQ18)-1</f>
        <v>1137.2740305218854</v>
      </c>
      <c r="CR18" s="9">
        <f t="array" ref="CR18">PRODUCT(1+真實IC!$C18:CR18)-1</f>
        <v>1357.7832162825694</v>
      </c>
      <c r="CS18" s="9">
        <f t="array" ref="CS18">PRODUCT(1+真實IC!$C18:CS18)-1</f>
        <v>1436.1723014065674</v>
      </c>
      <c r="CT18" s="9">
        <f t="array" ref="CT18">PRODUCT(1+真實IC!$C18:CT18)-1</f>
        <v>1546.6489680776629</v>
      </c>
      <c r="CU18" s="9">
        <f t="array" ref="CU18">PRODUCT(1+真實IC!$C18:CU18)-1</f>
        <v>1770.38456439124</v>
      </c>
      <c r="CV18" s="9">
        <f t="array" ref="CV18">PRODUCT(1+真實IC!$C18:CV18)-1</f>
        <v>1995.3898494960138</v>
      </c>
      <c r="CW18" s="9">
        <f t="array" ref="CW18">PRODUCT(1+真實IC!$C18:CW18)-1</f>
        <v>2128.2667120213764</v>
      </c>
      <c r="CX18" s="9">
        <f t="array" ref="CX18">PRODUCT(1+真實IC!$C18:CX18)-1</f>
        <v>2259.3447665030899</v>
      </c>
      <c r="CY18" s="9">
        <f t="array" ref="CY18">PRODUCT(1+真實IC!$C18:CY18)-1</f>
        <v>2420.8060367703342</v>
      </c>
      <c r="CZ18" s="9">
        <f t="array" ref="CZ18">PRODUCT(1+真實IC!$C18:CZ18)-1</f>
        <v>2742.5256850564201</v>
      </c>
      <c r="DA18" s="9">
        <f t="array" ref="DA18">PRODUCT(1+真實IC!$C18:DA18)-1</f>
        <v>2957.5024787538305</v>
      </c>
      <c r="DB18" s="9">
        <f t="array" ref="DB18">PRODUCT(1+真實IC!$C18:DB18)-1</f>
        <v>3306.9430405293606</v>
      </c>
      <c r="DC18" s="9">
        <f t="array" ref="DC18">PRODUCT(1+真實IC!$C18:DC18)-1</f>
        <v>3427.3812158915748</v>
      </c>
      <c r="DD18" s="9">
        <f t="array" ref="DD18">PRODUCT(1+真實IC!$C18:DD18)-1</f>
        <v>3567.9934852822375</v>
      </c>
      <c r="DE18" s="9">
        <f t="array" ref="DE18">PRODUCT(1+真實IC!$C18:DE18)-1</f>
        <v>3705.1163117220972</v>
      </c>
      <c r="DF18" s="9">
        <f t="array" ref="DF18">PRODUCT(1+真實IC!$C18:DF18)-1</f>
        <v>5064.1253381971583</v>
      </c>
      <c r="DG18" s="9">
        <f t="array" ref="DG18">PRODUCT(1+真實IC!$C18:DG18)-1</f>
        <v>5341.545870916887</v>
      </c>
      <c r="DH18" s="9">
        <f t="array" ref="DH18">PRODUCT(1+真實IC!$C18:DH18)-1</f>
        <v>6369.4654344563924</v>
      </c>
      <c r="DI18" s="9">
        <f t="array" ref="DI18">PRODUCT(1+真實IC!$C18:DI18)-1</f>
        <v>6993.5344297455522</v>
      </c>
      <c r="DJ18" s="9">
        <f t="array" ref="DJ18">PRODUCT(1+真實IC!$C18:DJ18)-1</f>
        <v>8016.1079175165924</v>
      </c>
      <c r="DK18" s="9">
        <f t="array" ref="DK18">PRODUCT(1+真實IC!$C18:DK18)-1</f>
        <v>8870.1372102368332</v>
      </c>
      <c r="DL18" s="9">
        <f t="array" ref="DL18">PRODUCT(1+真實IC!$C18:DL18)-1</f>
        <v>8836.1583234304107</v>
      </c>
      <c r="DM18" s="9">
        <f t="array" ref="DM18">PRODUCT(1+真實IC!$C18:DM18)-1</f>
        <v>8319.5670842200179</v>
      </c>
      <c r="DN18" s="9">
        <f t="array" ref="DN18">PRODUCT(1+真實IC!$C18:DN18)-1</f>
        <v>8180.4300282722161</v>
      </c>
      <c r="DO18" s="9">
        <f t="array" ref="DO18">PRODUCT(1+真實IC!$C18:DO18)-1</f>
        <v>9982.9591857739961</v>
      </c>
      <c r="DP18" s="9">
        <f t="array" ref="DP18">PRODUCT(1+真實IC!$C18:DP18)-1</f>
        <v>11315.682676841321</v>
      </c>
      <c r="DQ18" s="9">
        <f t="array" ref="DQ18">PRODUCT(1+真實IC!$C18:DQ18)-1</f>
        <v>12059.748431282753</v>
      </c>
      <c r="DR18" s="9">
        <f t="array" ref="DR18">PRODUCT(1+真實IC!$C18:DR18)-1</f>
        <v>12986.504237782423</v>
      </c>
      <c r="DS18" s="9">
        <f t="array" ref="DS18">PRODUCT(1+真實IC!$C18:DS18)-1</f>
        <v>13132.966178429642</v>
      </c>
      <c r="DT18" s="9">
        <f t="array" ref="DT18">PRODUCT(1+真實IC!$C18:DT18)-1</f>
        <v>13429.807405630258</v>
      </c>
      <c r="DU18" s="9">
        <f t="array" ref="DU18">PRODUCT(1+真實IC!$C18:DU18)-1</f>
        <v>15561.483759075179</v>
      </c>
      <c r="DV18" s="9">
        <f t="array" ref="DV18">PRODUCT(1+真實IC!$C18:DV18)-1</f>
        <v>17205.514017824957</v>
      </c>
      <c r="DW18" s="9">
        <f t="array" ref="DW18">PRODUCT(1+真實IC!$C18:DW18)-1</f>
        <v>16024.495766742917</v>
      </c>
      <c r="DX18" s="9">
        <f t="array" ref="DX18">PRODUCT(1+真實IC!$C18:DX18)-1</f>
        <v>18486.059631827029</v>
      </c>
      <c r="DY18" s="9">
        <f t="array" ref="DY18">PRODUCT(1+真實IC!$C18:DY18)-1</f>
        <v>21015.68625738622</v>
      </c>
      <c r="DZ18" s="9">
        <f t="array" ref="DZ18">PRODUCT(1+真實IC!$C18:DZ18)-1</f>
        <v>22163.821822859729</v>
      </c>
      <c r="EA18" s="9">
        <f t="array" ref="EA18">PRODUCT(1+真實IC!$C18:EA18)-1</f>
        <v>22058.798308830286</v>
      </c>
      <c r="EB18" s="9">
        <f t="array" ref="EB18">PRODUCT(1+真實IC!$C18:EB18)-1</f>
        <v>24484.589789162321</v>
      </c>
      <c r="EC18" s="9">
        <f t="array" ref="EC18">PRODUCT(1+真實IC!$C18:EC18)-1</f>
        <v>24552.270785597862</v>
      </c>
      <c r="ED18" s="9">
        <f t="array" ref="ED18">PRODUCT(1+真實IC!$C18:ED18)-1</f>
        <v>27264.867572325205</v>
      </c>
      <c r="EE18" s="9">
        <f t="array" ref="EE18">PRODUCT(1+真實IC!$C18:EE18)-1</f>
        <v>27295.140475578366</v>
      </c>
      <c r="EF18" s="9">
        <f t="array" ref="EF18">PRODUCT(1+真實IC!$C18:EF18)-1</f>
        <v>29040.779351823916</v>
      </c>
    </row>
    <row r="19" spans="1:136" ht="15" customHeight="1">
      <c r="A19" s="20">
        <v>6</v>
      </c>
      <c r="B19" s="20" t="s">
        <v>228</v>
      </c>
      <c r="C19" s="9">
        <f t="array" ref="C19">PRODUCT(1+真實IC!$C19:C19)-1</f>
        <v>0.19659983333333342</v>
      </c>
      <c r="D19" s="9">
        <f t="array" ref="D19">PRODUCT(1+真實IC!$C19:D19)-1</f>
        <v>0.68423979287977788</v>
      </c>
      <c r="E19" s="9">
        <f t="array" ref="E19">PRODUCT(1+真實IC!$C19:E19)-1</f>
        <v>0.79508382424867841</v>
      </c>
      <c r="F19" s="9">
        <f t="array" ref="F19">PRODUCT(1+真實IC!$C19:F19)-1</f>
        <v>0.47611778168912267</v>
      </c>
      <c r="G19" s="9">
        <f t="array" ref="G19">PRODUCT(1+真實IC!$C19:G19)-1</f>
        <v>0.6179224709627491</v>
      </c>
      <c r="H19" s="9">
        <f t="array" ref="H19">PRODUCT(1+真實IC!$C19:H19)-1</f>
        <v>0.90528195068418826</v>
      </c>
      <c r="I19" s="9">
        <f t="array" ref="I19">PRODUCT(1+真實IC!$C19:I19)-1</f>
        <v>1.1618364207237195</v>
      </c>
      <c r="J19" s="9">
        <f t="array" ref="J19">PRODUCT(1+真實IC!$C19:J19)-1</f>
        <v>1.2384293869105778</v>
      </c>
      <c r="K19" s="9">
        <f t="array" ref="K19">PRODUCT(1+真實IC!$C19:K19)-1</f>
        <v>1.7729426301117703</v>
      </c>
      <c r="L19" s="9">
        <f t="array" ref="L19">PRODUCT(1+真實IC!$C19:L19)-1</f>
        <v>1.6887528567618419</v>
      </c>
      <c r="M19" s="9">
        <f t="array" ref="M19">PRODUCT(1+真實IC!$C19:M19)-1</f>
        <v>1.5712806094839711</v>
      </c>
      <c r="N19" s="9">
        <f t="array" ref="N19">PRODUCT(1+真實IC!$C19:N19)-1</f>
        <v>2.9401648383176955</v>
      </c>
      <c r="O19" s="9">
        <f t="array" ref="O19">PRODUCT(1+真實IC!$C19:O19)-1</f>
        <v>3.0645238264103183</v>
      </c>
      <c r="P19" s="9">
        <f t="array" ref="P19">PRODUCT(1+真實IC!$C19:P19)-1</f>
        <v>3.4406312309236373</v>
      </c>
      <c r="Q19" s="9">
        <f t="array" ref="Q19">PRODUCT(1+真實IC!$C19:Q19)-1</f>
        <v>4.3161597982564182</v>
      </c>
      <c r="R19" s="9">
        <f t="array" ref="R19">PRODUCT(1+真實IC!$C19:R19)-1</f>
        <v>3.8361154028255475</v>
      </c>
      <c r="S19" s="9">
        <f t="array" ref="S19">PRODUCT(1+真實IC!$C19:S19)-1</f>
        <v>4.7267349797729992</v>
      </c>
      <c r="T19" s="9">
        <f t="array" ref="T19">PRODUCT(1+真實IC!$C19:T19)-1</f>
        <v>5.0214597762458402</v>
      </c>
      <c r="U19" s="9">
        <f t="array" ref="U19">PRODUCT(1+真實IC!$C19:U19)-1</f>
        <v>5.8385618640213535</v>
      </c>
      <c r="V19" s="9">
        <f t="array" ref="V19">PRODUCT(1+真實IC!$C19:V19)-1</f>
        <v>6.088981025821445</v>
      </c>
      <c r="W19" s="9">
        <f t="array" ref="W19">PRODUCT(1+真實IC!$C19:W19)-1</f>
        <v>6.602335494290493</v>
      </c>
      <c r="X19" s="9">
        <f t="array" ref="X19">PRODUCT(1+真實IC!$C19:X19)-1</f>
        <v>7.7381234543224355</v>
      </c>
      <c r="Y19" s="9">
        <f t="array" ref="Y19">PRODUCT(1+真實IC!$C19:Y19)-1</f>
        <v>7.5141772556353228</v>
      </c>
      <c r="Z19" s="9">
        <f t="array" ref="Z19">PRODUCT(1+真實IC!$C19:Z19)-1</f>
        <v>8.2942386030832402</v>
      </c>
      <c r="AA19" s="9">
        <f t="array" ref="AA19">PRODUCT(1+真實IC!$C19:AA19)-1</f>
        <v>9.5195250265967903</v>
      </c>
      <c r="AB19" s="9">
        <f t="array" ref="AB19">PRODUCT(1+真實IC!$C19:AB19)-1</f>
        <v>10.595184392752691</v>
      </c>
      <c r="AC19" s="9">
        <f t="array" ref="AC19">PRODUCT(1+真實IC!$C19:AC19)-1</f>
        <v>10.759158188057008</v>
      </c>
      <c r="AD19" s="9">
        <f t="array" ref="AD19">PRODUCT(1+真實IC!$C19:AD19)-1</f>
        <v>11.887953100143465</v>
      </c>
      <c r="AE19" s="9">
        <f t="array" ref="AE19">PRODUCT(1+真實IC!$C19:AE19)-1</f>
        <v>15.863794584814837</v>
      </c>
      <c r="AF19" s="9">
        <f t="array" ref="AF19">PRODUCT(1+真實IC!$C19:AF19)-1</f>
        <v>18.710918817510276</v>
      </c>
      <c r="AG19" s="9">
        <f t="array" ref="AG19">PRODUCT(1+真實IC!$C19:AG19)-1</f>
        <v>19.147244034575888</v>
      </c>
      <c r="AH19" s="9">
        <f t="array" ref="AH19">PRODUCT(1+真實IC!$C19:AH19)-1</f>
        <v>18.007761943966177</v>
      </c>
      <c r="AI19" s="9">
        <f t="array" ref="AI19">PRODUCT(1+真實IC!$C19:AI19)-1</f>
        <v>19.747909878094983</v>
      </c>
      <c r="AJ19" s="9">
        <f t="array" ref="AJ19">PRODUCT(1+真實IC!$C19:AJ19)-1</f>
        <v>18.678452839744704</v>
      </c>
      <c r="AK19" s="9">
        <f t="array" ref="AK19">PRODUCT(1+真實IC!$C19:AK19)-1</f>
        <v>18.827065352041842</v>
      </c>
      <c r="AL19" s="9">
        <f t="array" ref="AL19">PRODUCT(1+真實IC!$C19:AL19)-1</f>
        <v>18.804495542649434</v>
      </c>
      <c r="AM19" s="9">
        <f t="array" ref="AM19">PRODUCT(1+真實IC!$C19:AM19)-1</f>
        <v>19.658188361429801</v>
      </c>
      <c r="AN19" s="9">
        <f t="array" ref="AN19">PRODUCT(1+真實IC!$C19:AN19)-1</f>
        <v>21.384557927479474</v>
      </c>
      <c r="AO19" s="9">
        <f t="array" ref="AO19">PRODUCT(1+真實IC!$C19:AO19)-1</f>
        <v>22.635633693390776</v>
      </c>
      <c r="AP19" s="9">
        <f t="array" ref="AP19">PRODUCT(1+真實IC!$C19:AP19)-1</f>
        <v>24.705503521180859</v>
      </c>
      <c r="AQ19" s="9">
        <f t="array" ref="AQ19">PRODUCT(1+真實IC!$C19:AQ19)-1</f>
        <v>23.293555908020021</v>
      </c>
      <c r="AR19" s="9">
        <f t="array" ref="AR19">PRODUCT(1+真實IC!$C19:AR19)-1</f>
        <v>21.480847695757276</v>
      </c>
      <c r="AS19" s="9">
        <f t="array" ref="AS19">PRODUCT(1+真實IC!$C19:AS19)-1</f>
        <v>19.025964394660416</v>
      </c>
      <c r="AT19" s="9">
        <f t="array" ref="AT19">PRODUCT(1+真實IC!$C19:AT19)-1</f>
        <v>22.722630533600555</v>
      </c>
      <c r="AU19" s="9">
        <f t="array" ref="AU19">PRODUCT(1+真實IC!$C19:AU19)-1</f>
        <v>28.388666177170133</v>
      </c>
      <c r="AV19" s="9">
        <f t="array" ref="AV19">PRODUCT(1+真實IC!$C19:AV19)-1</f>
        <v>28.299541825913405</v>
      </c>
      <c r="AW19" s="9">
        <f t="array" ref="AW19">PRODUCT(1+真實IC!$C19:AW19)-1</f>
        <v>32.304595732418171</v>
      </c>
      <c r="AX19" s="9">
        <f t="array" ref="AX19">PRODUCT(1+真實IC!$C19:AX19)-1</f>
        <v>39.768948128928429</v>
      </c>
      <c r="AY19" s="9">
        <f t="array" ref="AY19">PRODUCT(1+真實IC!$C19:AY19)-1</f>
        <v>40.972813191196799</v>
      </c>
      <c r="AZ19" s="9">
        <f t="array" ref="AZ19">PRODUCT(1+真實IC!$C19:AZ19)-1</f>
        <v>44.499886620217175</v>
      </c>
      <c r="BA19" s="9">
        <f t="array" ref="BA19">PRODUCT(1+真實IC!$C19:BA19)-1</f>
        <v>53.008228918537931</v>
      </c>
      <c r="BB19" s="9">
        <f t="array" ref="BB19">PRODUCT(1+真實IC!$C19:BB19)-1</f>
        <v>72.675915886014181</v>
      </c>
      <c r="BC19" s="9">
        <f t="array" ref="BC19">PRODUCT(1+真實IC!$C19:BC19)-1</f>
        <v>86.274411517253228</v>
      </c>
      <c r="BD19" s="9">
        <f t="array" ref="BD19">PRODUCT(1+真實IC!$C19:BD19)-1</f>
        <v>86.268229579770747</v>
      </c>
      <c r="BE19" s="9">
        <f t="array" ref="BE19">PRODUCT(1+真實IC!$C19:BE19)-1</f>
        <v>94.077053749318395</v>
      </c>
      <c r="BF19" s="9">
        <f t="array" ref="BF19">PRODUCT(1+真實IC!$C19:BF19)-1</f>
        <v>107.55987701952654</v>
      </c>
      <c r="BG19" s="9">
        <f t="array" ref="BG19">PRODUCT(1+真實IC!$C19:BG19)-1</f>
        <v>124.20305619253595</v>
      </c>
      <c r="BH19" s="9">
        <f t="array" ref="BH19">PRODUCT(1+真實IC!$C19:BH19)-1</f>
        <v>141.79369820351863</v>
      </c>
      <c r="BI19" s="9">
        <f t="array" ref="BI19">PRODUCT(1+真實IC!$C19:BI19)-1</f>
        <v>160.04253703795365</v>
      </c>
      <c r="BJ19" s="9">
        <f t="array" ref="BJ19">PRODUCT(1+真實IC!$C19:BJ19)-1</f>
        <v>168.38778814768324</v>
      </c>
      <c r="BK19" s="9">
        <f t="array" ref="BK19">PRODUCT(1+真實IC!$C19:BK19)-1</f>
        <v>151.95059480491824</v>
      </c>
      <c r="BL19" s="9">
        <f t="array" ref="BL19">PRODUCT(1+真實IC!$C19:BL19)-1</f>
        <v>161.61164781210016</v>
      </c>
      <c r="BM19" s="9">
        <f t="array" ref="BM19">PRODUCT(1+真實IC!$C19:BM19)-1</f>
        <v>166.78046472026375</v>
      </c>
      <c r="BN19" s="9">
        <f t="array" ref="BN19">PRODUCT(1+真實IC!$C19:BN19)-1</f>
        <v>153.12059022165269</v>
      </c>
      <c r="BO19" s="9">
        <f t="array" ref="BO19">PRODUCT(1+真實IC!$C19:BO19)-1</f>
        <v>157.08595291762234</v>
      </c>
      <c r="BP19" s="9">
        <f t="array" ref="BP19">PRODUCT(1+真實IC!$C19:BP19)-1</f>
        <v>155.1243170231852</v>
      </c>
      <c r="BQ19" s="9">
        <f t="array" ref="BQ19">PRODUCT(1+真實IC!$C19:BQ19)-1</f>
        <v>156.67526292889434</v>
      </c>
      <c r="BR19" s="9">
        <f t="array" ref="BR19">PRODUCT(1+真實IC!$C19:BR19)-1</f>
        <v>178.25142537214873</v>
      </c>
      <c r="BS19" s="9">
        <f t="array" ref="BS19">PRODUCT(1+真實IC!$C19:BS19)-1</f>
        <v>177.62405758326295</v>
      </c>
      <c r="BT19" s="9">
        <f t="array" ref="BT19">PRODUCT(1+真實IC!$C19:BT19)-1</f>
        <v>175.26714291412807</v>
      </c>
      <c r="BU19" s="9">
        <f t="array" ref="BU19">PRODUCT(1+真實IC!$C19:BU19)-1</f>
        <v>198.30011736800293</v>
      </c>
      <c r="BV19" s="9">
        <f t="array" ref="BV19">PRODUCT(1+真實IC!$C19:BV19)-1</f>
        <v>204.34903376901809</v>
      </c>
      <c r="BW19" s="9">
        <f t="array" ref="BW19">PRODUCT(1+真實IC!$C19:BW19)-1</f>
        <v>267.4842116467762</v>
      </c>
      <c r="BX19" s="9">
        <f t="array" ref="BX19">PRODUCT(1+真實IC!$C19:BX19)-1</f>
        <v>257.71214704809989</v>
      </c>
      <c r="BY19" s="9">
        <f t="array" ref="BY19">PRODUCT(1+真實IC!$C19:BY19)-1</f>
        <v>237.04960286795892</v>
      </c>
      <c r="BZ19" s="9">
        <f t="array" ref="BZ19">PRODUCT(1+真實IC!$C19:BZ19)-1</f>
        <v>253.40411639803378</v>
      </c>
      <c r="CA19" s="9">
        <f t="array" ref="CA19">PRODUCT(1+真實IC!$C19:CA19)-1</f>
        <v>260.86547245579231</v>
      </c>
      <c r="CB19" s="9">
        <f t="array" ref="CB19">PRODUCT(1+真實IC!$C19:CB19)-1</f>
        <v>294.3419616563321</v>
      </c>
      <c r="CC19" s="9">
        <f t="array" ref="CC19">PRODUCT(1+真實IC!$C19:CC19)-1</f>
        <v>300.98882939804901</v>
      </c>
      <c r="CD19" s="9">
        <f t="array" ref="CD19">PRODUCT(1+真實IC!$C19:CD19)-1</f>
        <v>366.10341862611693</v>
      </c>
      <c r="CE19" s="9">
        <f t="array" ref="CE19">PRODUCT(1+真實IC!$C19:CE19)-1</f>
        <v>398.58258766954708</v>
      </c>
      <c r="CF19" s="9">
        <f t="array" ref="CF19">PRODUCT(1+真實IC!$C19:CF19)-1</f>
        <v>430.5109934713156</v>
      </c>
      <c r="CG19" s="9">
        <f t="array" ref="CG19">PRODUCT(1+真實IC!$C19:CG19)-1</f>
        <v>455.15787652237822</v>
      </c>
      <c r="CH19" s="9">
        <f t="array" ref="CH19">PRODUCT(1+真實IC!$C19:CH19)-1</f>
        <v>524.89979361766132</v>
      </c>
      <c r="CI19" s="9">
        <f t="array" ref="CI19">PRODUCT(1+真實IC!$C19:CI19)-1</f>
        <v>544.39329295334494</v>
      </c>
      <c r="CJ19" s="9">
        <f t="array" ref="CJ19">PRODUCT(1+真實IC!$C19:CJ19)-1</f>
        <v>537.95114950207028</v>
      </c>
      <c r="CK19" s="9">
        <f t="array" ref="CK19">PRODUCT(1+真實IC!$C19:CK19)-1</f>
        <v>601.97707093062536</v>
      </c>
      <c r="CL19" s="9">
        <f t="array" ref="CL19">PRODUCT(1+真實IC!$C19:CL19)-1</f>
        <v>575.90417356520629</v>
      </c>
      <c r="CM19" s="9">
        <f t="array" ref="CM19">PRODUCT(1+真實IC!$C19:CM19)-1</f>
        <v>639.49930128886251</v>
      </c>
      <c r="CN19" s="9">
        <f t="array" ref="CN19">PRODUCT(1+真實IC!$C19:CN19)-1</f>
        <v>731.21445254390835</v>
      </c>
      <c r="CO19" s="9">
        <f t="array" ref="CO19">PRODUCT(1+真實IC!$C19:CO19)-1</f>
        <v>915.17283867174547</v>
      </c>
      <c r="CP19" s="9">
        <f t="array" ref="CP19">PRODUCT(1+真實IC!$C19:CP19)-1</f>
        <v>1060.8741863227344</v>
      </c>
      <c r="CQ19" s="9">
        <f t="array" ref="CQ19">PRODUCT(1+真實IC!$C19:CQ19)-1</f>
        <v>1095.2731838204757</v>
      </c>
      <c r="CR19" s="9">
        <f t="array" ref="CR19">PRODUCT(1+真實IC!$C19:CR19)-1</f>
        <v>1288.5535177388072</v>
      </c>
      <c r="CS19" s="9">
        <f t="array" ref="CS19">PRODUCT(1+真實IC!$C19:CS19)-1</f>
        <v>1358.5123757927724</v>
      </c>
      <c r="CT19" s="9">
        <f t="array" ref="CT19">PRODUCT(1+真實IC!$C19:CT19)-1</f>
        <v>1394.4334117859689</v>
      </c>
      <c r="CU19" s="9">
        <f t="array" ref="CU19">PRODUCT(1+真實IC!$C19:CU19)-1</f>
        <v>1599.01447607214</v>
      </c>
      <c r="CV19" s="9">
        <f t="array" ref="CV19">PRODUCT(1+真實IC!$C19:CV19)-1</f>
        <v>1750.3006575825109</v>
      </c>
      <c r="CW19" s="9">
        <f t="array" ref="CW19">PRODUCT(1+真實IC!$C19:CW19)-1</f>
        <v>1856.2821555216544</v>
      </c>
      <c r="CX19" s="9">
        <f t="array" ref="CX19">PRODUCT(1+真實IC!$C19:CX19)-1</f>
        <v>1963.3261043436576</v>
      </c>
      <c r="CY19" s="9">
        <f t="array" ref="CY19">PRODUCT(1+真實IC!$C19:CY19)-1</f>
        <v>2107.0181958148164</v>
      </c>
      <c r="CZ19" s="9">
        <f t="array" ref="CZ19">PRODUCT(1+真實IC!$C19:CZ19)-1</f>
        <v>2344.911904021998</v>
      </c>
      <c r="DA19" s="9">
        <f t="array" ref="DA19">PRODUCT(1+真實IC!$C19:DA19)-1</f>
        <v>2521.2834257461318</v>
      </c>
      <c r="DB19" s="9">
        <f t="array" ref="DB19">PRODUCT(1+真實IC!$C19:DB19)-1</f>
        <v>2894.4830037029551</v>
      </c>
      <c r="DC19" s="9">
        <f t="array" ref="DC19">PRODUCT(1+真實IC!$C19:DC19)-1</f>
        <v>2792.6216492059725</v>
      </c>
      <c r="DD19" s="9">
        <f t="array" ref="DD19">PRODUCT(1+真實IC!$C19:DD19)-1</f>
        <v>2809.9452469673001</v>
      </c>
      <c r="DE19" s="9">
        <f t="array" ref="DE19">PRODUCT(1+真實IC!$C19:DE19)-1</f>
        <v>2902.7582027063941</v>
      </c>
      <c r="DF19" s="9">
        <f t="array" ref="DF19">PRODUCT(1+真實IC!$C19:DF19)-1</f>
        <v>3499.4887406774656</v>
      </c>
      <c r="DG19" s="9">
        <f t="array" ref="DG19">PRODUCT(1+真實IC!$C19:DG19)-1</f>
        <v>3731.831930595562</v>
      </c>
      <c r="DH19" s="9">
        <f t="array" ref="DH19">PRODUCT(1+真實IC!$C19:DH19)-1</f>
        <v>4570.1936309972598</v>
      </c>
      <c r="DI19" s="9">
        <f t="array" ref="DI19">PRODUCT(1+真實IC!$C19:DI19)-1</f>
        <v>5065.992910871274</v>
      </c>
      <c r="DJ19" s="9">
        <f t="array" ref="DJ19">PRODUCT(1+真實IC!$C19:DJ19)-1</f>
        <v>5903.3158656050446</v>
      </c>
      <c r="DK19" s="9">
        <f t="array" ref="DK19">PRODUCT(1+真實IC!$C19:DK19)-1</f>
        <v>6620.3399205346986</v>
      </c>
      <c r="DL19" s="9">
        <f t="array" ref="DL19">PRODUCT(1+真實IC!$C19:DL19)-1</f>
        <v>6540.9978218363894</v>
      </c>
      <c r="DM19" s="9">
        <f t="array" ref="DM19">PRODUCT(1+真實IC!$C19:DM19)-1</f>
        <v>6166.1424369781344</v>
      </c>
      <c r="DN19" s="9">
        <f t="array" ref="DN19">PRODUCT(1+真實IC!$C19:DN19)-1</f>
        <v>6181.4068736703257</v>
      </c>
      <c r="DO19" s="9">
        <f t="array" ref="DO19">PRODUCT(1+真實IC!$C19:DO19)-1</f>
        <v>7722.4408238094102</v>
      </c>
      <c r="DP19" s="9">
        <f t="array" ref="DP19">PRODUCT(1+真實IC!$C19:DP19)-1</f>
        <v>9037.4966552967453</v>
      </c>
      <c r="DQ19" s="9">
        <f t="array" ref="DQ19">PRODUCT(1+真實IC!$C19:DQ19)-1</f>
        <v>9763.9583386274317</v>
      </c>
      <c r="DR19" s="9">
        <f t="array" ref="DR19">PRODUCT(1+真實IC!$C19:DR19)-1</f>
        <v>10505.727554150624</v>
      </c>
      <c r="DS19" s="9">
        <f t="array" ref="DS19">PRODUCT(1+真實IC!$C19:DS19)-1</f>
        <v>10446.066852855638</v>
      </c>
      <c r="DT19" s="9">
        <f t="array" ref="DT19">PRODUCT(1+真實IC!$C19:DT19)-1</f>
        <v>10498.649515738078</v>
      </c>
      <c r="DU19" s="9">
        <f t="array" ref="DU19">PRODUCT(1+真實IC!$C19:DU19)-1</f>
        <v>12079.712988941708</v>
      </c>
      <c r="DV19" s="9">
        <f t="array" ref="DV19">PRODUCT(1+真實IC!$C19:DV19)-1</f>
        <v>13427.01095862663</v>
      </c>
      <c r="DW19" s="9">
        <f t="array" ref="DW19">PRODUCT(1+真實IC!$C19:DW19)-1</f>
        <v>12066.793732550628</v>
      </c>
      <c r="DX19" s="9">
        <f t="array" ref="DX19">PRODUCT(1+真實IC!$C19:DX19)-1</f>
        <v>13736.555632313635</v>
      </c>
      <c r="DY19" s="9">
        <f t="array" ref="DY19">PRODUCT(1+真實IC!$C19:DY19)-1</f>
        <v>15649.482779002044</v>
      </c>
      <c r="DZ19" s="9">
        <f t="array" ref="DZ19">PRODUCT(1+真實IC!$C19:DZ19)-1</f>
        <v>16878.632570257916</v>
      </c>
      <c r="EA19" s="9">
        <f t="array" ref="EA19">PRODUCT(1+真實IC!$C19:EA19)-1</f>
        <v>17434.305469622901</v>
      </c>
      <c r="EB19" s="9">
        <f t="array" ref="EB19">PRODUCT(1+真實IC!$C19:EB19)-1</f>
        <v>19330.456131059414</v>
      </c>
      <c r="EC19" s="9">
        <f t="array" ref="EC19">PRODUCT(1+真實IC!$C19:EC19)-1</f>
        <v>19094.804845244696</v>
      </c>
      <c r="ED19" s="9">
        <f t="array" ref="ED19">PRODUCT(1+真實IC!$C19:ED19)-1</f>
        <v>21977.036202743879</v>
      </c>
      <c r="EE19" s="9">
        <f t="array" ref="EE19">PRODUCT(1+真實IC!$C19:EE19)-1</f>
        <v>21816.457344234565</v>
      </c>
      <c r="EF19" s="9">
        <f t="array" ref="EF19">PRODUCT(1+真實IC!$C19:EF19)-1</f>
        <v>23431.385536854807</v>
      </c>
    </row>
    <row r="20" spans="1:136" ht="15" customHeight="1">
      <c r="A20" s="20">
        <v>5</v>
      </c>
      <c r="B20" s="20" t="s">
        <v>229</v>
      </c>
      <c r="C20" s="9">
        <f t="array" ref="C20">PRODUCT(1+真實IC!$C20:C20)-1</f>
        <v>0.20155100000000004</v>
      </c>
      <c r="D20" s="9">
        <f t="array" ref="D20">PRODUCT(1+真實IC!$C20:D20)-1</f>
        <v>0.66057448201580016</v>
      </c>
      <c r="E20" s="9">
        <f t="array" ref="E20">PRODUCT(1+真實IC!$C20:E20)-1</f>
        <v>0.75578385205707255</v>
      </c>
      <c r="F20" s="9">
        <f t="array" ref="F20">PRODUCT(1+真實IC!$C20:F20)-1</f>
        <v>0.39491537704801161</v>
      </c>
      <c r="G20" s="9">
        <f t="array" ref="G20">PRODUCT(1+真實IC!$C20:G20)-1</f>
        <v>0.55837594276274238</v>
      </c>
      <c r="H20" s="9">
        <f t="array" ref="H20">PRODUCT(1+真實IC!$C20:H20)-1</f>
        <v>0.7826764206316581</v>
      </c>
      <c r="I20" s="9">
        <f t="array" ref="I20">PRODUCT(1+真實IC!$C20:I20)-1</f>
        <v>1.0646059168138522</v>
      </c>
      <c r="J20" s="9">
        <f t="array" ref="J20">PRODUCT(1+真實IC!$C20:J20)-1</f>
        <v>1.1357754815413408</v>
      </c>
      <c r="K20" s="9">
        <f t="array" ref="K20">PRODUCT(1+真實IC!$C20:K20)-1</f>
        <v>1.5943788119603908</v>
      </c>
      <c r="L20" s="9">
        <f t="array" ref="L20">PRODUCT(1+真實IC!$C20:L20)-1</f>
        <v>1.5147479864576034</v>
      </c>
      <c r="M20" s="9">
        <f t="array" ref="M20">PRODUCT(1+真實IC!$C20:M20)-1</f>
        <v>1.319306228351071</v>
      </c>
      <c r="N20" s="9">
        <f t="array" ref="N20">PRODUCT(1+真實IC!$C20:N20)-1</f>
        <v>2.4789862464788555</v>
      </c>
      <c r="O20" s="9">
        <f t="array" ref="O20">PRODUCT(1+真實IC!$C20:O20)-1</f>
        <v>2.652465499296095</v>
      </c>
      <c r="P20" s="9">
        <f t="array" ref="P20">PRODUCT(1+真實IC!$C20:P20)-1</f>
        <v>2.9854605146787034</v>
      </c>
      <c r="Q20" s="9">
        <f t="array" ref="Q20">PRODUCT(1+真實IC!$C20:Q20)-1</f>
        <v>3.8492123899896358</v>
      </c>
      <c r="R20" s="9">
        <f t="array" ref="R20">PRODUCT(1+真實IC!$C20:R20)-1</f>
        <v>3.3194211189481955</v>
      </c>
      <c r="S20" s="9">
        <f t="array" ref="S20">PRODUCT(1+真實IC!$C20:S20)-1</f>
        <v>3.9897201978467249</v>
      </c>
      <c r="T20" s="9">
        <f t="array" ref="T20">PRODUCT(1+真實IC!$C20:T20)-1</f>
        <v>4.4161689085598779</v>
      </c>
      <c r="U20" s="9">
        <f t="array" ref="U20">PRODUCT(1+真實IC!$C20:U20)-1</f>
        <v>5.2212806842811412</v>
      </c>
      <c r="V20" s="9">
        <f t="array" ref="V20">PRODUCT(1+真實IC!$C20:V20)-1</f>
        <v>5.2999431987741676</v>
      </c>
      <c r="W20" s="9">
        <f t="array" ref="W20">PRODUCT(1+真實IC!$C20:W20)-1</f>
        <v>5.8737735250345136</v>
      </c>
      <c r="X20" s="9">
        <f t="array" ref="X20">PRODUCT(1+真實IC!$C20:X20)-1</f>
        <v>7.3199220802101319</v>
      </c>
      <c r="Y20" s="9">
        <f t="array" ref="Y20">PRODUCT(1+真實IC!$C20:Y20)-1</f>
        <v>6.9699238451389478</v>
      </c>
      <c r="Z20" s="9">
        <f t="array" ref="Z20">PRODUCT(1+真實IC!$C20:Z20)-1</f>
        <v>7.8116829769487612</v>
      </c>
      <c r="AA20" s="9">
        <f t="array" ref="AA20">PRODUCT(1+真實IC!$C20:AA20)-1</f>
        <v>8.9614610537645998</v>
      </c>
      <c r="AB20" s="9">
        <f t="array" ref="AB20">PRODUCT(1+真實IC!$C20:AB20)-1</f>
        <v>9.8057929060816651</v>
      </c>
      <c r="AC20" s="9">
        <f t="array" ref="AC20">PRODUCT(1+真實IC!$C20:AC20)-1</f>
        <v>10.316347848292219</v>
      </c>
      <c r="AD20" s="9">
        <f t="array" ref="AD20">PRODUCT(1+真實IC!$C20:AD20)-1</f>
        <v>11.785691875418886</v>
      </c>
      <c r="AE20" s="9">
        <f t="array" ref="AE20">PRODUCT(1+真實IC!$C20:AE20)-1</f>
        <v>13.847016553887215</v>
      </c>
      <c r="AF20" s="9">
        <f t="array" ref="AF20">PRODUCT(1+真實IC!$C20:AF20)-1</f>
        <v>17.165292381786138</v>
      </c>
      <c r="AG20" s="9">
        <f t="array" ref="AG20">PRODUCT(1+真實IC!$C20:AG20)-1</f>
        <v>17.667730173615002</v>
      </c>
      <c r="AH20" s="9">
        <f t="array" ref="AH20">PRODUCT(1+真實IC!$C20:AH20)-1</f>
        <v>15.984307855129344</v>
      </c>
      <c r="AI20" s="9">
        <f t="array" ref="AI20">PRODUCT(1+真實IC!$C20:AI20)-1</f>
        <v>17.960214674933098</v>
      </c>
      <c r="AJ20" s="9">
        <f t="array" ref="AJ20">PRODUCT(1+真實IC!$C20:AJ20)-1</f>
        <v>16.784870312205076</v>
      </c>
      <c r="AK20" s="9">
        <f t="array" ref="AK20">PRODUCT(1+真實IC!$C20:AK20)-1</f>
        <v>16.543082946229216</v>
      </c>
      <c r="AL20" s="9">
        <f t="array" ref="AL20">PRODUCT(1+真實IC!$C20:AL20)-1</f>
        <v>16.444525906237299</v>
      </c>
      <c r="AM20" s="9">
        <f t="array" ref="AM20">PRODUCT(1+真實IC!$C20:AM20)-1</f>
        <v>17.02186959980212</v>
      </c>
      <c r="AN20" s="9">
        <f t="array" ref="AN20">PRODUCT(1+真實IC!$C20:AN20)-1</f>
        <v>18.381983586073339</v>
      </c>
      <c r="AO20" s="9">
        <f t="array" ref="AO20">PRODUCT(1+真實IC!$C20:AO20)-1</f>
        <v>19.333799746714238</v>
      </c>
      <c r="AP20" s="9">
        <f t="array" ref="AP20">PRODUCT(1+真實IC!$C20:AP20)-1</f>
        <v>22.012380566423591</v>
      </c>
      <c r="AQ20" s="9">
        <f t="array" ref="AQ20">PRODUCT(1+真實IC!$C20:AQ20)-1</f>
        <v>23.689950892383077</v>
      </c>
      <c r="AR20" s="9">
        <f t="array" ref="AR20">PRODUCT(1+真實IC!$C20:AR20)-1</f>
        <v>23.36184119698402</v>
      </c>
      <c r="AS20" s="9">
        <f t="array" ref="AS20">PRODUCT(1+真實IC!$C20:AS20)-1</f>
        <v>22.331537116906194</v>
      </c>
      <c r="AT20" s="9">
        <f t="array" ref="AT20">PRODUCT(1+真實IC!$C20:AT20)-1</f>
        <v>27.91066170595456</v>
      </c>
      <c r="AU20" s="9">
        <f t="array" ref="AU20">PRODUCT(1+真實IC!$C20:AU20)-1</f>
        <v>36.054766197860253</v>
      </c>
      <c r="AV20" s="9">
        <f t="array" ref="AV20">PRODUCT(1+真實IC!$C20:AV20)-1</f>
        <v>34.859875500373811</v>
      </c>
      <c r="AW20" s="9">
        <f t="array" ref="AW20">PRODUCT(1+真實IC!$C20:AW20)-1</f>
        <v>42.928270058538168</v>
      </c>
      <c r="AX20" s="9">
        <f t="array" ref="AX20">PRODUCT(1+真實IC!$C20:AX20)-1</f>
        <v>51.904538496516096</v>
      </c>
      <c r="AY20" s="9">
        <f t="array" ref="AY20">PRODUCT(1+真實IC!$C20:AY20)-1</f>
        <v>53.950605569130147</v>
      </c>
      <c r="AZ20" s="9">
        <f t="array" ref="AZ20">PRODUCT(1+真實IC!$C20:AZ20)-1</f>
        <v>59.434906797472721</v>
      </c>
      <c r="BA20" s="9">
        <f t="array" ref="BA20">PRODUCT(1+真實IC!$C20:BA20)-1</f>
        <v>68.581004722388641</v>
      </c>
      <c r="BB20" s="9">
        <f t="array" ref="BB20">PRODUCT(1+真實IC!$C20:BB20)-1</f>
        <v>94.913712278170948</v>
      </c>
      <c r="BC20" s="9">
        <f t="array" ref="BC20">PRODUCT(1+真實IC!$C20:BC20)-1</f>
        <v>117.94649588548724</v>
      </c>
      <c r="BD20" s="9">
        <f t="array" ref="BD20">PRODUCT(1+真實IC!$C20:BD20)-1</f>
        <v>118.9413167984751</v>
      </c>
      <c r="BE20" s="9">
        <f t="array" ref="BE20">PRODUCT(1+真實IC!$C20:BE20)-1</f>
        <v>130.7289544769277</v>
      </c>
      <c r="BF20" s="9">
        <f t="array" ref="BF20">PRODUCT(1+真實IC!$C20:BF20)-1</f>
        <v>148.90376470886497</v>
      </c>
      <c r="BG20" s="9">
        <f t="array" ref="BG20">PRODUCT(1+真實IC!$C20:BG20)-1</f>
        <v>163.00402096080978</v>
      </c>
      <c r="BH20" s="9">
        <f t="array" ref="BH20">PRODUCT(1+真實IC!$C20:BH20)-1</f>
        <v>187.6140216277411</v>
      </c>
      <c r="BI20" s="9">
        <f t="array" ref="BI20">PRODUCT(1+真實IC!$C20:BI20)-1</f>
        <v>212.46302628309678</v>
      </c>
      <c r="BJ20" s="9">
        <f t="array" ref="BJ20">PRODUCT(1+真實IC!$C20:BJ20)-1</f>
        <v>224.23717719421455</v>
      </c>
      <c r="BK20" s="9">
        <f t="array" ref="BK20">PRODUCT(1+真實IC!$C20:BK20)-1</f>
        <v>197.73779806013803</v>
      </c>
      <c r="BL20" s="9">
        <f t="array" ref="BL20">PRODUCT(1+真實IC!$C20:BL20)-1</f>
        <v>211.62150972445133</v>
      </c>
      <c r="BM20" s="9">
        <f t="array" ref="BM20">PRODUCT(1+真實IC!$C20:BM20)-1</f>
        <v>221.71434480119999</v>
      </c>
      <c r="BN20" s="9">
        <f t="array" ref="BN20">PRODUCT(1+真實IC!$C20:BN20)-1</f>
        <v>225.86484933091518</v>
      </c>
      <c r="BO20" s="9">
        <f t="array" ref="BO20">PRODUCT(1+真實IC!$C20:BO20)-1</f>
        <v>217.13923758164435</v>
      </c>
      <c r="BP20" s="9">
        <f t="array" ref="BP20">PRODUCT(1+真實IC!$C20:BP20)-1</f>
        <v>218.72812016034152</v>
      </c>
      <c r="BQ20" s="9">
        <f t="array" ref="BQ20">PRODUCT(1+真實IC!$C20:BQ20)-1</f>
        <v>222.12329468411602</v>
      </c>
      <c r="BR20" s="9">
        <f t="array" ref="BR20">PRODUCT(1+真實IC!$C20:BR20)-1</f>
        <v>262.53696585859149</v>
      </c>
      <c r="BS20" s="9">
        <f t="array" ref="BS20">PRODUCT(1+真實IC!$C20:BS20)-1</f>
        <v>253.96247502960767</v>
      </c>
      <c r="BT20" s="9">
        <f t="array" ref="BT20">PRODUCT(1+真實IC!$C20:BT20)-1</f>
        <v>240.58495091226919</v>
      </c>
      <c r="BU20" s="9">
        <f t="array" ref="BU20">PRODUCT(1+真實IC!$C20:BU20)-1</f>
        <v>276.68764756154962</v>
      </c>
      <c r="BV20" s="9">
        <f t="array" ref="BV20">PRODUCT(1+真實IC!$C20:BV20)-1</f>
        <v>254.04404104497667</v>
      </c>
      <c r="BW20" s="9">
        <f t="array" ref="BW20">PRODUCT(1+真實IC!$C20:BW20)-1</f>
        <v>343.77607124835771</v>
      </c>
      <c r="BX20" s="9">
        <f t="array" ref="BX20">PRODUCT(1+真實IC!$C20:BX20)-1</f>
        <v>325.55169080866926</v>
      </c>
      <c r="BY20" s="9">
        <f t="array" ref="BY20">PRODUCT(1+真實IC!$C20:BY20)-1</f>
        <v>324.03670023407636</v>
      </c>
      <c r="BZ20" s="9">
        <f t="array" ref="BZ20">PRODUCT(1+真實IC!$C20:BZ20)-1</f>
        <v>353.37821960033534</v>
      </c>
      <c r="CA20" s="9">
        <f t="array" ref="CA20">PRODUCT(1+真實IC!$C20:CA20)-1</f>
        <v>367.58975296843198</v>
      </c>
      <c r="CB20" s="9">
        <f t="array" ref="CB20">PRODUCT(1+真實IC!$C20:CB20)-1</f>
        <v>414.21466120607499</v>
      </c>
      <c r="CC20" s="9">
        <f t="array" ref="CC20">PRODUCT(1+真實IC!$C20:CC20)-1</f>
        <v>419.57707551261916</v>
      </c>
      <c r="CD20" s="9">
        <f t="array" ref="CD20">PRODUCT(1+真實IC!$C20:CD20)-1</f>
        <v>495.71309099458244</v>
      </c>
      <c r="CE20" s="9">
        <f t="array" ref="CE20">PRODUCT(1+真實IC!$C20:CE20)-1</f>
        <v>538.31984848606112</v>
      </c>
      <c r="CF20" s="9">
        <f t="array" ref="CF20">PRODUCT(1+真實IC!$C20:CF20)-1</f>
        <v>581.98207090979542</v>
      </c>
      <c r="CG20" s="9">
        <f t="array" ref="CG20">PRODUCT(1+真實IC!$C20:CG20)-1</f>
        <v>626.27135918572822</v>
      </c>
      <c r="CH20" s="9">
        <f t="array" ref="CH20">PRODUCT(1+真實IC!$C20:CH20)-1</f>
        <v>671.34960419860317</v>
      </c>
      <c r="CI20" s="9">
        <f t="array" ref="CI20">PRODUCT(1+真實IC!$C20:CI20)-1</f>
        <v>691.78545107699108</v>
      </c>
      <c r="CJ20" s="9">
        <f t="array" ref="CJ20">PRODUCT(1+真實IC!$C20:CJ20)-1</f>
        <v>663.02793754425807</v>
      </c>
      <c r="CK20" s="9">
        <f t="array" ref="CK20">PRODUCT(1+真實IC!$C20:CK20)-1</f>
        <v>716.54169931701642</v>
      </c>
      <c r="CL20" s="9">
        <f t="array" ref="CL20">PRODUCT(1+真實IC!$C20:CL20)-1</f>
        <v>650.39516498752153</v>
      </c>
      <c r="CM20" s="9">
        <f t="array" ref="CM20">PRODUCT(1+真實IC!$C20:CM20)-1</f>
        <v>713.43341096305699</v>
      </c>
      <c r="CN20" s="9">
        <f t="array" ref="CN20">PRODUCT(1+真實IC!$C20:CN20)-1</f>
        <v>859.81498254974508</v>
      </c>
      <c r="CO20" s="9">
        <f t="array" ref="CO20">PRODUCT(1+真實IC!$C20:CO20)-1</f>
        <v>1115.1098086954637</v>
      </c>
      <c r="CP20" s="9">
        <f t="array" ref="CP20">PRODUCT(1+真實IC!$C20:CP20)-1</f>
        <v>1329.4377202932596</v>
      </c>
      <c r="CQ20" s="9">
        <f t="array" ref="CQ20">PRODUCT(1+真實IC!$C20:CQ20)-1</f>
        <v>1360.1948397802046</v>
      </c>
      <c r="CR20" s="9">
        <f t="array" ref="CR20">PRODUCT(1+真實IC!$C20:CR20)-1</f>
        <v>1626.2895246210107</v>
      </c>
      <c r="CS20" s="9">
        <f t="array" ref="CS20">PRODUCT(1+真實IC!$C20:CS20)-1</f>
        <v>1784.35970784345</v>
      </c>
      <c r="CT20" s="9">
        <f t="array" ref="CT20">PRODUCT(1+真實IC!$C20:CT20)-1</f>
        <v>1835.0914180857046</v>
      </c>
      <c r="CU20" s="9">
        <f t="array" ref="CU20">PRODUCT(1+真實IC!$C20:CU20)-1</f>
        <v>2104.4974563349201</v>
      </c>
      <c r="CV20" s="9">
        <f t="array" ref="CV20">PRODUCT(1+真實IC!$C20:CV20)-1</f>
        <v>2355.5025000459127</v>
      </c>
      <c r="CW20" s="9">
        <f t="array" ref="CW20">PRODUCT(1+真實IC!$C20:CW20)-1</f>
        <v>2515.5177581223243</v>
      </c>
      <c r="CX20" s="9">
        <f t="array" ref="CX20">PRODUCT(1+真實IC!$C20:CX20)-1</f>
        <v>2742.7556649137655</v>
      </c>
      <c r="CY20" s="9">
        <f t="array" ref="CY20">PRODUCT(1+真實IC!$C20:CY20)-1</f>
        <v>3041.0902546223019</v>
      </c>
      <c r="CZ20" s="9">
        <f t="array" ref="CZ20">PRODUCT(1+真實IC!$C20:CZ20)-1</f>
        <v>3513.1059832218421</v>
      </c>
      <c r="DA20" s="9">
        <f t="array" ref="DA20">PRODUCT(1+真實IC!$C20:DA20)-1</f>
        <v>3783.978894978155</v>
      </c>
      <c r="DB20" s="9">
        <f t="array" ref="DB20">PRODUCT(1+真實IC!$C20:DB20)-1</f>
        <v>4075.2973655879387</v>
      </c>
      <c r="DC20" s="9">
        <f t="array" ref="DC20">PRODUCT(1+真實IC!$C20:DC20)-1</f>
        <v>3873.0597421643106</v>
      </c>
      <c r="DD20" s="9">
        <f t="array" ref="DD20">PRODUCT(1+真實IC!$C20:DD20)-1</f>
        <v>3886.9954508163387</v>
      </c>
      <c r="DE20" s="9">
        <f t="array" ref="DE20">PRODUCT(1+真實IC!$C20:DE20)-1</f>
        <v>3927.5033930271043</v>
      </c>
      <c r="DF20" s="9">
        <f t="array" ref="DF20">PRODUCT(1+真實IC!$C20:DF20)-1</f>
        <v>4892.2471851710925</v>
      </c>
      <c r="DG20" s="9">
        <f t="array" ref="DG20">PRODUCT(1+真實IC!$C20:DG20)-1</f>
        <v>5148.3881236766219</v>
      </c>
      <c r="DH20" s="9">
        <f t="array" ref="DH20">PRODUCT(1+真實IC!$C20:DH20)-1</f>
        <v>6581.4607787405766</v>
      </c>
      <c r="DI20" s="9">
        <f t="array" ref="DI20">PRODUCT(1+真實IC!$C20:DI20)-1</f>
        <v>7487.1810520521658</v>
      </c>
      <c r="DJ20" s="9">
        <f t="array" ref="DJ20">PRODUCT(1+真實IC!$C20:DJ20)-1</f>
        <v>8509.7527723110798</v>
      </c>
      <c r="DK20" s="9">
        <f t="array" ref="DK20">PRODUCT(1+真實IC!$C20:DK20)-1</f>
        <v>9234.7378429192904</v>
      </c>
      <c r="DL20" s="9">
        <f t="array" ref="DL20">PRODUCT(1+真實IC!$C20:DL20)-1</f>
        <v>9054.9607577954266</v>
      </c>
      <c r="DM20" s="9">
        <f t="array" ref="DM20">PRODUCT(1+真實IC!$C20:DM20)-1</f>
        <v>8427.0584738850757</v>
      </c>
      <c r="DN20" s="9">
        <f t="array" ref="DN20">PRODUCT(1+真實IC!$C20:DN20)-1</f>
        <v>8916.0477401750886</v>
      </c>
      <c r="DO20" s="9">
        <f t="array" ref="DO20">PRODUCT(1+真實IC!$C20:DO20)-1</f>
        <v>11216.654974188001</v>
      </c>
      <c r="DP20" s="9">
        <f t="array" ref="DP20">PRODUCT(1+真實IC!$C20:DP20)-1</f>
        <v>13461.929582471337</v>
      </c>
      <c r="DQ20" s="9">
        <f t="array" ref="DQ20">PRODUCT(1+真實IC!$C20:DQ20)-1</f>
        <v>14235.511961480686</v>
      </c>
      <c r="DR20" s="9">
        <f t="array" ref="DR20">PRODUCT(1+真實IC!$C20:DR20)-1</f>
        <v>15353.258385101111</v>
      </c>
      <c r="DS20" s="9">
        <f t="array" ref="DS20">PRODUCT(1+真實IC!$C20:DS20)-1</f>
        <v>15238.224281279932</v>
      </c>
      <c r="DT20" s="9">
        <f t="array" ref="DT20">PRODUCT(1+真實IC!$C20:DT20)-1</f>
        <v>14785.842745458591</v>
      </c>
      <c r="DU20" s="9">
        <f t="array" ref="DU20">PRODUCT(1+真實IC!$C20:DU20)-1</f>
        <v>17393.883964163047</v>
      </c>
      <c r="DV20" s="9">
        <f t="array" ref="DV20">PRODUCT(1+真實IC!$C20:DV20)-1</f>
        <v>19643.833438089914</v>
      </c>
      <c r="DW20" s="9">
        <f t="array" ref="DW20">PRODUCT(1+真實IC!$C20:DW20)-1</f>
        <v>17609.677728009392</v>
      </c>
      <c r="DX20" s="9">
        <f t="array" ref="DX20">PRODUCT(1+真實IC!$C20:DX20)-1</f>
        <v>20319.368071897872</v>
      </c>
      <c r="DY20" s="9">
        <f t="array" ref="DY20">PRODUCT(1+真實IC!$C20:DY20)-1</f>
        <v>22790.133817980779</v>
      </c>
      <c r="DZ20" s="9">
        <f t="array" ref="DZ20">PRODUCT(1+真實IC!$C20:DZ20)-1</f>
        <v>24845.880413682353</v>
      </c>
      <c r="EA20" s="9">
        <f t="array" ref="EA20">PRODUCT(1+真實IC!$C20:EA20)-1</f>
        <v>24698.647757158415</v>
      </c>
      <c r="EB20" s="9">
        <f t="array" ref="EB20">PRODUCT(1+真實IC!$C20:EB20)-1</f>
        <v>26734.075148209558</v>
      </c>
      <c r="EC20" s="9">
        <f t="array" ref="EC20">PRODUCT(1+真實IC!$C20:EC20)-1</f>
        <v>27644.393266076375</v>
      </c>
      <c r="ED20" s="9">
        <f t="array" ref="ED20">PRODUCT(1+真實IC!$C20:ED20)-1</f>
        <v>32535.384756460204</v>
      </c>
      <c r="EE20" s="9">
        <f t="array" ref="EE20">PRODUCT(1+真實IC!$C20:EE20)-1</f>
        <v>32478.719388768353</v>
      </c>
      <c r="EF20" s="9">
        <f t="array" ref="EF20">PRODUCT(1+真實IC!$C20:EF20)-1</f>
        <v>35265.479312324671</v>
      </c>
    </row>
    <row r="21" spans="1:136" ht="15" customHeight="1">
      <c r="A21" s="20">
        <v>4</v>
      </c>
      <c r="B21" s="20" t="s">
        <v>230</v>
      </c>
      <c r="C21" s="9">
        <f t="array" ref="C21">PRODUCT(1+真實IC!$C21:C21)-1</f>
        <v>0.21463049999999995</v>
      </c>
      <c r="D21" s="9">
        <f t="array" ref="D21">PRODUCT(1+真實IC!$C21:D21)-1</f>
        <v>0.3681464342645</v>
      </c>
      <c r="E21" s="9">
        <f t="array" ref="E21">PRODUCT(1+真實IC!$C21:E21)-1</f>
        <v>0.34941445735976773</v>
      </c>
      <c r="F21" s="9">
        <f t="array" ref="F21">PRODUCT(1+真實IC!$C21:F21)-1</f>
        <v>0.10107013462847059</v>
      </c>
      <c r="G21" s="9">
        <f t="array" ref="G21">PRODUCT(1+真實IC!$C21:G21)-1</f>
        <v>0.25945043131923073</v>
      </c>
      <c r="H21" s="9">
        <f t="array" ref="H21">PRODUCT(1+真實IC!$C21:H21)-1</f>
        <v>0.46368795106368244</v>
      </c>
      <c r="I21" s="9">
        <f t="array" ref="I21">PRODUCT(1+真實IC!$C21:I21)-1</f>
        <v>0.67922421040641989</v>
      </c>
      <c r="J21" s="9">
        <f t="array" ref="J21">PRODUCT(1+真實IC!$C21:J21)-1</f>
        <v>0.78070867247162279</v>
      </c>
      <c r="K21" s="9">
        <f t="array" ref="K21">PRODUCT(1+真實IC!$C21:K21)-1</f>
        <v>1.149101728937024</v>
      </c>
      <c r="L21" s="9">
        <f t="array" ref="L21">PRODUCT(1+真實IC!$C21:L21)-1</f>
        <v>1.159913859735306</v>
      </c>
      <c r="M21" s="9">
        <f t="array" ref="M21">PRODUCT(1+真實IC!$C21:M21)-1</f>
        <v>0.94460372483083188</v>
      </c>
      <c r="N21" s="9">
        <f t="array" ref="N21">PRODUCT(1+真實IC!$C21:N21)-1</f>
        <v>2.0819839697489995</v>
      </c>
      <c r="O21" s="9">
        <f t="array" ref="O21">PRODUCT(1+真實IC!$C21:O21)-1</f>
        <v>2.1878562505958348</v>
      </c>
      <c r="P21" s="9">
        <f t="array" ref="P21">PRODUCT(1+真實IC!$C21:P21)-1</f>
        <v>2.6493704912570326</v>
      </c>
      <c r="Q21" s="9">
        <f t="array" ref="Q21">PRODUCT(1+真實IC!$C21:Q21)-1</f>
        <v>3.5883902827597574</v>
      </c>
      <c r="R21" s="9">
        <f t="array" ref="R21">PRODUCT(1+真實IC!$C21:R21)-1</f>
        <v>3.1498534540063545</v>
      </c>
      <c r="S21" s="9">
        <f t="array" ref="S21">PRODUCT(1+真實IC!$C21:S21)-1</f>
        <v>3.6834842942325219</v>
      </c>
      <c r="T21" s="9">
        <f t="array" ref="T21">PRODUCT(1+真實IC!$C21:T21)-1</f>
        <v>4.1446279921728451</v>
      </c>
      <c r="U21" s="9">
        <f t="array" ref="U21">PRODUCT(1+真實IC!$C21:U21)-1</f>
        <v>4.5884983545386735</v>
      </c>
      <c r="V21" s="9">
        <f t="array" ref="V21">PRODUCT(1+真實IC!$C21:V21)-1</f>
        <v>4.8878050222387479</v>
      </c>
      <c r="W21" s="9">
        <f t="array" ref="W21">PRODUCT(1+真實IC!$C21:W21)-1</f>
        <v>5.6208293877511952</v>
      </c>
      <c r="X21" s="9">
        <f t="array" ref="X21">PRODUCT(1+真實IC!$C21:X21)-1</f>
        <v>7.0352434080358073</v>
      </c>
      <c r="Y21" s="9">
        <f t="array" ref="Y21">PRODUCT(1+真實IC!$C21:Y21)-1</f>
        <v>6.8678445160553068</v>
      </c>
      <c r="Z21" s="9">
        <f t="array" ref="Z21">PRODUCT(1+真實IC!$C21:Z21)-1</f>
        <v>7.7663837306372709</v>
      </c>
      <c r="AA21" s="9">
        <f t="array" ref="AA21">PRODUCT(1+真實IC!$C21:AA21)-1</f>
        <v>8.7362605458080989</v>
      </c>
      <c r="AB21" s="9">
        <f t="array" ref="AB21">PRODUCT(1+真實IC!$C21:AB21)-1</f>
        <v>10.000412549184889</v>
      </c>
      <c r="AC21" s="9">
        <f t="array" ref="AC21">PRODUCT(1+真實IC!$C21:AC21)-1</f>
        <v>10.207525420327121</v>
      </c>
      <c r="AD21" s="9">
        <f t="array" ref="AD21">PRODUCT(1+真實IC!$C21:AD21)-1</f>
        <v>11.651329278838052</v>
      </c>
      <c r="AE21" s="9">
        <f t="array" ref="AE21">PRODUCT(1+真實IC!$C21:AE21)-1</f>
        <v>13.272027547847925</v>
      </c>
      <c r="AF21" s="9">
        <f t="array" ref="AF21">PRODUCT(1+真實IC!$C21:AF21)-1</f>
        <v>17.484334529802826</v>
      </c>
      <c r="AG21" s="9">
        <f t="array" ref="AG21">PRODUCT(1+真實IC!$C21:AG21)-1</f>
        <v>18.303241895068897</v>
      </c>
      <c r="AH21" s="9">
        <f t="array" ref="AH21">PRODUCT(1+真實IC!$C21:AH21)-1</f>
        <v>16.226572830079487</v>
      </c>
      <c r="AI21" s="9">
        <f t="array" ref="AI21">PRODUCT(1+真實IC!$C21:AI21)-1</f>
        <v>17.98582366042173</v>
      </c>
      <c r="AJ21" s="9">
        <f t="array" ref="AJ21">PRODUCT(1+真實IC!$C21:AJ21)-1</f>
        <v>16.649120253474379</v>
      </c>
      <c r="AK21" s="9">
        <f t="array" ref="AK21">PRODUCT(1+真實IC!$C21:AK21)-1</f>
        <v>16.017225842727054</v>
      </c>
      <c r="AL21" s="9">
        <f t="array" ref="AL21">PRODUCT(1+真實IC!$C21:AL21)-1</f>
        <v>16.353830824202657</v>
      </c>
      <c r="AM21" s="9">
        <f t="array" ref="AM21">PRODUCT(1+真實IC!$C21:AM21)-1</f>
        <v>17.543189632048964</v>
      </c>
      <c r="AN21" s="9">
        <f t="array" ref="AN21">PRODUCT(1+真實IC!$C21:AN21)-1</f>
        <v>19.619212010083228</v>
      </c>
      <c r="AO21" s="9">
        <f t="array" ref="AO21">PRODUCT(1+真實IC!$C21:AO21)-1</f>
        <v>21.383552102263749</v>
      </c>
      <c r="AP21" s="9">
        <f t="array" ref="AP21">PRODUCT(1+真實IC!$C21:AP21)-1</f>
        <v>23.007146267608455</v>
      </c>
      <c r="AQ21" s="9">
        <f t="array" ref="AQ21">PRODUCT(1+真實IC!$C21:AQ21)-1</f>
        <v>26.205474321964324</v>
      </c>
      <c r="AR21" s="9">
        <f t="array" ref="AR21">PRODUCT(1+真實IC!$C21:AR21)-1</f>
        <v>27.511017425095329</v>
      </c>
      <c r="AS21" s="9">
        <f t="array" ref="AS21">PRODUCT(1+真實IC!$C21:AS21)-1</f>
        <v>26.216426721666675</v>
      </c>
      <c r="AT21" s="9">
        <f t="array" ref="AT21">PRODUCT(1+真實IC!$C21:AT21)-1</f>
        <v>33.424377751315632</v>
      </c>
      <c r="AU21" s="9">
        <f t="array" ref="AU21">PRODUCT(1+真實IC!$C21:AU21)-1</f>
        <v>45.351779185063663</v>
      </c>
      <c r="AV21" s="9">
        <f t="array" ref="AV21">PRODUCT(1+真實IC!$C21:AV21)-1</f>
        <v>42.166767076814693</v>
      </c>
      <c r="AW21" s="9">
        <f t="array" ref="AW21">PRODUCT(1+真實IC!$C21:AW21)-1</f>
        <v>53.53063073374949</v>
      </c>
      <c r="AX21" s="9">
        <f t="array" ref="AX21">PRODUCT(1+真實IC!$C21:AX21)-1</f>
        <v>65.402947092284805</v>
      </c>
      <c r="AY21" s="9">
        <f t="array" ref="AY21">PRODUCT(1+真實IC!$C21:AY21)-1</f>
        <v>68.525299389310391</v>
      </c>
      <c r="AZ21" s="9">
        <f t="array" ref="AZ21">PRODUCT(1+真實IC!$C21:AZ21)-1</f>
        <v>76.069002948948736</v>
      </c>
      <c r="BA21" s="9">
        <f t="array" ref="BA21">PRODUCT(1+真實IC!$C21:BA21)-1</f>
        <v>86.827257743099864</v>
      </c>
      <c r="BB21" s="9">
        <f t="array" ref="BB21">PRODUCT(1+真實IC!$C21:BB21)-1</f>
        <v>122.34736102115994</v>
      </c>
      <c r="BC21" s="9">
        <f t="array" ref="BC21">PRODUCT(1+真實IC!$C21:BC21)-1</f>
        <v>142.63313362671695</v>
      </c>
      <c r="BD21" s="9">
        <f t="array" ref="BD21">PRODUCT(1+真實IC!$C21:BD21)-1</f>
        <v>148.12315107676415</v>
      </c>
      <c r="BE21" s="9">
        <f t="array" ref="BE21">PRODUCT(1+真實IC!$C21:BE21)-1</f>
        <v>168.5150494448734</v>
      </c>
      <c r="BF21" s="9">
        <f t="array" ref="BF21">PRODUCT(1+真實IC!$C21:BF21)-1</f>
        <v>202.26841423343265</v>
      </c>
      <c r="BG21" s="9">
        <f t="array" ref="BG21">PRODUCT(1+真實IC!$C21:BG21)-1</f>
        <v>221.02715601033816</v>
      </c>
      <c r="BH21" s="9">
        <f t="array" ref="BH21">PRODUCT(1+真實IC!$C21:BH21)-1</f>
        <v>244.7490057552815</v>
      </c>
      <c r="BI21" s="9">
        <f t="array" ref="BI21">PRODUCT(1+真實IC!$C21:BI21)-1</f>
        <v>285.53586900172684</v>
      </c>
      <c r="BJ21" s="9">
        <f t="array" ref="BJ21">PRODUCT(1+真實IC!$C21:BJ21)-1</f>
        <v>291.95319795785673</v>
      </c>
      <c r="BK21" s="9">
        <f t="array" ref="BK21">PRODUCT(1+真實IC!$C21:BK21)-1</f>
        <v>270.64854282786905</v>
      </c>
      <c r="BL21" s="9">
        <f t="array" ref="BL21">PRODUCT(1+真實IC!$C21:BL21)-1</f>
        <v>294.3745412878535</v>
      </c>
      <c r="BM21" s="9">
        <f t="array" ref="BM21">PRODUCT(1+真實IC!$C21:BM21)-1</f>
        <v>306.42443018529366</v>
      </c>
      <c r="BN21" s="9">
        <f t="array" ref="BN21">PRODUCT(1+真實IC!$C21:BN21)-1</f>
        <v>314.35236824701957</v>
      </c>
      <c r="BO21" s="9">
        <f t="array" ref="BO21">PRODUCT(1+真實IC!$C21:BO21)-1</f>
        <v>294.21483751425569</v>
      </c>
      <c r="BP21" s="9">
        <f t="array" ref="BP21">PRODUCT(1+真實IC!$C21:BP21)-1</f>
        <v>292.98083949344613</v>
      </c>
      <c r="BQ21" s="9">
        <f t="array" ref="BQ21">PRODUCT(1+真實IC!$C21:BQ21)-1</f>
        <v>309.01521030201923</v>
      </c>
      <c r="BR21" s="9">
        <f t="array" ref="BR21">PRODUCT(1+真實IC!$C21:BR21)-1</f>
        <v>353.05642243179852</v>
      </c>
      <c r="BS21" s="9">
        <f t="array" ref="BS21">PRODUCT(1+真實IC!$C21:BS21)-1</f>
        <v>329.7801084984261</v>
      </c>
      <c r="BT21" s="9">
        <f t="array" ref="BT21">PRODUCT(1+真實IC!$C21:BT21)-1</f>
        <v>309.66140073933485</v>
      </c>
      <c r="BU21" s="9">
        <f t="array" ref="BU21">PRODUCT(1+真實IC!$C21:BU21)-1</f>
        <v>362.70310697876744</v>
      </c>
      <c r="BV21" s="9">
        <f t="array" ref="BV21">PRODUCT(1+真實IC!$C21:BV21)-1</f>
        <v>346.57651847437972</v>
      </c>
      <c r="BW21" s="9">
        <f t="array" ref="BW21">PRODUCT(1+真實IC!$C21:BW21)-1</f>
        <v>410.69071619882845</v>
      </c>
      <c r="BX21" s="9">
        <f t="array" ref="BX21">PRODUCT(1+真實IC!$C21:BX21)-1</f>
        <v>378.92332254209919</v>
      </c>
      <c r="BY21" s="9">
        <f t="array" ref="BY21">PRODUCT(1+真實IC!$C21:BY21)-1</f>
        <v>357.77439983982885</v>
      </c>
      <c r="BZ21" s="9">
        <f t="array" ref="BZ21">PRODUCT(1+真實IC!$C21:BZ21)-1</f>
        <v>374.87463848621212</v>
      </c>
      <c r="CA21" s="9">
        <f t="array" ref="CA21">PRODUCT(1+真實IC!$C21:CA21)-1</f>
        <v>397.62167074955312</v>
      </c>
      <c r="CB21" s="9">
        <f t="array" ref="CB21">PRODUCT(1+真實IC!$C21:CB21)-1</f>
        <v>480.48325710368044</v>
      </c>
      <c r="CC21" s="9">
        <f t="array" ref="CC21">PRODUCT(1+真實IC!$C21:CC21)-1</f>
        <v>476.6220021233375</v>
      </c>
      <c r="CD21" s="9">
        <f t="array" ref="CD21">PRODUCT(1+真實IC!$C21:CD21)-1</f>
        <v>614.20391630791096</v>
      </c>
      <c r="CE21" s="9">
        <f t="array" ref="CE21">PRODUCT(1+真實IC!$C21:CE21)-1</f>
        <v>652.04787761763384</v>
      </c>
      <c r="CF21" s="9">
        <f t="array" ref="CF21">PRODUCT(1+真實IC!$C21:CF21)-1</f>
        <v>737.77064925661637</v>
      </c>
      <c r="CG21" s="9">
        <f t="array" ref="CG21">PRODUCT(1+真實IC!$C21:CG21)-1</f>
        <v>800.62919778705714</v>
      </c>
      <c r="CH21" s="9">
        <f t="array" ref="CH21">PRODUCT(1+真實IC!$C21:CH21)-1</f>
        <v>864.83995391386645</v>
      </c>
      <c r="CI21" s="9">
        <f t="array" ref="CI21">PRODUCT(1+真實IC!$C21:CI21)-1</f>
        <v>934.53973805991859</v>
      </c>
      <c r="CJ21" s="9">
        <f t="array" ref="CJ21">PRODUCT(1+真實IC!$C21:CJ21)-1</f>
        <v>882.95328304061206</v>
      </c>
      <c r="CK21" s="9">
        <f t="array" ref="CK21">PRODUCT(1+真實IC!$C21:CK21)-1</f>
        <v>942.31925872931151</v>
      </c>
      <c r="CL21" s="9">
        <f t="array" ref="CL21">PRODUCT(1+真實IC!$C21:CL21)-1</f>
        <v>816.01784262302374</v>
      </c>
      <c r="CM21" s="9">
        <f t="array" ref="CM21">PRODUCT(1+真實IC!$C21:CM21)-1</f>
        <v>910.98003072555855</v>
      </c>
      <c r="CN21" s="9">
        <f t="array" ref="CN21">PRODUCT(1+真實IC!$C21:CN21)-1</f>
        <v>984.7149922320333</v>
      </c>
      <c r="CO21" s="9">
        <f t="array" ref="CO21">PRODUCT(1+真實IC!$C21:CO21)-1</f>
        <v>1315.4056149710125</v>
      </c>
      <c r="CP21" s="9">
        <f t="array" ref="CP21">PRODUCT(1+真實IC!$C21:CP21)-1</f>
        <v>1608.5692255650829</v>
      </c>
      <c r="CQ21" s="9">
        <f t="array" ref="CQ21">PRODUCT(1+真實IC!$C21:CQ21)-1</f>
        <v>1645.4479881904758</v>
      </c>
      <c r="CR21" s="9">
        <f t="array" ref="CR21">PRODUCT(1+真實IC!$C21:CR21)-1</f>
        <v>2039.0477888628679</v>
      </c>
      <c r="CS21" s="9">
        <f t="array" ref="CS21">PRODUCT(1+真實IC!$C21:CS21)-1</f>
        <v>2164.0395507278727</v>
      </c>
      <c r="CT21" s="9">
        <f t="array" ref="CT21">PRODUCT(1+真實IC!$C21:CT21)-1</f>
        <v>2267.9500827051693</v>
      </c>
      <c r="CU21" s="9">
        <f t="array" ref="CU21">PRODUCT(1+真實IC!$C21:CU21)-1</f>
        <v>2628.523966055574</v>
      </c>
      <c r="CV21" s="9">
        <f t="array" ref="CV21">PRODUCT(1+真實IC!$C21:CV21)-1</f>
        <v>3034.3432506158811</v>
      </c>
      <c r="CW21" s="9">
        <f t="array" ref="CW21">PRODUCT(1+真實IC!$C21:CW21)-1</f>
        <v>3150.7350564437202</v>
      </c>
      <c r="CX21" s="9">
        <f t="array" ref="CX21">PRODUCT(1+真實IC!$C21:CX21)-1</f>
        <v>3472.5970975034738</v>
      </c>
      <c r="CY21" s="9">
        <f t="array" ref="CY21">PRODUCT(1+真實IC!$C21:CY21)-1</f>
        <v>3828.659036382342</v>
      </c>
      <c r="CZ21" s="9">
        <f t="array" ref="CZ21">PRODUCT(1+真實IC!$C21:CZ21)-1</f>
        <v>4738.0168243668568</v>
      </c>
      <c r="DA21" s="9">
        <f t="array" ref="DA21">PRODUCT(1+真實IC!$C21:DA21)-1</f>
        <v>4935.6800313569929</v>
      </c>
      <c r="DB21" s="9">
        <f t="array" ref="DB21">PRODUCT(1+真實IC!$C21:DB21)-1</f>
        <v>5288.4527180577479</v>
      </c>
      <c r="DC21" s="9">
        <f t="array" ref="DC21">PRODUCT(1+真實IC!$C21:DC21)-1</f>
        <v>5050.1757834822456</v>
      </c>
      <c r="DD21" s="9">
        <f t="array" ref="DD21">PRODUCT(1+真實IC!$C21:DD21)-1</f>
        <v>5064.4140094490376</v>
      </c>
      <c r="DE21" s="9">
        <f t="array" ref="DE21">PRODUCT(1+真實IC!$C21:DE21)-1</f>
        <v>5211.1982447165465</v>
      </c>
      <c r="DF21" s="9">
        <f t="array" ref="DF21">PRODUCT(1+真實IC!$C21:DF21)-1</f>
        <v>6780.8608674598627</v>
      </c>
      <c r="DG21" s="9">
        <f t="array" ref="DG21">PRODUCT(1+真實IC!$C21:DG21)-1</f>
        <v>7183.7763079913038</v>
      </c>
      <c r="DH21" s="9">
        <f t="array" ref="DH21">PRODUCT(1+真實IC!$C21:DH21)-1</f>
        <v>7768.8829361851913</v>
      </c>
      <c r="DI21" s="9">
        <f t="array" ref="DI21">PRODUCT(1+真實IC!$C21:DI21)-1</f>
        <v>9166.2186834287368</v>
      </c>
      <c r="DJ21" s="9">
        <f t="array" ref="DJ21">PRODUCT(1+真實IC!$C21:DJ21)-1</f>
        <v>10601.857551660412</v>
      </c>
      <c r="DK21" s="9">
        <f t="array" ref="DK21">PRODUCT(1+真實IC!$C21:DK21)-1</f>
        <v>11565.585733817868</v>
      </c>
      <c r="DL21" s="9">
        <f t="array" ref="DL21">PRODUCT(1+真實IC!$C21:DL21)-1</f>
        <v>11418.262229630489</v>
      </c>
      <c r="DM21" s="9">
        <f t="array" ref="DM21">PRODUCT(1+真實IC!$C21:DM21)-1</f>
        <v>11132.914850220925</v>
      </c>
      <c r="DN21" s="9">
        <f t="array" ref="DN21">PRODUCT(1+真實IC!$C21:DN21)-1</f>
        <v>11925.623005268068</v>
      </c>
      <c r="DO21" s="9">
        <f t="array" ref="DO21">PRODUCT(1+真實IC!$C21:DO21)-1</f>
        <v>15880.804267668847</v>
      </c>
      <c r="DP21" s="9">
        <f t="array" ref="DP21">PRODUCT(1+真實IC!$C21:DP21)-1</f>
        <v>19518.053328973449</v>
      </c>
      <c r="DQ21" s="9">
        <f t="array" ref="DQ21">PRODUCT(1+真實IC!$C21:DQ21)-1</f>
        <v>20892.637742580613</v>
      </c>
      <c r="DR21" s="9">
        <f t="array" ref="DR21">PRODUCT(1+真實IC!$C21:DR21)-1</f>
        <v>21940.889496535452</v>
      </c>
      <c r="DS21" s="9">
        <f t="array" ref="DS21">PRODUCT(1+真實IC!$C21:DS21)-1</f>
        <v>21904.164258990626</v>
      </c>
      <c r="DT21" s="9">
        <f t="array" ref="DT21">PRODUCT(1+真實IC!$C21:DT21)-1</f>
        <v>21789.924657804713</v>
      </c>
      <c r="DU21" s="9">
        <f t="array" ref="DU21">PRODUCT(1+真實IC!$C21:DU21)-1</f>
        <v>25028.377478093193</v>
      </c>
      <c r="DV21" s="9">
        <f t="array" ref="DV21">PRODUCT(1+真實IC!$C21:DV21)-1</f>
        <v>28539.397854277639</v>
      </c>
      <c r="DW21" s="9">
        <f t="array" ref="DW21">PRODUCT(1+真實IC!$C21:DW21)-1</f>
        <v>25584.439222037148</v>
      </c>
      <c r="DX21" s="9">
        <f t="array" ref="DX21">PRODUCT(1+真實IC!$C21:DX21)-1</f>
        <v>30342.466488484348</v>
      </c>
      <c r="DY21" s="9">
        <f t="array" ref="DY21">PRODUCT(1+真實IC!$C21:DY21)-1</f>
        <v>35401.632656109345</v>
      </c>
      <c r="DZ21" s="9">
        <f t="array" ref="DZ21">PRODUCT(1+真實IC!$C21:DZ21)-1</f>
        <v>38904.015104778242</v>
      </c>
      <c r="EA21" s="9">
        <f t="array" ref="EA21">PRODUCT(1+真實IC!$C21:EA21)-1</f>
        <v>37539.75405831555</v>
      </c>
      <c r="EB21" s="9">
        <f t="array" ref="EB21">PRODUCT(1+真實IC!$C21:EB21)-1</f>
        <v>38527.15825440862</v>
      </c>
      <c r="EC21" s="9">
        <f t="array" ref="EC21">PRODUCT(1+真實IC!$C21:EC21)-1</f>
        <v>39067.980134651836</v>
      </c>
      <c r="ED21" s="9">
        <f t="array" ref="ED21">PRODUCT(1+真實IC!$C21:ED21)-1</f>
        <v>41197.194870680156</v>
      </c>
      <c r="EE21" s="9">
        <f t="array" ref="EE21">PRODUCT(1+真實IC!$C21:EE21)-1</f>
        <v>42075.12840337435</v>
      </c>
      <c r="EF21" s="9">
        <f t="array" ref="EF21">PRODUCT(1+真實IC!$C21:EF21)-1</f>
        <v>43286.689482685317</v>
      </c>
    </row>
    <row r="22" spans="1:136" ht="15" customHeight="1">
      <c r="A22" s="20">
        <v>3</v>
      </c>
      <c r="B22" s="20" t="s">
        <v>231</v>
      </c>
      <c r="C22" s="9">
        <f t="array" ref="C22">PRODUCT(1+真實IC!$C22:C22)-1</f>
        <v>0.20528266666666672</v>
      </c>
      <c r="D22" s="9">
        <f t="array" ref="D22">PRODUCT(1+真實IC!$C22:D22)-1</f>
        <v>0.37695027335822218</v>
      </c>
      <c r="E22" s="9">
        <f t="array" ref="E22">PRODUCT(1+真實IC!$C22:E22)-1</f>
        <v>0.35305100644696785</v>
      </c>
      <c r="F22" s="9">
        <f t="array" ref="F22">PRODUCT(1+真實IC!$C22:F22)-1</f>
        <v>0.26127212119906762</v>
      </c>
      <c r="G22" s="9">
        <f t="array" ref="G22">PRODUCT(1+真實IC!$C22:G22)-1</f>
        <v>0.392298572445682</v>
      </c>
      <c r="H22" s="9">
        <f t="array" ref="H22">PRODUCT(1+真實IC!$C22:H22)-1</f>
        <v>0.56519142457484173</v>
      </c>
      <c r="I22" s="9">
        <f t="array" ref="I22">PRODUCT(1+真實IC!$C22:I22)-1</f>
        <v>0.75848187421635749</v>
      </c>
      <c r="J22" s="9">
        <f t="array" ref="J22">PRODUCT(1+真實IC!$C22:J22)-1</f>
        <v>0.85097554004881393</v>
      </c>
      <c r="K22" s="9">
        <f t="array" ref="K22">PRODUCT(1+真實IC!$C22:K22)-1</f>
        <v>1.3051418427863477</v>
      </c>
      <c r="L22" s="9">
        <f t="array" ref="L22">PRODUCT(1+真實IC!$C22:L22)-1</f>
        <v>1.2722428584061007</v>
      </c>
      <c r="M22" s="9">
        <f t="array" ref="M22">PRODUCT(1+真實IC!$C22:M22)-1</f>
        <v>1.1038695290571949</v>
      </c>
      <c r="N22" s="9">
        <f t="array" ref="N22">PRODUCT(1+真實IC!$C22:N22)-1</f>
        <v>2.6946943437874031</v>
      </c>
      <c r="O22" s="9">
        <f t="array" ref="O22">PRODUCT(1+真實IC!$C22:O22)-1</f>
        <v>2.6698812261768294</v>
      </c>
      <c r="P22" s="9">
        <f t="array" ref="P22">PRODUCT(1+真實IC!$C22:P22)-1</f>
        <v>2.9369857662281782</v>
      </c>
      <c r="Q22" s="9">
        <f t="array" ref="Q22">PRODUCT(1+真實IC!$C22:Q22)-1</f>
        <v>4.0266524576697513</v>
      </c>
      <c r="R22" s="9">
        <f t="array" ref="R22">PRODUCT(1+真實IC!$C22:R22)-1</f>
        <v>3.8425340485178783</v>
      </c>
      <c r="S22" s="9">
        <f t="array" ref="S22">PRODUCT(1+真實IC!$C22:S22)-1</f>
        <v>4.6640532700209851</v>
      </c>
      <c r="T22" s="9">
        <f t="array" ref="T22">PRODUCT(1+真實IC!$C22:T22)-1</f>
        <v>5.3936536899738146</v>
      </c>
      <c r="U22" s="9">
        <f t="array" ref="U22">PRODUCT(1+真實IC!$C22:U22)-1</f>
        <v>6.1007280011755256</v>
      </c>
      <c r="V22" s="9">
        <f t="array" ref="V22">PRODUCT(1+真實IC!$C22:V22)-1</f>
        <v>6.3725919872848138</v>
      </c>
      <c r="W22" s="9">
        <f t="array" ref="W22">PRODUCT(1+真實IC!$C22:W22)-1</f>
        <v>7.5378154056912035</v>
      </c>
      <c r="X22" s="9">
        <f t="array" ref="X22">PRODUCT(1+真實IC!$C22:X22)-1</f>
        <v>9.4313898137489058</v>
      </c>
      <c r="Y22" s="9">
        <f t="array" ref="Y22">PRODUCT(1+真實IC!$C22:Y22)-1</f>
        <v>9.2672810151563265</v>
      </c>
      <c r="Z22" s="9">
        <f t="array" ref="Z22">PRODUCT(1+真實IC!$C22:Z22)-1</f>
        <v>10.042956324685392</v>
      </c>
      <c r="AA22" s="9">
        <f t="array" ref="AA22">PRODUCT(1+真實IC!$C22:AA22)-1</f>
        <v>10.954269952064244</v>
      </c>
      <c r="AB22" s="9">
        <f t="array" ref="AB22">PRODUCT(1+真實IC!$C22:AB22)-1</f>
        <v>12.56135673017247</v>
      </c>
      <c r="AC22" s="9">
        <f t="array" ref="AC22">PRODUCT(1+真實IC!$C22:AC22)-1</f>
        <v>13.724601912986076</v>
      </c>
      <c r="AD22" s="9">
        <f t="array" ref="AD22">PRODUCT(1+真實IC!$C22:AD22)-1</f>
        <v>13.924434393747848</v>
      </c>
      <c r="AE22" s="9">
        <f t="array" ref="AE22">PRODUCT(1+真實IC!$C22:AE22)-1</f>
        <v>15.876906252998207</v>
      </c>
      <c r="AF22" s="9">
        <f t="array" ref="AF22">PRODUCT(1+真實IC!$C22:AF22)-1</f>
        <v>23.132571243946607</v>
      </c>
      <c r="AG22" s="9">
        <f t="array" ref="AG22">PRODUCT(1+真實IC!$C22:AG22)-1</f>
        <v>24.40777347687737</v>
      </c>
      <c r="AH22" s="9">
        <f t="array" ref="AH22">PRODUCT(1+真實IC!$C22:AH22)-1</f>
        <v>21.717955161009709</v>
      </c>
      <c r="AI22" s="9">
        <f t="array" ref="AI22">PRODUCT(1+真實IC!$C22:AI22)-1</f>
        <v>24.239754201005869</v>
      </c>
      <c r="AJ22" s="9">
        <f t="array" ref="AJ22">PRODUCT(1+真實IC!$C22:AJ22)-1</f>
        <v>23.439657795798404</v>
      </c>
      <c r="AK22" s="9">
        <f t="array" ref="AK22">PRODUCT(1+真實IC!$C22:AK22)-1</f>
        <v>25.915115558922615</v>
      </c>
      <c r="AL22" s="9">
        <f t="array" ref="AL22">PRODUCT(1+真實IC!$C22:AL22)-1</f>
        <v>25.661045839751573</v>
      </c>
      <c r="AM22" s="9">
        <f t="array" ref="AM22">PRODUCT(1+真實IC!$C22:AM22)-1</f>
        <v>27.902943949718459</v>
      </c>
      <c r="AN22" s="9">
        <f t="array" ref="AN22">PRODUCT(1+真實IC!$C22:AN22)-1</f>
        <v>31.115009318399046</v>
      </c>
      <c r="AO22" s="9">
        <f t="array" ref="AO22">PRODUCT(1+真實IC!$C22:AO22)-1</f>
        <v>36.194090382188691</v>
      </c>
      <c r="AP22" s="9">
        <f t="array" ref="AP22">PRODUCT(1+真實IC!$C22:AP22)-1</f>
        <v>38.520073180871222</v>
      </c>
      <c r="AQ22" s="9">
        <f t="array" ref="AQ22">PRODUCT(1+真實IC!$C22:AQ22)-1</f>
        <v>42.872392493565116</v>
      </c>
      <c r="AR22" s="9">
        <f t="array" ref="AR22">PRODUCT(1+真實IC!$C22:AR22)-1</f>
        <v>45.852410129559694</v>
      </c>
      <c r="AS22" s="9">
        <f t="array" ref="AS22">PRODUCT(1+真實IC!$C22:AS22)-1</f>
        <v>49.312165573281639</v>
      </c>
      <c r="AT22" s="9">
        <f t="array" ref="AT22">PRODUCT(1+真實IC!$C22:AT22)-1</f>
        <v>50.204118310098302</v>
      </c>
      <c r="AU22" s="9">
        <f t="array" ref="AU22">PRODUCT(1+真實IC!$C22:AU22)-1</f>
        <v>72.188862527130553</v>
      </c>
      <c r="AV22" s="9">
        <f t="array" ref="AV22">PRODUCT(1+真實IC!$C22:AV22)-1</f>
        <v>65.619870686665067</v>
      </c>
      <c r="AW22" s="9">
        <f t="array" ref="AW22">PRODUCT(1+真實IC!$C22:AW22)-1</f>
        <v>90.322470683779727</v>
      </c>
      <c r="AX22" s="9">
        <f t="array" ref="AX22">PRODUCT(1+真實IC!$C22:AX22)-1</f>
        <v>89.420644299277868</v>
      </c>
      <c r="AY22" s="9">
        <f t="array" ref="AY22">PRODUCT(1+真實IC!$C22:AY22)-1</f>
        <v>95.906823218967361</v>
      </c>
      <c r="AZ22" s="9">
        <f t="array" ref="AZ22">PRODUCT(1+真實IC!$C22:AZ22)-1</f>
        <v>110.94566390522128</v>
      </c>
      <c r="BA22" s="9">
        <f t="array" ref="BA22">PRODUCT(1+真實IC!$C22:BA22)-1</f>
        <v>116.51772201088238</v>
      </c>
      <c r="BB22" s="9">
        <f t="array" ref="BB22">PRODUCT(1+真實IC!$C22:BB22)-1</f>
        <v>177.42293250238609</v>
      </c>
      <c r="BC22" s="9">
        <f t="array" ref="BC22">PRODUCT(1+真實IC!$C22:BC22)-1</f>
        <v>212.32710340344087</v>
      </c>
      <c r="BD22" s="9">
        <f t="array" ref="BD22">PRODUCT(1+真實IC!$C22:BD22)-1</f>
        <v>229.23626292761122</v>
      </c>
      <c r="BE22" s="9">
        <f t="array" ref="BE22">PRODUCT(1+真實IC!$C22:BE22)-1</f>
        <v>258.72213393291173</v>
      </c>
      <c r="BF22" s="9">
        <f t="array" ref="BF22">PRODUCT(1+真實IC!$C22:BF22)-1</f>
        <v>310.43344674117992</v>
      </c>
      <c r="BG22" s="9">
        <f t="array" ref="BG22">PRODUCT(1+真實IC!$C22:BG22)-1</f>
        <v>297.59258818872689</v>
      </c>
      <c r="BH22" s="9">
        <f t="array" ref="BH22">PRODUCT(1+真實IC!$C22:BH22)-1</f>
        <v>335.72495465424487</v>
      </c>
      <c r="BI22" s="9">
        <f t="array" ref="BI22">PRODUCT(1+真實IC!$C22:BI22)-1</f>
        <v>373.13129866014395</v>
      </c>
      <c r="BJ22" s="9">
        <f t="array" ref="BJ22">PRODUCT(1+真實IC!$C22:BJ22)-1</f>
        <v>388.43077456668613</v>
      </c>
      <c r="BK22" s="9">
        <f t="array" ref="BK22">PRODUCT(1+真實IC!$C22:BK22)-1</f>
        <v>369.61516707298034</v>
      </c>
      <c r="BL22" s="9">
        <f t="array" ref="BL22">PRODUCT(1+真實IC!$C22:BL22)-1</f>
        <v>421.30537972829723</v>
      </c>
      <c r="BM22" s="9">
        <f t="array" ref="BM22">PRODUCT(1+真實IC!$C22:BM22)-1</f>
        <v>422.33178587822545</v>
      </c>
      <c r="BN22" s="9">
        <f t="array" ref="BN22">PRODUCT(1+真實IC!$C22:BN22)-1</f>
        <v>457.44052531884546</v>
      </c>
      <c r="BO22" s="9">
        <f t="array" ref="BO22">PRODUCT(1+真實IC!$C22:BO22)-1</f>
        <v>434.29641711597412</v>
      </c>
      <c r="BP22" s="9">
        <f t="array" ref="BP22">PRODUCT(1+真實IC!$C22:BP22)-1</f>
        <v>434.06135705073149</v>
      </c>
      <c r="BQ22" s="9">
        <f t="array" ref="BQ22">PRODUCT(1+真實IC!$C22:BQ22)-1</f>
        <v>446.16915699169539</v>
      </c>
      <c r="BR22" s="9">
        <f t="array" ref="BR22">PRODUCT(1+真實IC!$C22:BR22)-1</f>
        <v>493.8225350475052</v>
      </c>
      <c r="BS22" s="9">
        <f t="array" ref="BS22">PRODUCT(1+真實IC!$C22:BS22)-1</f>
        <v>445.80120068965203</v>
      </c>
      <c r="BT22" s="9">
        <f t="array" ref="BT22">PRODUCT(1+真實IC!$C22:BT22)-1</f>
        <v>485.44333935337431</v>
      </c>
      <c r="BU22" s="9">
        <f t="array" ref="BU22">PRODUCT(1+真實IC!$C22:BU22)-1</f>
        <v>536.20418825823833</v>
      </c>
      <c r="BV22" s="9">
        <f t="array" ref="BV22">PRODUCT(1+真實IC!$C22:BV22)-1</f>
        <v>510.09416591283144</v>
      </c>
      <c r="BW22" s="9">
        <f t="array" ref="BW22">PRODUCT(1+真實IC!$C22:BW22)-1</f>
        <v>577.64639746501632</v>
      </c>
      <c r="BX22" s="9">
        <f t="array" ref="BX22">PRODUCT(1+真實IC!$C22:BX22)-1</f>
        <v>512.24392398087036</v>
      </c>
      <c r="BY22" s="9">
        <f t="array" ref="BY22">PRODUCT(1+真實IC!$C22:BY22)-1</f>
        <v>483.7090758923166</v>
      </c>
      <c r="BZ22" s="9">
        <f t="array" ref="BZ22">PRODUCT(1+真實IC!$C22:BZ22)-1</f>
        <v>506.61532937118221</v>
      </c>
      <c r="CA22" s="9">
        <f t="array" ref="CA22">PRODUCT(1+真實IC!$C22:CA22)-1</f>
        <v>520.56971461341129</v>
      </c>
      <c r="CB22" s="9">
        <f t="array" ref="CB22">PRODUCT(1+真實IC!$C22:CB22)-1</f>
        <v>653.4343837140317</v>
      </c>
      <c r="CC22" s="9">
        <f t="array" ref="CC22">PRODUCT(1+真實IC!$C22:CC22)-1</f>
        <v>571.56137013948774</v>
      </c>
      <c r="CD22" s="9">
        <f t="array" ref="CD22">PRODUCT(1+真實IC!$C22:CD22)-1</f>
        <v>762.72703629920659</v>
      </c>
      <c r="CE22" s="9">
        <f t="array" ref="CE22">PRODUCT(1+真實IC!$C22:CE22)-1</f>
        <v>813.77455140544555</v>
      </c>
      <c r="CF22" s="9">
        <f t="array" ref="CF22">PRODUCT(1+真實IC!$C22:CF22)-1</f>
        <v>967.60381215371979</v>
      </c>
      <c r="CG22" s="9">
        <f t="array" ref="CG22">PRODUCT(1+真實IC!$C22:CG22)-1</f>
        <v>1168.1874547836615</v>
      </c>
      <c r="CH22" s="9">
        <f t="array" ref="CH22">PRODUCT(1+真實IC!$C22:CH22)-1</f>
        <v>1303.718227937529</v>
      </c>
      <c r="CI22" s="9">
        <f t="array" ref="CI22">PRODUCT(1+真實IC!$C22:CI22)-1</f>
        <v>1457.3876097887617</v>
      </c>
      <c r="CJ22" s="9">
        <f t="array" ref="CJ22">PRODUCT(1+真實IC!$C22:CJ22)-1</f>
        <v>1273.1562710147562</v>
      </c>
      <c r="CK22" s="9">
        <f t="array" ref="CK22">PRODUCT(1+真實IC!$C22:CK22)-1</f>
        <v>1414.4901954743175</v>
      </c>
      <c r="CL22" s="9">
        <f t="array" ref="CL22">PRODUCT(1+真實IC!$C22:CL22)-1</f>
        <v>1073.8499339973123</v>
      </c>
      <c r="CM22" s="9">
        <f t="array" ref="CM22">PRODUCT(1+真實IC!$C22:CM22)-1</f>
        <v>1310.1341949879413</v>
      </c>
      <c r="CN22" s="9">
        <f t="array" ref="CN22">PRODUCT(1+真實IC!$C22:CN22)-1</f>
        <v>1510.4806354458965</v>
      </c>
      <c r="CO22" s="9">
        <f t="array" ref="CO22">PRODUCT(1+真實IC!$C22:CO22)-1</f>
        <v>1921.6925456446718</v>
      </c>
      <c r="CP22" s="9">
        <f t="array" ref="CP22">PRODUCT(1+真實IC!$C22:CP22)-1</f>
        <v>2420.4554444061832</v>
      </c>
      <c r="CQ22" s="9">
        <f t="array" ref="CQ22">PRODUCT(1+真實IC!$C22:CQ22)-1</f>
        <v>2462.0066888288825</v>
      </c>
      <c r="CR22" s="9">
        <f t="array" ref="CR22">PRODUCT(1+真實IC!$C22:CR22)-1</f>
        <v>3069.8096719397308</v>
      </c>
      <c r="CS22" s="9">
        <f t="array" ref="CS22">PRODUCT(1+真實IC!$C22:CS22)-1</f>
        <v>3330.1588606592113</v>
      </c>
      <c r="CT22" s="9">
        <f t="array" ref="CT22">PRODUCT(1+真實IC!$C22:CT22)-1</f>
        <v>3457.624544076049</v>
      </c>
      <c r="CU22" s="9">
        <f t="array" ref="CU22">PRODUCT(1+真實IC!$C22:CU22)-1</f>
        <v>4036.4388888523454</v>
      </c>
      <c r="CV22" s="9">
        <f t="array" ref="CV22">PRODUCT(1+真實IC!$C22:CV22)-1</f>
        <v>4707.5527960027594</v>
      </c>
      <c r="CW22" s="9">
        <f t="array" ref="CW22">PRODUCT(1+真實IC!$C22:CW22)-1</f>
        <v>4815.3035175088717</v>
      </c>
      <c r="CX22" s="9">
        <f t="array" ref="CX22">PRODUCT(1+真實IC!$C22:CX22)-1</f>
        <v>4833.3626967540395</v>
      </c>
      <c r="CY22" s="9">
        <f t="array" ref="CY22">PRODUCT(1+真實IC!$C22:CY22)-1</f>
        <v>5338.6067765545013</v>
      </c>
      <c r="CZ22" s="9">
        <f t="array" ref="CZ22">PRODUCT(1+真實IC!$C22:CZ22)-1</f>
        <v>6742.4987778155928</v>
      </c>
      <c r="DA22" s="9">
        <f t="array" ref="DA22">PRODUCT(1+真實IC!$C22:DA22)-1</f>
        <v>6961.3522871508203</v>
      </c>
      <c r="DB22" s="9">
        <f t="array" ref="DB22">PRODUCT(1+真實IC!$C22:DB22)-1</f>
        <v>7337.6024463166414</v>
      </c>
      <c r="DC22" s="9">
        <f t="array" ref="DC22">PRODUCT(1+真實IC!$C22:DC22)-1</f>
        <v>7185.5114924953614</v>
      </c>
      <c r="DD22" s="9">
        <f t="array" ref="DD22">PRODUCT(1+真實IC!$C22:DD22)-1</f>
        <v>7413.3969873470778</v>
      </c>
      <c r="DE22" s="9">
        <f t="array" ref="DE22">PRODUCT(1+真實IC!$C22:DE22)-1</f>
        <v>7281.7432212765298</v>
      </c>
      <c r="DF22" s="9">
        <f t="array" ref="DF22">PRODUCT(1+真實IC!$C22:DF22)-1</f>
        <v>10119.595206824912</v>
      </c>
      <c r="DG22" s="9">
        <f t="array" ref="DG22">PRODUCT(1+真實IC!$C22:DG22)-1</f>
        <v>10847.174916838761</v>
      </c>
      <c r="DH22" s="9">
        <f t="array" ref="DH22">PRODUCT(1+真實IC!$C22:DH22)-1</f>
        <v>11730.81662074817</v>
      </c>
      <c r="DI22" s="9">
        <f t="array" ref="DI22">PRODUCT(1+真實IC!$C22:DI22)-1</f>
        <v>12436.160810226333</v>
      </c>
      <c r="DJ22" s="9">
        <f t="array" ref="DJ22">PRODUCT(1+真實IC!$C22:DJ22)-1</f>
        <v>14347.74947704079</v>
      </c>
      <c r="DK22" s="9">
        <f t="array" ref="DK22">PRODUCT(1+真實IC!$C22:DK22)-1</f>
        <v>15659.622161311183</v>
      </c>
      <c r="DL22" s="9">
        <f t="array" ref="DL22">PRODUCT(1+真實IC!$C22:DL22)-1</f>
        <v>15609.299402663562</v>
      </c>
      <c r="DM22" s="9">
        <f t="array" ref="DM22">PRODUCT(1+真實IC!$C22:DM22)-1</f>
        <v>15111.575413075903</v>
      </c>
      <c r="DN22" s="9">
        <f t="array" ref="DN22">PRODUCT(1+真實IC!$C22:DN22)-1</f>
        <v>15818.289737125384</v>
      </c>
      <c r="DO22" s="9">
        <f t="array" ref="DO22">PRODUCT(1+真實IC!$C22:DO22)-1</f>
        <v>17016.052532668411</v>
      </c>
      <c r="DP22" s="9">
        <f t="array" ref="DP22">PRODUCT(1+真實IC!$C22:DP22)-1</f>
        <v>19901.505347974242</v>
      </c>
      <c r="DQ22" s="9">
        <f t="array" ref="DQ22">PRODUCT(1+真實IC!$C22:DQ22)-1</f>
        <v>23193.462657206161</v>
      </c>
      <c r="DR22" s="9">
        <f t="array" ref="DR22">PRODUCT(1+真實IC!$C22:DR22)-1</f>
        <v>23052.149173083104</v>
      </c>
      <c r="DS22" s="9">
        <f t="array" ref="DS22">PRODUCT(1+真實IC!$C22:DS22)-1</f>
        <v>22214.190253790708</v>
      </c>
      <c r="DT22" s="9">
        <f t="array" ref="DT22">PRODUCT(1+真實IC!$C22:DT22)-1</f>
        <v>22816.860684764033</v>
      </c>
      <c r="DU22" s="9">
        <f t="array" ref="DU22">PRODUCT(1+真實IC!$C22:DU22)-1</f>
        <v>26502.98720099136</v>
      </c>
      <c r="DV22" s="9">
        <f t="array" ref="DV22">PRODUCT(1+真實IC!$C22:DV22)-1</f>
        <v>29834.674031032904</v>
      </c>
      <c r="DW22" s="9">
        <f t="array" ref="DW22">PRODUCT(1+真實IC!$C22:DW22)-1</f>
        <v>27405.572794122327</v>
      </c>
      <c r="DX22" s="9">
        <f t="array" ref="DX22">PRODUCT(1+真實IC!$C22:DX22)-1</f>
        <v>33501.962335074968</v>
      </c>
      <c r="DY22" s="9">
        <f t="array" ref="DY22">PRODUCT(1+真實IC!$C22:DY22)-1</f>
        <v>37520.85485259533</v>
      </c>
      <c r="DZ22" s="9">
        <f t="array" ref="DZ22">PRODUCT(1+真實IC!$C22:DZ22)-1</f>
        <v>41679.539606042934</v>
      </c>
      <c r="EA22" s="9">
        <f t="array" ref="EA22">PRODUCT(1+真實IC!$C22:EA22)-1</f>
        <v>40254.430172598404</v>
      </c>
      <c r="EB22" s="9">
        <f t="array" ref="EB22">PRODUCT(1+真實IC!$C22:EB22)-1</f>
        <v>45478.21432392524</v>
      </c>
      <c r="EC22" s="9">
        <f t="array" ref="EC22">PRODUCT(1+真實IC!$C22:EC22)-1</f>
        <v>46455.794655398233</v>
      </c>
      <c r="ED22" s="9">
        <f t="array" ref="ED22">PRODUCT(1+真實IC!$C22:ED22)-1</f>
        <v>50052.180843735405</v>
      </c>
      <c r="EE22" s="9">
        <f t="array" ref="EE22">PRODUCT(1+真實IC!$C22:EE22)-1</f>
        <v>52436.514166407585</v>
      </c>
      <c r="EF22" s="9">
        <f t="array" ref="EF22">PRODUCT(1+真實IC!$C22:EF22)-1</f>
        <v>54355.342643127551</v>
      </c>
    </row>
    <row r="23" spans="1:136" ht="15" customHeight="1">
      <c r="A23" s="20">
        <v>2</v>
      </c>
      <c r="B23" s="20" t="s">
        <v>232</v>
      </c>
      <c r="C23" s="9">
        <f t="array" ref="C23">PRODUCT(1+真實IC!$C23:C23)-1</f>
        <v>0.28298899999999994</v>
      </c>
      <c r="D23" s="9">
        <f t="array" ref="D23">PRODUCT(1+真實IC!$C23:D23)-1</f>
        <v>0.60898880696599988</v>
      </c>
      <c r="E23" s="9">
        <f t="array" ref="E23">PRODUCT(1+真實IC!$C23:E23)-1</f>
        <v>0.82299236323651281</v>
      </c>
      <c r="F23" s="9">
        <f t="array" ref="F23">PRODUCT(1+真實IC!$C23:F23)-1</f>
        <v>0.49048571084223935</v>
      </c>
      <c r="G23" s="9">
        <f t="array" ref="G23">PRODUCT(1+真實IC!$C23:G23)-1</f>
        <v>0.4502849733576666</v>
      </c>
      <c r="H23" s="9">
        <f t="array" ref="H23">PRODUCT(1+真實IC!$C23:H23)-1</f>
        <v>0.42390646511975061</v>
      </c>
      <c r="I23" s="9">
        <f t="array" ref="I23">PRODUCT(1+真實IC!$C23:I23)-1</f>
        <v>0.63486109646431532</v>
      </c>
      <c r="J23" s="9">
        <f t="array" ref="J23">PRODUCT(1+真實IC!$C23:J23)-1</f>
        <v>0.47437938552917691</v>
      </c>
      <c r="K23" s="9">
        <f t="array" ref="K23">PRODUCT(1+真實IC!$C23:K23)-1</f>
        <v>0.68463705451327161</v>
      </c>
      <c r="L23" s="9">
        <f t="array" ref="L23">PRODUCT(1+真實IC!$C23:L23)-1</f>
        <v>0.5991063466185782</v>
      </c>
      <c r="M23" s="9">
        <f t="array" ref="M23">PRODUCT(1+真實IC!$C23:M23)-1</f>
        <v>0.18581744508643228</v>
      </c>
      <c r="N23" s="9">
        <f t="array" ref="N23">PRODUCT(1+真實IC!$C23:N23)-1</f>
        <v>1.3430578755637264</v>
      </c>
      <c r="O23" s="9">
        <f t="array" ref="O23">PRODUCT(1+真實IC!$C23:O23)-1</f>
        <v>1.2975844848334561</v>
      </c>
      <c r="P23" s="9">
        <f t="array" ref="P23">PRODUCT(1+真實IC!$C23:P23)-1</f>
        <v>1.5052900538479026</v>
      </c>
      <c r="Q23" s="9">
        <f t="array" ref="Q23">PRODUCT(1+真實IC!$C23:Q23)-1</f>
        <v>1.3560548935795849</v>
      </c>
      <c r="R23" s="9">
        <f t="array" ref="R23">PRODUCT(1+真實IC!$C23:R23)-1</f>
        <v>1.2236183543026868</v>
      </c>
      <c r="S23" s="9">
        <f t="array" ref="S23">PRODUCT(1+真實IC!$C23:S23)-1</f>
        <v>1.4764983128318852</v>
      </c>
      <c r="T23" s="9">
        <f t="array" ref="T23">PRODUCT(1+真實IC!$C23:T23)-1</f>
        <v>1.8593716220165271</v>
      </c>
      <c r="U23" s="9">
        <f t="array" ref="U23">PRODUCT(1+真實IC!$C23:U23)-1</f>
        <v>2.1274589350971502</v>
      </c>
      <c r="V23" s="9">
        <f t="array" ref="V23">PRODUCT(1+真實IC!$C23:V23)-1</f>
        <v>2.0554352536886973</v>
      </c>
      <c r="W23" s="9">
        <f t="array" ref="W23">PRODUCT(1+真實IC!$C23:W23)-1</f>
        <v>2.8484643074778373</v>
      </c>
      <c r="X23" s="9">
        <f t="array" ref="X23">PRODUCT(1+真實IC!$C23:X23)-1</f>
        <v>3.548042712791756</v>
      </c>
      <c r="Y23" s="9">
        <f t="array" ref="Y23">PRODUCT(1+真實IC!$C23:Y23)-1</f>
        <v>3.4813693092700362</v>
      </c>
      <c r="Z23" s="9">
        <f t="array" ref="Z23">PRODUCT(1+真實IC!$C23:Z23)-1</f>
        <v>3.6294002101882077</v>
      </c>
      <c r="AA23" s="9">
        <f t="array" ref="AA23">PRODUCT(1+真實IC!$C23:AA23)-1</f>
        <v>3.366688942532619</v>
      </c>
      <c r="AB23" s="9">
        <f t="array" ref="AB23">PRODUCT(1+真實IC!$C23:AB23)-1</f>
        <v>3.6463307412027923</v>
      </c>
      <c r="AC23" s="9">
        <f t="array" ref="AC23">PRODUCT(1+真實IC!$C23:AC23)-1</f>
        <v>4.4304213544812976</v>
      </c>
      <c r="AD23" s="9">
        <f t="array" ref="AD23">PRODUCT(1+真實IC!$C23:AD23)-1</f>
        <v>4.8193861448387292</v>
      </c>
      <c r="AE23" s="9">
        <f t="array" ref="AE23">PRODUCT(1+真實IC!$C23:AE23)-1</f>
        <v>5.6178756911208225</v>
      </c>
      <c r="AF23" s="9">
        <f t="array" ref="AF23">PRODUCT(1+真實IC!$C23:AF23)-1</f>
        <v>7.7664307501708567</v>
      </c>
      <c r="AG23" s="9">
        <f t="array" ref="AG23">PRODUCT(1+真實IC!$C23:AG23)-1</f>
        <v>8.5718348076925786</v>
      </c>
      <c r="AH23" s="9">
        <f t="array" ref="AH23">PRODUCT(1+真實IC!$C23:AH23)-1</f>
        <v>7.766158305134935</v>
      </c>
      <c r="AI23" s="9">
        <f t="array" ref="AI23">PRODUCT(1+真實IC!$C23:AI23)-1</f>
        <v>9.5996178469705171</v>
      </c>
      <c r="AJ23" s="9">
        <f t="array" ref="AJ23">PRODUCT(1+真實IC!$C23:AJ23)-1</f>
        <v>9.6594329516187276</v>
      </c>
      <c r="AK23" s="9">
        <f t="array" ref="AK23">PRODUCT(1+真實IC!$C23:AK23)-1</f>
        <v>10.875792564145614</v>
      </c>
      <c r="AL23" s="9">
        <f t="array" ref="AL23">PRODUCT(1+真實IC!$C23:AL23)-1</f>
        <v>10.70874172804206</v>
      </c>
      <c r="AM23" s="9">
        <f t="array" ref="AM23">PRODUCT(1+真實IC!$C23:AM23)-1</f>
        <v>10.79971266815889</v>
      </c>
      <c r="AN23" s="9">
        <f t="array" ref="AN23">PRODUCT(1+真實IC!$C23:AN23)-1</f>
        <v>13.658956495846343</v>
      </c>
      <c r="AO23" s="9">
        <f t="array" ref="AO23">PRODUCT(1+真實IC!$C23:AO23)-1</f>
        <v>14.989732913856068</v>
      </c>
      <c r="AP23" s="9">
        <f t="array" ref="AP23">PRODUCT(1+真實IC!$C23:AP23)-1</f>
        <v>14.939827368815092</v>
      </c>
      <c r="AQ23" s="9">
        <f t="array" ref="AQ23">PRODUCT(1+真實IC!$C23:AQ23)-1</f>
        <v>16.523911472900568</v>
      </c>
      <c r="AR23" s="9">
        <f t="array" ref="AR23">PRODUCT(1+真實IC!$C23:AR23)-1</f>
        <v>19.084785799904367</v>
      </c>
      <c r="AS23" s="9">
        <f t="array" ref="AS23">PRODUCT(1+真實IC!$C23:AS23)-1</f>
        <v>20.72498213092674</v>
      </c>
      <c r="AT23" s="9">
        <f t="array" ref="AT23">PRODUCT(1+真實IC!$C23:AT23)-1</f>
        <v>23.103995916070193</v>
      </c>
      <c r="AU23" s="9">
        <f t="array" ref="AU23">PRODUCT(1+真實IC!$C23:AU23)-1</f>
        <v>37.767227959685002</v>
      </c>
      <c r="AV23" s="9">
        <f t="array" ref="AV23">PRODUCT(1+真實IC!$C23:AV23)-1</f>
        <v>35.861816122433531</v>
      </c>
      <c r="AW23" s="9">
        <f t="array" ref="AW23">PRODUCT(1+真實IC!$C23:AW23)-1</f>
        <v>57.324976225896336</v>
      </c>
      <c r="AX23" s="9">
        <f t="array" ref="AX23">PRODUCT(1+真實IC!$C23:AX23)-1</f>
        <v>56.461021242383737</v>
      </c>
      <c r="AY23" s="9">
        <f t="array" ref="AY23">PRODUCT(1+真實IC!$C23:AY23)-1</f>
        <v>66.242839631639981</v>
      </c>
      <c r="AZ23" s="9">
        <f t="array" ref="AZ23">PRODUCT(1+真實IC!$C23:AZ23)-1</f>
        <v>71.492555364521749</v>
      </c>
      <c r="BA23" s="9">
        <f t="array" ref="BA23">PRODUCT(1+真實IC!$C23:BA23)-1</f>
        <v>75.407008369095195</v>
      </c>
      <c r="BB23" s="9">
        <f t="array" ref="BB23">PRODUCT(1+真實IC!$C23:BB23)-1</f>
        <v>127.82399866132917</v>
      </c>
      <c r="BC23" s="9">
        <f t="array" ref="BC23">PRODUCT(1+真實IC!$C23:BC23)-1</f>
        <v>160.39961781189839</v>
      </c>
      <c r="BD23" s="9">
        <f t="array" ref="BD23">PRODUCT(1+真實IC!$C23:BD23)-1</f>
        <v>180.73266096403245</v>
      </c>
      <c r="BE23" s="9">
        <f t="array" ref="BE23">PRODUCT(1+真實IC!$C23:BE23)-1</f>
        <v>203.32060285305127</v>
      </c>
      <c r="BF23" s="9">
        <f t="array" ref="BF23">PRODUCT(1+真實IC!$C23:BF23)-1</f>
        <v>246.22979139733312</v>
      </c>
      <c r="BG23" s="9">
        <f t="array" ref="BG23">PRODUCT(1+真實IC!$C23:BG23)-1</f>
        <v>255.70433602592453</v>
      </c>
      <c r="BH23" s="9">
        <f t="array" ref="BH23">PRODUCT(1+真實IC!$C23:BH23)-1</f>
        <v>271.97045651607704</v>
      </c>
      <c r="BI23" s="9">
        <f t="array" ref="BI23">PRODUCT(1+真實IC!$C23:BI23)-1</f>
        <v>324.13840805466742</v>
      </c>
      <c r="BJ23" s="9">
        <f t="array" ref="BJ23">PRODUCT(1+真實IC!$C23:BJ23)-1</f>
        <v>342.83224082577055</v>
      </c>
      <c r="BK23" s="9">
        <f t="array" ref="BK23">PRODUCT(1+真實IC!$C23:BK23)-1</f>
        <v>326.3791804377758</v>
      </c>
      <c r="BL23" s="9">
        <f t="array" ref="BL23">PRODUCT(1+真實IC!$C23:BL23)-1</f>
        <v>363.82032277406432</v>
      </c>
      <c r="BM23" s="9">
        <f t="array" ref="BM23">PRODUCT(1+真實IC!$C23:BM23)-1</f>
        <v>338.46696588697154</v>
      </c>
      <c r="BN23" s="9">
        <f t="array" ref="BN23">PRODUCT(1+真實IC!$C23:BN23)-1</f>
        <v>351.51947072532562</v>
      </c>
      <c r="BO23" s="9">
        <f t="array" ref="BO23">PRODUCT(1+真實IC!$C23:BO23)-1</f>
        <v>364.39522385789854</v>
      </c>
      <c r="BP23" s="9">
        <f t="array" ref="BP23">PRODUCT(1+真實IC!$C23:BP23)-1</f>
        <v>356.1833315969161</v>
      </c>
      <c r="BQ23" s="9">
        <f t="array" ref="BQ23">PRODUCT(1+真實IC!$C23:BQ23)-1</f>
        <v>381.91764106613073</v>
      </c>
      <c r="BR23" s="9">
        <f t="array" ref="BR23">PRODUCT(1+真實IC!$C23:BR23)-1</f>
        <v>421.29022474630017</v>
      </c>
      <c r="BS23" s="9">
        <f t="array" ref="BS23">PRODUCT(1+真實IC!$C23:BS23)-1</f>
        <v>328.14689687947617</v>
      </c>
      <c r="BT23" s="9">
        <f t="array" ref="BT23">PRODUCT(1+真實IC!$C23:BT23)-1</f>
        <v>399.96197714857311</v>
      </c>
      <c r="BU23" s="9">
        <f t="array" ref="BU23">PRODUCT(1+真實IC!$C23:BU23)-1</f>
        <v>442.3382451464858</v>
      </c>
      <c r="BV23" s="9">
        <f t="array" ref="BV23">PRODUCT(1+真實IC!$C23:BV23)-1</f>
        <v>418.72203775153218</v>
      </c>
      <c r="BW23" s="9">
        <f t="array" ref="BW23">PRODUCT(1+真實IC!$C23:BW23)-1</f>
        <v>425.17002387040662</v>
      </c>
      <c r="BX23" s="9">
        <f t="array" ref="BX23">PRODUCT(1+真實IC!$C23:BX23)-1</f>
        <v>395.87935812979362</v>
      </c>
      <c r="BY23" s="9">
        <f t="array" ref="BY23">PRODUCT(1+真實IC!$C23:BY23)-1</f>
        <v>442.81003819006366</v>
      </c>
      <c r="BZ23" s="9">
        <f t="array" ref="BZ23">PRODUCT(1+真實IC!$C23:BZ23)-1</f>
        <v>446.21395574784947</v>
      </c>
      <c r="CA23" s="9">
        <f t="array" ref="CA23">PRODUCT(1+真實IC!$C23:CA23)-1</f>
        <v>480.04712247152162</v>
      </c>
      <c r="CB23" s="9">
        <f t="array" ref="CB23">PRODUCT(1+真實IC!$C23:CB23)-1</f>
        <v>632.13858856553645</v>
      </c>
      <c r="CC23" s="9">
        <f t="array" ref="CC23">PRODUCT(1+真實IC!$C23:CC23)-1</f>
        <v>578.60988659526322</v>
      </c>
      <c r="CD23" s="9">
        <f t="array" ref="CD23">PRODUCT(1+真實IC!$C23:CD23)-1</f>
        <v>689.70745494936489</v>
      </c>
      <c r="CE23" s="9">
        <f t="array" ref="CE23">PRODUCT(1+真實IC!$C23:CE23)-1</f>
        <v>730.87500067925691</v>
      </c>
      <c r="CF23" s="9">
        <f t="array" ref="CF23">PRODUCT(1+真實IC!$C23:CF23)-1</f>
        <v>845.87811288940077</v>
      </c>
      <c r="CG23" s="9">
        <f t="array" ref="CG23">PRODUCT(1+真實IC!$C23:CG23)-1</f>
        <v>1029.3434512602116</v>
      </c>
      <c r="CH23" s="9">
        <f t="array" ref="CH23">PRODUCT(1+真實IC!$C23:CH23)-1</f>
        <v>1215.0076823467507</v>
      </c>
      <c r="CI23" s="9">
        <f t="array" ref="CI23">PRODUCT(1+真實IC!$C23:CI23)-1</f>
        <v>1591.8477543292968</v>
      </c>
      <c r="CJ23" s="9">
        <f t="array" ref="CJ23">PRODUCT(1+真實IC!$C23:CJ23)-1</f>
        <v>1342.5417602032066</v>
      </c>
      <c r="CK23" s="9">
        <f t="array" ref="CK23">PRODUCT(1+真實IC!$C23:CK23)-1</f>
        <v>1439.0838216265247</v>
      </c>
      <c r="CL23" s="9">
        <f t="array" ref="CL23">PRODUCT(1+真實IC!$C23:CL23)-1</f>
        <v>850.57770875466315</v>
      </c>
      <c r="CM23" s="9">
        <f t="array" ref="CM23">PRODUCT(1+真實IC!$C23:CM23)-1</f>
        <v>1050.4472548879264</v>
      </c>
      <c r="CN23" s="9">
        <f t="array" ref="CN23">PRODUCT(1+真實IC!$C23:CN23)-1</f>
        <v>1341.8077704393793</v>
      </c>
      <c r="CO23" s="9">
        <f t="array" ref="CO23">PRODUCT(1+真實IC!$C23:CO23)-1</f>
        <v>1699.2061296000984</v>
      </c>
      <c r="CP23" s="9">
        <f t="array" ref="CP23">PRODUCT(1+真實IC!$C23:CP23)-1</f>
        <v>2228.5835736422591</v>
      </c>
      <c r="CQ23" s="9">
        <f t="array" ref="CQ23">PRODUCT(1+真實IC!$C23:CQ23)-1</f>
        <v>2173.5077980415967</v>
      </c>
      <c r="CR23" s="9">
        <f t="array" ref="CR23">PRODUCT(1+真實IC!$C23:CR23)-1</f>
        <v>2501.8544972272102</v>
      </c>
      <c r="CS23" s="9">
        <f t="array" ref="CS23">PRODUCT(1+真實IC!$C23:CS23)-1</f>
        <v>2664.9402066692805</v>
      </c>
      <c r="CT23" s="9">
        <f t="array" ref="CT23">PRODUCT(1+真實IC!$C23:CT23)-1</f>
        <v>2839.2700356936948</v>
      </c>
      <c r="CU23" s="9">
        <f t="array" ref="CU23">PRODUCT(1+真實IC!$C23:CU23)-1</f>
        <v>3413.2996443200009</v>
      </c>
      <c r="CV23" s="9">
        <f t="array" ref="CV23">PRODUCT(1+真實IC!$C23:CV23)-1</f>
        <v>3936.8175147528796</v>
      </c>
      <c r="CW23" s="9">
        <f t="array" ref="CW23">PRODUCT(1+真實IC!$C23:CW23)-1</f>
        <v>3841.5763270804969</v>
      </c>
      <c r="CX23" s="9">
        <f t="array" ref="CX23">PRODUCT(1+真實IC!$C23:CX23)-1</f>
        <v>3500.6745057554444</v>
      </c>
      <c r="CY23" s="9">
        <f t="array" ref="CY23">PRODUCT(1+真實IC!$C23:CY23)-1</f>
        <v>4039.0587118525973</v>
      </c>
      <c r="CZ23" s="9">
        <f t="array" ref="CZ23">PRODUCT(1+真實IC!$C23:CZ23)-1</f>
        <v>4774.344524522654</v>
      </c>
      <c r="DA23" s="9">
        <f t="array" ref="DA23">PRODUCT(1+真實IC!$C23:DA23)-1</f>
        <v>5083.0466713104215</v>
      </c>
      <c r="DB23" s="9">
        <f t="array" ref="DB23">PRODUCT(1+真實IC!$C23:DB23)-1</f>
        <v>5178.3623783041494</v>
      </c>
      <c r="DC23" s="9">
        <f t="array" ref="DC23">PRODUCT(1+真實IC!$C23:DC23)-1</f>
        <v>5795.6930977090378</v>
      </c>
      <c r="DD23" s="9">
        <f t="array" ref="DD23">PRODUCT(1+真實IC!$C23:DD23)-1</f>
        <v>6333.6185346866368</v>
      </c>
      <c r="DE23" s="9">
        <f t="array" ref="DE23">PRODUCT(1+真實IC!$C23:DE23)-1</f>
        <v>5952.9969779144958</v>
      </c>
      <c r="DF23" s="9">
        <f t="array" ref="DF23">PRODUCT(1+真實IC!$C23:DF23)-1</f>
        <v>8386.9760574934971</v>
      </c>
      <c r="DG23" s="9">
        <f t="array" ref="DG23">PRODUCT(1+真實IC!$C23:DG23)-1</f>
        <v>8954.1919684413497</v>
      </c>
      <c r="DH23" s="9">
        <f t="array" ref="DH23">PRODUCT(1+真實IC!$C23:DH23)-1</f>
        <v>10201.005435823501</v>
      </c>
      <c r="DI23" s="9">
        <f t="array" ref="DI23">PRODUCT(1+真實IC!$C23:DI23)-1</f>
        <v>11180.816239885426</v>
      </c>
      <c r="DJ23" s="9">
        <f t="array" ref="DJ23">PRODUCT(1+真實IC!$C23:DJ23)-1</f>
        <v>12522.998512639497</v>
      </c>
      <c r="DK23" s="9">
        <f t="array" ref="DK23">PRODUCT(1+真實IC!$C23:DK23)-1</f>
        <v>13665.73197092752</v>
      </c>
      <c r="DL23" s="9">
        <f t="array" ref="DL23">PRODUCT(1+真實IC!$C23:DL23)-1</f>
        <v>14024.383263447718</v>
      </c>
      <c r="DM23" s="9">
        <f t="array" ref="DM23">PRODUCT(1+真實IC!$C23:DM23)-1</f>
        <v>13372.525525512459</v>
      </c>
      <c r="DN23" s="9">
        <f t="array" ref="DN23">PRODUCT(1+真實IC!$C23:DN23)-1</f>
        <v>13459.415942650752</v>
      </c>
      <c r="DO23" s="9">
        <f t="array" ref="DO23">PRODUCT(1+真實IC!$C23:DO23)-1</f>
        <v>15129.422827823546</v>
      </c>
      <c r="DP23" s="9">
        <f t="array" ref="DP23">PRODUCT(1+真實IC!$C23:DP23)-1</f>
        <v>17805.081028211182</v>
      </c>
      <c r="DQ23" s="9">
        <f t="array" ref="DQ23">PRODUCT(1+真實IC!$C23:DQ23)-1</f>
        <v>22184.417347976072</v>
      </c>
      <c r="DR23" s="9">
        <f t="array" ref="DR23">PRODUCT(1+真實IC!$C23:DR23)-1</f>
        <v>20190.258863640716</v>
      </c>
      <c r="DS23" s="9">
        <f t="array" ref="DS23">PRODUCT(1+真實IC!$C23:DS23)-1</f>
        <v>17836.402287835208</v>
      </c>
      <c r="DT23" s="9">
        <f t="array" ref="DT23">PRODUCT(1+真實IC!$C23:DT23)-1</f>
        <v>17438.691413488501</v>
      </c>
      <c r="DU23" s="9">
        <f t="array" ref="DU23">PRODUCT(1+真實IC!$C23:DU23)-1</f>
        <v>18409.000964352177</v>
      </c>
      <c r="DV23" s="9">
        <f t="array" ref="DV23">PRODUCT(1+真實IC!$C23:DV23)-1</f>
        <v>23495.161540120287</v>
      </c>
      <c r="DW23" s="9">
        <f t="array" ref="DW23">PRODUCT(1+真實IC!$C23:DW23)-1</f>
        <v>24036.806804023909</v>
      </c>
      <c r="DX23" s="9">
        <f t="array" ref="DX23">PRODUCT(1+真實IC!$C23:DX23)-1</f>
        <v>31572.495933335493</v>
      </c>
      <c r="DY23" s="9">
        <f t="array" ref="DY23">PRODUCT(1+真實IC!$C23:DY23)-1</f>
        <v>29869.895165130376</v>
      </c>
      <c r="DZ23" s="9">
        <f t="array" ref="DZ23">PRODUCT(1+真實IC!$C23:DZ23)-1</f>
        <v>23382.683507643185</v>
      </c>
      <c r="EA23" s="9">
        <f t="array" ref="EA23">PRODUCT(1+真實IC!$C23:EA23)-1</f>
        <v>21199.534189725386</v>
      </c>
      <c r="EB23" s="9">
        <f t="array" ref="EB23">PRODUCT(1+真實IC!$C23:EB23)-1</f>
        <v>26378.499436306975</v>
      </c>
      <c r="EC23" s="9">
        <f t="array" ref="EC23">PRODUCT(1+真實IC!$C23:EC23)-1</f>
        <v>25413.423484412506</v>
      </c>
      <c r="ED23" s="9">
        <f t="array" ref="ED23">PRODUCT(1+真實IC!$C23:ED23)-1</f>
        <v>27736.960141865125</v>
      </c>
      <c r="EE23" s="9">
        <f t="array" ref="EE23">PRODUCT(1+真實IC!$C23:EE23)-1</f>
        <v>29656.73210124375</v>
      </c>
      <c r="EF23" s="9">
        <f t="array" ref="EF23">PRODUCT(1+真實IC!$C23:EF23)-1</f>
        <v>32427.179487749338</v>
      </c>
    </row>
    <row r="24" spans="1:136" ht="15" customHeight="1">
      <c r="A24" s="20">
        <v>1</v>
      </c>
      <c r="B24" s="20" t="s">
        <v>233</v>
      </c>
      <c r="C24" s="9">
        <f t="array" ref="C24">PRODUCT(1+真實IC!$C24:C24)-1</f>
        <v>9.9113000000000007E-2</v>
      </c>
      <c r="D24" s="9">
        <f t="array" ref="D24">PRODUCT(1+真實IC!$C24:D24)-1</f>
        <v>0.20969475893</v>
      </c>
      <c r="E24" s="9">
        <f t="array" ref="E24">PRODUCT(1+真實IC!$C24:E24)-1</f>
        <v>0.55386743418269191</v>
      </c>
      <c r="F24" s="9">
        <f t="array" ref="F24">PRODUCT(1+真實IC!$C24:F24)-1</f>
        <v>0.24069210512910089</v>
      </c>
      <c r="G24" s="9">
        <f t="array" ref="G24">PRODUCT(1+真實IC!$C24:G24)-1</f>
        <v>0.21262468624029829</v>
      </c>
      <c r="H24" s="9">
        <f t="array" ref="H24">PRODUCT(1+真實IC!$C24:H24)-1</f>
        <v>0.25610455699013057</v>
      </c>
      <c r="I24" s="9">
        <f t="array" ref="I24">PRODUCT(1+真實IC!$C24:I24)-1</f>
        <v>0.25345174806960324</v>
      </c>
      <c r="J24" s="9">
        <f t="array" ref="J24">PRODUCT(1+真實IC!$C24:J24)-1</f>
        <v>0.12814142810804152</v>
      </c>
      <c r="K24" s="9">
        <f t="array" ref="K24">PRODUCT(1+真實IC!$C24:K24)-1</f>
        <v>0.18504977335569772</v>
      </c>
      <c r="L24" s="9">
        <f t="array" ref="L24">PRODUCT(1+真實IC!$C24:L24)-1</f>
        <v>7.3892104614933229E-2</v>
      </c>
      <c r="M24" s="9">
        <f t="array" ref="M24">PRODUCT(1+真實IC!$C24:M24)-1</f>
        <v>-8.3776024234033075E-2</v>
      </c>
      <c r="N24" s="9">
        <f t="array" ref="N24">PRODUCT(1+真實IC!$C24:N24)-1</f>
        <v>1.5370535080631869</v>
      </c>
      <c r="O24" s="9">
        <f t="array" ref="O24">PRODUCT(1+真實IC!$C24:O24)-1</f>
        <v>1.6300334511752195</v>
      </c>
      <c r="P24" s="9">
        <f t="array" ref="P24">PRODUCT(1+真實IC!$C24:P24)-1</f>
        <v>1.9042102683028648</v>
      </c>
      <c r="Q24" s="9">
        <f t="array" ref="Q24">PRODUCT(1+真實IC!$C24:Q24)-1</f>
        <v>1.7271552006818101</v>
      </c>
      <c r="R24" s="9">
        <f t="array" ref="R24">PRODUCT(1+真實IC!$C24:R24)-1</f>
        <v>1.057100338167305</v>
      </c>
      <c r="S24" s="9">
        <f t="array" ref="S24">PRODUCT(1+真實IC!$C24:S24)-1</f>
        <v>1.7822579552230344</v>
      </c>
      <c r="T24" s="9">
        <f t="array" ref="T24">PRODUCT(1+真實IC!$C24:T24)-1</f>
        <v>1.0296941415391063</v>
      </c>
      <c r="U24" s="9">
        <f t="array" ref="U24">PRODUCT(1+真實IC!$C24:U24)-1</f>
        <v>1.3311416245205479</v>
      </c>
      <c r="V24" s="9">
        <f t="array" ref="V24">PRODUCT(1+真實IC!$C24:V24)-1</f>
        <v>1.1746304010344617</v>
      </c>
      <c r="W24" s="9">
        <f t="array" ref="W24">PRODUCT(1+真實IC!$C24:W24)-1</f>
        <v>0.81676887297942868</v>
      </c>
      <c r="X24" s="9">
        <f t="array" ref="X24">PRODUCT(1+真實IC!$C24:X24)-1</f>
        <v>0.75107833235789001</v>
      </c>
      <c r="Y24" s="9">
        <f t="array" ref="Y24">PRODUCT(1+真實IC!$C24:Y24)-1</f>
        <v>0.73448333686480871</v>
      </c>
      <c r="Z24" s="9">
        <f t="array" ref="Z24">PRODUCT(1+真實IC!$C24:Z24)-1</f>
        <v>0.91806508986489099</v>
      </c>
      <c r="AA24" s="9">
        <f t="array" ref="AA24">PRODUCT(1+真實IC!$C24:AA24)-1</f>
        <v>1.3372478187496903</v>
      </c>
      <c r="AB24" s="9">
        <f t="array" ref="AB24">PRODUCT(1+真實IC!$C24:AB24)-1</f>
        <v>1.7938049257627915</v>
      </c>
      <c r="AC24" s="9">
        <f t="array" ref="AC24">PRODUCT(1+真實IC!$C24:AC24)-1</f>
        <v>2.916208605976482</v>
      </c>
      <c r="AD24" s="9">
        <f t="array" ref="AD24">PRODUCT(1+真實IC!$C24:AD24)-1</f>
        <v>3.3124270954775472</v>
      </c>
      <c r="AE24" s="9">
        <f t="array" ref="AE24">PRODUCT(1+真實IC!$C24:AE24)-1</f>
        <v>4.1453369826995585</v>
      </c>
      <c r="AF24" s="9">
        <f t="array" ref="AF24">PRODUCT(1+真實IC!$C24:AF24)-1</f>
        <v>6.6942824492386306</v>
      </c>
      <c r="AG24" s="9">
        <f t="array" ref="AG24">PRODUCT(1+真實IC!$C24:AG24)-1</f>
        <v>7.761754246455796</v>
      </c>
      <c r="AH24" s="9">
        <f t="array" ref="AH24">PRODUCT(1+真實IC!$C24:AH24)-1</f>
        <v>7.2649859111190072</v>
      </c>
      <c r="AI24" s="9">
        <f t="array" ref="AI24">PRODUCT(1+真實IC!$C24:AI24)-1</f>
        <v>9.8305532477331017</v>
      </c>
      <c r="AJ24" s="9">
        <f t="array" ref="AJ24">PRODUCT(1+真實IC!$C24:AJ24)-1</f>
        <v>8.9544563223224962</v>
      </c>
      <c r="AK24" s="9">
        <f t="array" ref="AK24">PRODUCT(1+真實IC!$C24:AK24)-1</f>
        <v>9.7994299256058905</v>
      </c>
      <c r="AL24" s="9">
        <f t="array" ref="AL24">PRODUCT(1+真實IC!$C24:AL24)-1</f>
        <v>10.740848630510733</v>
      </c>
      <c r="AM24" s="9">
        <f t="array" ref="AM24">PRODUCT(1+真實IC!$C24:AM24)-1</f>
        <v>10.518720211154296</v>
      </c>
      <c r="AN24" s="9">
        <f t="array" ref="AN24">PRODUCT(1+真實IC!$C24:AN24)-1</f>
        <v>13.066539773819384</v>
      </c>
      <c r="AO24" s="9">
        <f t="array" ref="AO24">PRODUCT(1+真實IC!$C24:AO24)-1</f>
        <v>14.514066932082688</v>
      </c>
      <c r="AP24" s="9">
        <f t="array" ref="AP24">PRODUCT(1+真實IC!$C24:AP24)-1</f>
        <v>14.868589975693439</v>
      </c>
      <c r="AQ24" s="9">
        <f t="array" ref="AQ24">PRODUCT(1+真實IC!$C24:AQ24)-1</f>
        <v>18.314041705575903</v>
      </c>
      <c r="AR24" s="9">
        <f t="array" ref="AR24">PRODUCT(1+真實IC!$C24:AR24)-1</f>
        <v>21.613517392264551</v>
      </c>
      <c r="AS24" s="9">
        <f t="array" ref="AS24">PRODUCT(1+真實IC!$C24:AS24)-1</f>
        <v>21.687842906643702</v>
      </c>
      <c r="AT24" s="9">
        <f t="array" ref="AT24">PRODUCT(1+真實IC!$C24:AT24)-1</f>
        <v>25.108465838392465</v>
      </c>
      <c r="AU24" s="9">
        <f t="array" ref="AU24">PRODUCT(1+真實IC!$C24:AU24)-1</f>
        <v>37.563613900460943</v>
      </c>
      <c r="AV24" s="9">
        <f t="array" ref="AV24">PRODUCT(1+真實IC!$C24:AV24)-1</f>
        <v>47.115229506650145</v>
      </c>
      <c r="AW24" s="9">
        <f t="array" ref="AW24">PRODUCT(1+真實IC!$C24:AW24)-1</f>
        <v>39.959967702986432</v>
      </c>
      <c r="AX24" s="9">
        <f t="array" ref="AX24">PRODUCT(1+真實IC!$C24:AX24)-1</f>
        <v>44.526649262237399</v>
      </c>
      <c r="AY24" s="9">
        <f t="array" ref="AY24">PRODUCT(1+真實IC!$C24:AY24)-1</f>
        <v>52.180921602343872</v>
      </c>
      <c r="AZ24" s="9">
        <f t="array" ref="AZ24">PRODUCT(1+真實IC!$C24:AZ24)-1</f>
        <v>58.489348884657105</v>
      </c>
      <c r="BA24" s="9">
        <f t="array" ref="BA24">PRODUCT(1+真實IC!$C24:BA24)-1</f>
        <v>61.493025599192329</v>
      </c>
      <c r="BB24" s="9">
        <f t="array" ref="BB24">PRODUCT(1+真實IC!$C24:BB24)-1</f>
        <v>116.03088583679998</v>
      </c>
      <c r="BC24" s="9">
        <f t="array" ref="BC24">PRODUCT(1+真實IC!$C24:BC24)-1</f>
        <v>115.51982721749489</v>
      </c>
      <c r="BD24" s="9">
        <f t="array" ref="BD24">PRODUCT(1+真實IC!$C24:BD24)-1</f>
        <v>117.691756796829</v>
      </c>
      <c r="BE24" s="9">
        <f t="array" ref="BE24">PRODUCT(1+真實IC!$C24:BE24)-1</f>
        <v>110.88115993743266</v>
      </c>
      <c r="BF24" s="9">
        <f t="array" ref="BF24">PRODUCT(1+真實IC!$C24:BF24)-1</f>
        <v>103.67932257594586</v>
      </c>
      <c r="BG24" s="9">
        <f t="array" ref="BG24">PRODUCT(1+真實IC!$C24:BG24)-1</f>
        <v>94.155155254435897</v>
      </c>
      <c r="BH24" s="9">
        <f t="array" ref="BH24">PRODUCT(1+真實IC!$C24:BH24)-1</f>
        <v>108.20705628293936</v>
      </c>
      <c r="BI24" s="9">
        <f t="array" ref="BI24">PRODUCT(1+真實IC!$C24:BI24)-1</f>
        <v>132.62893265603441</v>
      </c>
      <c r="BJ24" s="9">
        <f t="array" ref="BJ24">PRODUCT(1+真實IC!$C24:BJ24)-1</f>
        <v>159.30661277148513</v>
      </c>
      <c r="BK24" s="9">
        <f t="array" ref="BK24">PRODUCT(1+真實IC!$C24:BK24)-1</f>
        <v>153.72313344865429</v>
      </c>
      <c r="BL24" s="9">
        <f t="array" ref="BL24">PRODUCT(1+真實IC!$C24:BL24)-1</f>
        <v>170.14032861502895</v>
      </c>
      <c r="BM24" s="9">
        <f t="array" ref="BM24">PRODUCT(1+真實IC!$C24:BM24)-1</f>
        <v>184.65010880002163</v>
      </c>
      <c r="BN24" s="9">
        <f t="array" ref="BN24">PRODUCT(1+真實IC!$C24:BN24)-1</f>
        <v>204.86944779954078</v>
      </c>
      <c r="BO24" s="9">
        <f t="array" ref="BO24">PRODUCT(1+真實IC!$C24:BO24)-1</f>
        <v>171.70188465852638</v>
      </c>
      <c r="BP24" s="9">
        <f t="array" ref="BP24">PRODUCT(1+真實IC!$C24:BP24)-1</f>
        <v>177.19259567747491</v>
      </c>
      <c r="BQ24" s="9">
        <f t="array" ref="BQ24">PRODUCT(1+真實IC!$C24:BQ24)-1</f>
        <v>165.75804215070991</v>
      </c>
      <c r="BR24" s="9">
        <f t="array" ref="BR24">PRODUCT(1+真實IC!$C24:BR24)-1</f>
        <v>182.25389595904812</v>
      </c>
      <c r="BS24" s="9">
        <f t="array" ref="BS24">PRODUCT(1+真實IC!$C24:BS24)-1</f>
        <v>159.96636718441999</v>
      </c>
      <c r="BT24" s="9">
        <f t="array" ref="BT24">PRODUCT(1+真實IC!$C24:BT24)-1</f>
        <v>204.50865837895833</v>
      </c>
      <c r="BU24" s="9">
        <f t="array" ref="BU24">PRODUCT(1+真實IC!$C24:BU24)-1</f>
        <v>206.30665363111581</v>
      </c>
      <c r="BV24" s="9">
        <f t="array" ref="BV24">PRODUCT(1+真實IC!$C24:BV24)-1</f>
        <v>196.71691614271248</v>
      </c>
      <c r="BW24" s="9">
        <f t="array" ref="BW24">PRODUCT(1+真實IC!$C24:BW24)-1</f>
        <v>226.57759690454506</v>
      </c>
      <c r="BX24" s="9">
        <f t="array" ref="BX24">PRODUCT(1+真實IC!$C24:BX24)-1</f>
        <v>202.9209057063176</v>
      </c>
      <c r="BY24" s="9">
        <f t="array" ref="BY24">PRODUCT(1+真實IC!$C24:BY24)-1</f>
        <v>227.06681942517807</v>
      </c>
      <c r="BZ24" s="9">
        <f t="array" ref="BZ24">PRODUCT(1+真實IC!$C24:BZ24)-1</f>
        <v>286.11169943766123</v>
      </c>
      <c r="CA24" s="9">
        <f t="array" ref="CA24">PRODUCT(1+真實IC!$C24:CA24)-1</f>
        <v>319.19319201658004</v>
      </c>
      <c r="CB24" s="9">
        <f t="array" ref="CB24">PRODUCT(1+真實IC!$C24:CB24)-1</f>
        <v>524.02045675639431</v>
      </c>
      <c r="CC24" s="9">
        <f t="array" ref="CC24">PRODUCT(1+真實IC!$C24:CC24)-1</f>
        <v>428.21997401205505</v>
      </c>
      <c r="CD24" s="9">
        <f t="array" ref="CD24">PRODUCT(1+真實IC!$C24:CD24)-1</f>
        <v>490.1591249585955</v>
      </c>
      <c r="CE24" s="9">
        <f t="array" ref="CE24">PRODUCT(1+真實IC!$C24:CE24)-1</f>
        <v>571.47788548236531</v>
      </c>
      <c r="CF24" s="9">
        <f t="array" ref="CF24">PRODUCT(1+真實IC!$C24:CF24)-1</f>
        <v>698.40846210687482</v>
      </c>
      <c r="CG24" s="9">
        <f t="array" ref="CG24">PRODUCT(1+真實IC!$C24:CG24)-1</f>
        <v>1062.0791570119386</v>
      </c>
      <c r="CH24" s="9">
        <f t="array" ref="CH24">PRODUCT(1+真實IC!$C24:CH24)-1</f>
        <v>1438.703967087735</v>
      </c>
      <c r="CI24" s="9">
        <f t="array" ref="CI24">PRODUCT(1+真實IC!$C24:CI24)-1</f>
        <v>965.83057781541731</v>
      </c>
      <c r="CJ24" s="9">
        <f t="array" ref="CJ24">PRODUCT(1+真實IC!$C24:CJ24)-1</f>
        <v>675.60071003293558</v>
      </c>
      <c r="CK24" s="9">
        <f t="array" ref="CK24">PRODUCT(1+真實IC!$C24:CK24)-1</f>
        <v>894.18283833683881</v>
      </c>
      <c r="CL24" s="9">
        <f t="array" ref="CL24">PRODUCT(1+真實IC!$C24:CL24)-1</f>
        <v>1021.0797800146547</v>
      </c>
      <c r="CM24" s="9">
        <f t="array" ref="CM24">PRODUCT(1+真實IC!$C24:CM24)-1</f>
        <v>1671.5722352071814</v>
      </c>
      <c r="CN24" s="9">
        <f t="array" ref="CN24">PRODUCT(1+真實IC!$C24:CN24)-1</f>
        <v>2691.3013877950216</v>
      </c>
      <c r="CO24" s="9">
        <f t="array" ref="CO24">PRODUCT(1+真實IC!$C24:CO24)-1</f>
        <v>3909.4977659361862</v>
      </c>
      <c r="CP24" s="9">
        <f t="array" ref="CP24">PRODUCT(1+真實IC!$C24:CP24)-1</f>
        <v>4536.5234206454397</v>
      </c>
      <c r="CQ24" s="9">
        <f t="array" ref="CQ24">PRODUCT(1+真實IC!$C24:CQ24)-1</f>
        <v>3809.6591473282392</v>
      </c>
      <c r="CR24" s="9">
        <f t="array" ref="CR24">PRODUCT(1+真實IC!$C24:CR24)-1</f>
        <v>4334.7201771073178</v>
      </c>
      <c r="CS24" s="9">
        <f t="array" ref="CS24">PRODUCT(1+真實IC!$C24:CS24)-1</f>
        <v>4802.866250475905</v>
      </c>
      <c r="CT24" s="9">
        <f t="array" ref="CT24">PRODUCT(1+真實IC!$C24:CT24)-1</f>
        <v>4228.6024711615146</v>
      </c>
      <c r="CU24" s="9">
        <f t="array" ref="CU24">PRODUCT(1+真實IC!$C24:CU24)-1</f>
        <v>4451.6253694073348</v>
      </c>
      <c r="CV24" s="9">
        <f t="array" ref="CV24">PRODUCT(1+真實IC!$C24:CV24)-1</f>
        <v>5265.8506775449459</v>
      </c>
      <c r="CW24" s="9">
        <f t="array" ref="CW24">PRODUCT(1+真實IC!$C24:CW24)-1</f>
        <v>4028.1765024666915</v>
      </c>
      <c r="CX24" s="9">
        <f t="array" ref="CX24">PRODUCT(1+真實IC!$C24:CX24)-1</f>
        <v>4250.6160301248601</v>
      </c>
      <c r="CY24" s="9">
        <f t="array" ref="CY24">PRODUCT(1+真實IC!$C24:CY24)-1</f>
        <v>5616.0140149673989</v>
      </c>
      <c r="CZ24" s="9">
        <f t="array" ref="CZ24">PRODUCT(1+真實IC!$C24:CZ24)-1</f>
        <v>6246.2802195127733</v>
      </c>
      <c r="DA24" s="9">
        <f t="array" ref="DA24">PRODUCT(1+真實IC!$C24:DA24)-1</f>
        <v>6458.5628013718169</v>
      </c>
      <c r="DB24" s="9">
        <f t="array" ref="DB24">PRODUCT(1+真實IC!$C24:DB24)-1</f>
        <v>6351.9800151491818</v>
      </c>
      <c r="DC24" s="9">
        <f t="array" ref="DC24">PRODUCT(1+真實IC!$C24:DC24)-1</f>
        <v>7566.5157861875832</v>
      </c>
      <c r="DD24" s="9">
        <f t="array" ref="DD24">PRODUCT(1+真實IC!$C24:DD24)-1</f>
        <v>6084.4577594304374</v>
      </c>
      <c r="DE24" s="9">
        <f t="array" ref="DE24">PRODUCT(1+真實IC!$C24:DE24)-1</f>
        <v>6885.2163170090798</v>
      </c>
      <c r="DF24" s="9">
        <f t="array" ref="DF24">PRODUCT(1+真實IC!$C24:DF24)-1</f>
        <v>10504.528978633247</v>
      </c>
      <c r="DG24" s="9">
        <f t="array" ref="DG24">PRODUCT(1+真實IC!$C24:DG24)-1</f>
        <v>11760.412440383958</v>
      </c>
      <c r="DH24" s="9">
        <f t="array" ref="DH24">PRODUCT(1+真實IC!$C24:DH24)-1</f>
        <v>14886.654674100217</v>
      </c>
      <c r="DI24" s="9">
        <f t="array" ref="DI24">PRODUCT(1+真實IC!$C24:DI24)-1</f>
        <v>15440.252113156634</v>
      </c>
      <c r="DJ24" s="9">
        <f t="array" ref="DJ24">PRODUCT(1+真實IC!$C24:DJ24)-1</f>
        <v>18982.010172954291</v>
      </c>
      <c r="DK24" s="9">
        <f t="array" ref="DK24">PRODUCT(1+真實IC!$C24:DK24)-1</f>
        <v>21253.877847443291</v>
      </c>
      <c r="DL24" s="9">
        <f t="array" ref="DL24">PRODUCT(1+真實IC!$C24:DL24)-1</f>
        <v>22558.088060493406</v>
      </c>
      <c r="DM24" s="9">
        <f t="array" ref="DM24">PRODUCT(1+真實IC!$C24:DM24)-1</f>
        <v>22548.838834388604</v>
      </c>
      <c r="DN24" s="9">
        <f t="array" ref="DN24">PRODUCT(1+真實IC!$C24:DN24)-1</f>
        <v>27810.495799849243</v>
      </c>
      <c r="DO24" s="9">
        <f t="array" ref="DO24">PRODUCT(1+真實IC!$C24:DO24)-1</f>
        <v>31025.921886748813</v>
      </c>
      <c r="DP24" s="9">
        <f t="array" ref="DP24">PRODUCT(1+真實IC!$C24:DP24)-1</f>
        <v>37962.667390055467</v>
      </c>
      <c r="DQ24" s="9">
        <f t="array" ref="DQ24">PRODUCT(1+真實IC!$C24:DQ24)-1</f>
        <v>51594.330872166749</v>
      </c>
      <c r="DR24" s="9">
        <f t="array" ref="DR24">PRODUCT(1+真實IC!$C24:DR24)-1</f>
        <v>50535.820143326077</v>
      </c>
      <c r="DS24" s="9">
        <f t="array" ref="DS24">PRODUCT(1+真實IC!$C24:DS24)-1</f>
        <v>47131.356717550771</v>
      </c>
      <c r="DT24" s="9">
        <f t="array" ref="DT24">PRODUCT(1+真實IC!$C24:DT24)-1</f>
        <v>45743.981561150642</v>
      </c>
      <c r="DU24" s="9">
        <f t="array" ref="DU24">PRODUCT(1+真實IC!$C24:DU24)-1</f>
        <v>44747.564372785659</v>
      </c>
      <c r="DV24" s="9">
        <f t="array" ref="DV24">PRODUCT(1+真實IC!$C24:DV24)-1</f>
        <v>51827.892485412995</v>
      </c>
      <c r="DW24" s="9">
        <f t="array" ref="DW24">PRODUCT(1+真實IC!$C24:DW24)-1</f>
        <v>57072.095313764541</v>
      </c>
      <c r="DX24" s="9">
        <f t="array" ref="DX24">PRODUCT(1+真實IC!$C24:DX24)-1</f>
        <v>74855.679595380134</v>
      </c>
      <c r="DY24" s="9">
        <f t="array" ref="DY24">PRODUCT(1+真實IC!$C24:DY24)-1</f>
        <v>74613.143953491104</v>
      </c>
      <c r="DZ24" s="9">
        <f t="array" ref="DZ24">PRODUCT(1+真實IC!$C24:DZ24)-1</f>
        <v>42267.166408213168</v>
      </c>
      <c r="EA24" s="9">
        <f t="array" ref="EA24">PRODUCT(1+真實IC!$C24:EA24)-1</f>
        <v>41287.749512229697</v>
      </c>
      <c r="EB24" s="9">
        <f t="array" ref="EB24">PRODUCT(1+真實IC!$C24:EB24)-1</f>
        <v>65635.639095088773</v>
      </c>
      <c r="EC24" s="9">
        <f t="array" ref="EC24">PRODUCT(1+真實IC!$C24:EC24)-1</f>
        <v>64696.384121257688</v>
      </c>
      <c r="ED24" s="9">
        <f t="array" ref="ED24">PRODUCT(1+真實IC!$C24:ED24)-1</f>
        <v>68330.620270709798</v>
      </c>
      <c r="EE24" s="9">
        <f t="array" ref="EE24">PRODUCT(1+真實IC!$C24:EE24)-1</f>
        <v>75675.039480646228</v>
      </c>
      <c r="EF24" s="9">
        <f t="array" ref="EF24">PRODUCT(1+真實IC!$C24:EF24)-1</f>
        <v>85822.061234408684</v>
      </c>
    </row>
    <row r="25" spans="1:136">
      <c r="A25" s="4" t="s">
        <v>145</v>
      </c>
      <c r="B25" s="4" t="s">
        <v>146</v>
      </c>
      <c r="C25" s="9">
        <f t="array" ref="C25">PRODUCT(1+真實IC!$C26:C26)-1</f>
        <v>-1.7449999999999966E-2</v>
      </c>
      <c r="D25" s="9">
        <f t="array" ref="D25">PRODUCT(1+真實IC!$C26:D26)-1</f>
        <v>2.8897675500001441E-3</v>
      </c>
      <c r="E25" s="9">
        <f t="array" ref="E25">PRODUCT(1+真實IC!$C26:E26)-1</f>
        <v>2.6941069955384256E-2</v>
      </c>
      <c r="F25" s="9">
        <f t="array" ref="F25">PRODUCT(1+真實IC!$C26:F26)-1</f>
        <v>2.0204336536477019E-2</v>
      </c>
      <c r="G25" s="9">
        <f t="array" ref="G25">PRODUCT(1+真實IC!$C26:G26)-1</f>
        <v>5.2692743633480976E-2</v>
      </c>
      <c r="H25" s="9">
        <f t="array" ref="H25">PRODUCT(1+真實IC!$C26:H26)-1</f>
        <v>8.885168668454746E-2</v>
      </c>
      <c r="I25" s="9">
        <f t="array" ref="I25">PRODUCT(1+真實IC!$C26:I26)-1</f>
        <v>7.9868660269399872E-2</v>
      </c>
      <c r="J25" s="9">
        <f t="array" ref="J25">PRODUCT(1+真實IC!$C26:J26)-1</f>
        <v>9.3738493341900098E-2</v>
      </c>
      <c r="K25" s="9">
        <f t="array" ref="K25">PRODUCT(1+真實IC!$C26:K26)-1</f>
        <v>3.7935955411596334E-2</v>
      </c>
      <c r="L25" s="9">
        <f t="array" ref="L25">PRODUCT(1+真實IC!$C26:L26)-1</f>
        <v>3.884311143662611E-2</v>
      </c>
      <c r="M25" s="9">
        <f t="array" ref="M25">PRODUCT(1+真實IC!$C26:M26)-1</f>
        <v>6.3141651813128918E-2</v>
      </c>
      <c r="N25" s="9">
        <f t="array" ref="N25">PRODUCT(1+真實IC!$C26:N26)-1</f>
        <v>7.6950798728529612E-2</v>
      </c>
      <c r="O25" s="9">
        <f t="array" ref="O25">PRODUCT(1+真實IC!$C26:O26)-1</f>
        <v>8.3256345655084996E-2</v>
      </c>
      <c r="P25" s="9">
        <f t="array" ref="P25">PRODUCT(1+真實IC!$C26:P26)-1</f>
        <v>0.11295165185852785</v>
      </c>
      <c r="Q25" s="9">
        <f t="array" ref="Q25">PRODUCT(1+真實IC!$C26:Q26)-1</f>
        <v>0.10882260123013276</v>
      </c>
      <c r="R25" s="9">
        <f t="array" ref="R25">PRODUCT(1+真實IC!$C26:R26)-1</f>
        <v>0.13551972299995052</v>
      </c>
      <c r="S25" s="9">
        <f t="array" ref="S25">PRODUCT(1+真實IC!$C26:S26)-1</f>
        <v>0.12167773757658118</v>
      </c>
      <c r="T25" s="9">
        <f t="array" ref="T25">PRODUCT(1+真實IC!$C26:T26)-1</f>
        <v>7.7091047507912069E-2</v>
      </c>
      <c r="U25" s="9">
        <f t="array" ref="U25">PRODUCT(1+真實IC!$C26:U26)-1</f>
        <v>-1.7089335277667983E-3</v>
      </c>
      <c r="V25" s="9">
        <f t="array" ref="V25">PRODUCT(1+真實IC!$C26:V26)-1</f>
        <v>-5.9869371060439103E-2</v>
      </c>
      <c r="W25" s="9">
        <f t="array" ref="W25">PRODUCT(1+真實IC!$C26:W26)-1</f>
        <v>-5.9142650084268888E-2</v>
      </c>
      <c r="X25" s="9">
        <f t="array" ref="X25">PRODUCT(1+真實IC!$C26:X26)-1</f>
        <v>-1.7187939136826591E-2</v>
      </c>
      <c r="Y25" s="9">
        <f t="array" ref="Y25">PRODUCT(1+真實IC!$C26:Y26)-1</f>
        <v>-4.4411833222736452E-2</v>
      </c>
      <c r="Z25" s="9">
        <f t="array" ref="Z25">PRODUCT(1+真實IC!$C26:Z26)-1</f>
        <v>-4.2409876013338121E-2</v>
      </c>
      <c r="AA25" s="9">
        <f t="array" ref="AA25">PRODUCT(1+真實IC!$C26:AA26)-1</f>
        <v>-6.4817484914626022E-2</v>
      </c>
      <c r="AB25" s="9">
        <f t="array" ref="AB25">PRODUCT(1+真實IC!$C26:AB26)-1</f>
        <v>-3.477100588744797E-2</v>
      </c>
      <c r="AC25" s="9">
        <f t="array" ref="AC25">PRODUCT(1+真實IC!$C26:AC26)-1</f>
        <v>2.7792976705125483E-3</v>
      </c>
      <c r="AD25" s="9">
        <f t="array" ref="AD25">PRODUCT(1+真實IC!$C26:AD26)-1</f>
        <v>-4.0209850820622339E-2</v>
      </c>
      <c r="AE25" s="9">
        <f t="array" ref="AE25">PRODUCT(1+真實IC!$C26:AE26)-1</f>
        <v>-2.2312643908874441E-2</v>
      </c>
      <c r="AF25" s="9">
        <f t="array" ref="AF25">PRODUCT(1+真實IC!$C26:AF26)-1</f>
        <v>-7.4224654756065434E-3</v>
      </c>
      <c r="AG25" s="9">
        <f t="array" ref="AG25">PRODUCT(1+真實IC!$C26:AG26)-1</f>
        <v>2.8327199585358454E-2</v>
      </c>
      <c r="AH25" s="9">
        <f t="array" ref="AH25">PRODUCT(1+真實IC!$C26:AH26)-1</f>
        <v>3.7947200537479464E-2</v>
      </c>
      <c r="AI25" s="9">
        <f t="array" ref="AI25">PRODUCT(1+真實IC!$C26:AI26)-1</f>
        <v>4.9103057048856202E-2</v>
      </c>
      <c r="AJ25" s="9">
        <f t="array" ref="AJ25">PRODUCT(1+真實IC!$C26:AJ26)-1</f>
        <v>6.3116975684914811E-2</v>
      </c>
      <c r="AK25" s="9">
        <f t="array" ref="AK25">PRODUCT(1+真實IC!$C26:AK26)-1</f>
        <v>5.7450562204514277E-2</v>
      </c>
      <c r="AL25" s="9">
        <f t="array" ref="AL25">PRODUCT(1+真實IC!$C26:AL26)-1</f>
        <v>5.8913016332043044E-2</v>
      </c>
      <c r="AM25" s="9">
        <f t="array" ref="AM25">PRODUCT(1+真實IC!$C26:AM26)-1</f>
        <v>8.0934171419684287E-2</v>
      </c>
      <c r="AN25" s="9">
        <f t="array" ref="AN25">PRODUCT(1+真實IC!$C26:AN26)-1</f>
        <v>0.11500305463448979</v>
      </c>
      <c r="AO25" s="9">
        <f t="array" ref="AO25">PRODUCT(1+真實IC!$C26:AO26)-1</f>
        <v>0.12196290370151841</v>
      </c>
      <c r="AP25" s="9">
        <f t="array" ref="AP25">PRODUCT(1+真實IC!$C26:AP26)-1</f>
        <v>0.12885736574476425</v>
      </c>
      <c r="AQ25" s="9">
        <f t="array" ref="AQ25">PRODUCT(1+真實IC!$C26:AQ26)-1</f>
        <v>0.14798698266467492</v>
      </c>
      <c r="AR25" s="9">
        <f t="array" ref="AR25">PRODUCT(1+真實IC!$C26:AR26)-1</f>
        <v>0.18780261518443386</v>
      </c>
      <c r="AS25" s="9">
        <f t="array" ref="AS25">PRODUCT(1+真實IC!$C26:AS26)-1</f>
        <v>0.19148361548889037</v>
      </c>
      <c r="AT25" s="9">
        <f t="array" ref="AT25">PRODUCT(1+真實IC!$C26:AT26)-1</f>
        <v>0.20945237989407817</v>
      </c>
      <c r="AU25" s="9">
        <f t="array" ref="AU25">PRODUCT(1+真實IC!$C26:AU26)-1</f>
        <v>0.18617042158111707</v>
      </c>
      <c r="AV25" s="9">
        <f t="array" ref="AV25">PRODUCT(1+真實IC!$C26:AV26)-1</f>
        <v>0.23208945094136535</v>
      </c>
      <c r="AW25" s="9">
        <f t="array" ref="AW25">PRODUCT(1+真實IC!$C26:AW26)-1</f>
        <v>0.20515597554378706</v>
      </c>
      <c r="AX25" s="9">
        <f t="array" ref="AX25">PRODUCT(1+真實IC!$C26:AX26)-1</f>
        <v>0.21452485809766442</v>
      </c>
      <c r="AY25" s="9">
        <f t="array" ref="AY25">PRODUCT(1+真實IC!$C26:AY26)-1</f>
        <v>0.26601706850643114</v>
      </c>
      <c r="AZ25" s="9">
        <f t="array" ref="AZ25">PRODUCT(1+真實IC!$C26:AZ26)-1</f>
        <v>0.23270815943402678</v>
      </c>
      <c r="BA25" s="9">
        <f t="array" ref="BA25">PRODUCT(1+真實IC!$C26:BA26)-1</f>
        <v>0.24450764193612917</v>
      </c>
      <c r="BB25" s="9">
        <f t="array" ref="BB25">PRODUCT(1+真實IC!$C26:BB26)-1</f>
        <v>0.21432833161917797</v>
      </c>
      <c r="BC25" s="9">
        <f t="array" ref="BC25">PRODUCT(1+真實IC!$C26:BC26)-1</f>
        <v>0.23881283376961537</v>
      </c>
      <c r="BD25" s="9">
        <f t="array" ref="BD25">PRODUCT(1+真實IC!$C26:BD26)-1</f>
        <v>0.23447698885142176</v>
      </c>
      <c r="BE25" s="9">
        <f t="array" ref="BE25">PRODUCT(1+真實IC!$C26:BE26)-1</f>
        <v>0.25935416913075549</v>
      </c>
      <c r="BF25" s="9">
        <f t="array" ref="BF25">PRODUCT(1+真實IC!$C26:BF26)-1</f>
        <v>0.26008585390302041</v>
      </c>
      <c r="BG25" s="9">
        <f t="array" ref="BG25">PRODUCT(1+真實IC!$C26:BG26)-1</f>
        <v>0.25350820574564659</v>
      </c>
      <c r="BH25" s="9">
        <f t="array" ref="BH25">PRODUCT(1+真實IC!$C26:BH26)-1</f>
        <v>0.10826420994589858</v>
      </c>
      <c r="BI25" s="9">
        <f t="array" ref="BI25">PRODUCT(1+真實IC!$C26:BI26)-1</f>
        <v>0.11793381517767676</v>
      </c>
      <c r="BJ25" s="9">
        <f t="array" ref="BJ25">PRODUCT(1+真實IC!$C26:BJ26)-1</f>
        <v>9.9622059285066511E-2</v>
      </c>
      <c r="BK25" s="9">
        <f t="array" ref="BK25">PRODUCT(1+真實IC!$C26:BK26)-1</f>
        <v>0.12253818300056718</v>
      </c>
      <c r="BL25" s="9">
        <f t="array" ref="BL25">PRODUCT(1+真實IC!$C26:BL26)-1</f>
        <v>0.17302546031920052</v>
      </c>
      <c r="BM25" s="9">
        <f t="array" ref="BM25">PRODUCT(1+真實IC!$C26:BM26)-1</f>
        <v>0.2011241121956866</v>
      </c>
      <c r="BN25" s="9">
        <f t="array" ref="BN25">PRODUCT(1+真實IC!$C26:BN26)-1</f>
        <v>0.23744490422437181</v>
      </c>
      <c r="BO25" s="9">
        <f t="array" ref="BO25">PRODUCT(1+真實IC!$C26:BO26)-1</f>
        <v>0.18333143856263989</v>
      </c>
      <c r="BP25" s="9">
        <f t="array" ref="BP25">PRODUCT(1+真實IC!$C26:BP26)-1</f>
        <v>0.20923338042133754</v>
      </c>
      <c r="BQ25" s="9">
        <f t="array" ref="BQ25">PRODUCT(1+真實IC!$C26:BQ26)-1</f>
        <v>0.21966543679423234</v>
      </c>
      <c r="BR25" s="9">
        <f t="array" ref="BR25">PRODUCT(1+真實IC!$C26:BR26)-1</f>
        <v>0.19626005706215088</v>
      </c>
      <c r="BS25" s="9">
        <f t="array" ref="BS25">PRODUCT(1+真實IC!$C26:BS26)-1</f>
        <v>0.21986824928827242</v>
      </c>
      <c r="BT25" s="9">
        <f t="array" ref="BT25">PRODUCT(1+真實IC!$C26:BT26)-1</f>
        <v>0.27804864556982722</v>
      </c>
      <c r="BU25" s="9">
        <f t="array" ref="BU25">PRODUCT(1+真實IC!$C26:BU26)-1</f>
        <v>0.29268869280482956</v>
      </c>
      <c r="BV25" s="9">
        <f t="array" ref="BV25">PRODUCT(1+真實IC!$C26:BV26)-1</f>
        <v>0.34857033230608958</v>
      </c>
      <c r="BW25" s="9">
        <f t="array" ref="BW25">PRODUCT(1+真實IC!$C26:BW26)-1</f>
        <v>0.29091895060000428</v>
      </c>
      <c r="BX25" s="9">
        <f t="array" ref="BX25">PRODUCT(1+真實IC!$C26:BX26)-1</f>
        <v>0.26792768408981815</v>
      </c>
      <c r="BY25" s="9">
        <f t="array" ref="BY25">PRODUCT(1+真實IC!$C26:BY26)-1</f>
        <v>7.628041463964208E-2</v>
      </c>
      <c r="BZ25" s="9">
        <f t="array" ref="BZ25">PRODUCT(1+真實IC!$C26:BZ26)-1</f>
        <v>0.20998027286783683</v>
      </c>
      <c r="CA25" s="9">
        <f t="array" ref="CA25">PRODUCT(1+真實IC!$C26:CA26)-1</f>
        <v>0.20446276282355957</v>
      </c>
      <c r="CB25" s="9">
        <f t="array" ref="CB25">PRODUCT(1+真實IC!$C26:CB26)-1</f>
        <v>0.27698467023592888</v>
      </c>
      <c r="CC25" s="9">
        <f t="array" ref="CC25">PRODUCT(1+真實IC!$C26:CC26)-1</f>
        <v>0.38679513599885706</v>
      </c>
      <c r="CD25" s="9">
        <f t="array" ref="CD25">PRODUCT(1+真實IC!$C26:CD26)-1</f>
        <v>0.37873785625870382</v>
      </c>
      <c r="CE25" s="9">
        <f t="array" ref="CE25">PRODUCT(1+真實IC!$C26:CE26)-1</f>
        <v>0.37041027960690109</v>
      </c>
      <c r="CF25" s="9">
        <f t="array" ref="CF25">PRODUCT(1+真實IC!$C26:CF26)-1</f>
        <v>0.37377052561249702</v>
      </c>
      <c r="CG25" s="9">
        <f t="array" ref="CG25">PRODUCT(1+真實IC!$C26:CG26)-1</f>
        <v>0.49690982044629894</v>
      </c>
      <c r="CH25" s="9">
        <f t="array" ref="CH25">PRODUCT(1+真實IC!$C26:CH26)-1</f>
        <v>0.60317993932924319</v>
      </c>
      <c r="CI25" s="9">
        <f t="array" ref="CI25">PRODUCT(1+真實IC!$C26:CI26)-1</f>
        <v>0.64673994146075819</v>
      </c>
      <c r="CJ25" s="9">
        <f t="array" ref="CJ25">PRODUCT(1+真實IC!$C26:CJ26)-1</f>
        <v>0.73314109270932115</v>
      </c>
      <c r="CK25" s="9">
        <f t="array" ref="CK25">PRODUCT(1+真實IC!$C26:CK26)-1</f>
        <v>0.7842358252634849</v>
      </c>
      <c r="CL25" s="9">
        <f t="array" ref="CL25">PRODUCT(1+真實IC!$C26:CL26)-1</f>
        <v>0.90346738428671713</v>
      </c>
      <c r="CM25" s="9">
        <f t="array" ref="CM25">PRODUCT(1+真實IC!$C26:CM26)-1</f>
        <v>0.84870462764078836</v>
      </c>
      <c r="CN25" s="9">
        <f t="array" ref="CN25">PRODUCT(1+真實IC!$C26:CN26)-1</f>
        <v>0.92166005836137677</v>
      </c>
      <c r="CO25" s="9">
        <f t="array" ref="CO25">PRODUCT(1+真實IC!$C26:CO26)-1</f>
        <v>0.86587426686714597</v>
      </c>
      <c r="CP25" s="9">
        <f t="array" ref="CP25">PRODUCT(1+真實IC!$C26:CP26)-1</f>
        <v>0.89196665261501606</v>
      </c>
      <c r="CQ25" s="9">
        <f t="array" ref="CQ25">PRODUCT(1+真實IC!$C26:CQ26)-1</f>
        <v>0.83089396906860347</v>
      </c>
      <c r="CR25" s="9">
        <f t="array" ref="CR25">PRODUCT(1+真實IC!$C26:CR26)-1</f>
        <v>0.83657706394859233</v>
      </c>
      <c r="CS25" s="9">
        <f t="array" ref="CS25">PRODUCT(1+真實IC!$C26:CS26)-1</f>
        <v>0.88357874416916471</v>
      </c>
      <c r="CT25" s="9">
        <f t="array" ref="CT25">PRODUCT(1+真實IC!$C26:CT26)-1</f>
        <v>0.96719457178032231</v>
      </c>
      <c r="CU25" s="9">
        <f t="array" ref="CU25">PRODUCT(1+真實IC!$C26:CU26)-1</f>
        <v>0.90750988847250724</v>
      </c>
      <c r="CV25" s="9">
        <f t="array" ref="CV25">PRODUCT(1+真實IC!$C26:CV26)-1</f>
        <v>0.90510642601303171</v>
      </c>
      <c r="CW25" s="9">
        <f t="array" ref="CW25">PRODUCT(1+真實IC!$C26:CW26)-1</f>
        <v>0.90955675462419805</v>
      </c>
      <c r="CX25" s="9">
        <f t="array" ref="CX25">PRODUCT(1+真實IC!$C26:CX26)-1</f>
        <v>0.78684863757204715</v>
      </c>
      <c r="CY25" s="9">
        <f t="array" ref="CY25">PRODUCT(1+真實IC!$C26:CY26)-1</f>
        <v>0.80991685348310227</v>
      </c>
      <c r="CZ25" s="9">
        <f t="array" ref="CZ25">PRODUCT(1+真實IC!$C26:CZ26)-1</f>
        <v>0.58280848670804253</v>
      </c>
      <c r="DA25" s="9">
        <f t="array" ref="DA25">PRODUCT(1+真實IC!$C26:DA26)-1</f>
        <v>0.60131310072614608</v>
      </c>
      <c r="DB25" s="9">
        <f t="array" ref="DB25">PRODUCT(1+真實IC!$C26:DB26)-1</f>
        <v>0.61146222315854826</v>
      </c>
      <c r="DC25" s="9">
        <f t="array" ref="DC25">PRODUCT(1+真實IC!$C26:DC26)-1</f>
        <v>0.42242158975981892</v>
      </c>
      <c r="DD25" s="9">
        <f t="array" ref="DD25">PRODUCT(1+真實IC!$C26:DD26)-1</f>
        <v>0.37120018831256796</v>
      </c>
      <c r="DE25" s="9">
        <f t="array" ref="DE25">PRODUCT(1+真實IC!$C26:DE26)-1</f>
        <v>0.56167497767125507</v>
      </c>
      <c r="DF25" s="9">
        <f t="array" ref="DF25">PRODUCT(1+真實IC!$C26:DF26)-1</f>
        <v>0.48181091931314723</v>
      </c>
      <c r="DG25" s="9">
        <f t="array" ref="DG25">PRODUCT(1+真實IC!$C26:DG26)-1</f>
        <v>0.59551175296296455</v>
      </c>
      <c r="DH25" s="9">
        <f t="array" ref="DH25">PRODUCT(1+真實IC!$C26:DH26)-1</f>
        <v>0.62025654473966707</v>
      </c>
      <c r="DI25" s="9">
        <f t="array" ref="DI25">PRODUCT(1+真實IC!$C26:DI26)-1</f>
        <v>0.65788538273470087</v>
      </c>
      <c r="DJ25" s="9">
        <f t="array" ref="DJ25">PRODUCT(1+真實IC!$C26:DJ26)-1</f>
        <v>0.62743002825386451</v>
      </c>
      <c r="DK25" s="9">
        <f t="array" ref="DK25">PRODUCT(1+真實IC!$C26:DK26)-1</f>
        <v>0.72865454858122636</v>
      </c>
      <c r="DL25" s="9">
        <f t="array" ref="DL25">PRODUCT(1+真實IC!$C26:DL26)-1</f>
        <v>0.76339704769861183</v>
      </c>
      <c r="DM25" s="9">
        <f t="array" ref="DM25">PRODUCT(1+真實IC!$C26:DM26)-1</f>
        <v>0.78720114444549516</v>
      </c>
      <c r="DN25" s="9">
        <f t="array" ref="DN25">PRODUCT(1+真實IC!$C26:DN26)-1</f>
        <v>0.73313830982601891</v>
      </c>
      <c r="DO25" s="9">
        <f t="array" ref="DO25">PRODUCT(1+真實IC!$C26:DO26)-1</f>
        <v>0.70364029579278009</v>
      </c>
      <c r="DP25" s="9">
        <f t="array" ref="DP25">PRODUCT(1+真實IC!$C26:DP26)-1</f>
        <v>0.66651797374745536</v>
      </c>
      <c r="DQ25" s="9">
        <f t="array" ref="DQ25">PRODUCT(1+真實IC!$C26:DQ26)-1</f>
        <v>0.80941522392440479</v>
      </c>
      <c r="DR25" s="9">
        <f t="array" ref="DR25">PRODUCT(1+真實IC!$C26:DR26)-1</f>
        <v>0.86027245762324833</v>
      </c>
      <c r="DS25" s="9">
        <f t="array" ref="DS25">PRODUCT(1+真實IC!$C26:DS26)-1</f>
        <v>0.85599383097071491</v>
      </c>
      <c r="DT25" s="9">
        <f t="array" ref="DT25">PRODUCT(1+真實IC!$C26:DT26)-1</f>
        <v>0.96451564626140351</v>
      </c>
      <c r="DU25" s="9">
        <f t="array" ref="DU25">PRODUCT(1+真實IC!$C26:DU26)-1</f>
        <v>1.0974328103718038</v>
      </c>
      <c r="DV25" s="9">
        <f t="array" ref="DV25">PRODUCT(1+真實IC!$C26:DV26)-1</f>
        <v>1.1079640205126804</v>
      </c>
      <c r="DW25" s="9">
        <f t="array" ref="DW25">PRODUCT(1+真實IC!$C26:DW26)-1</f>
        <v>1.1868356023041828</v>
      </c>
      <c r="DX25" s="9">
        <f t="array" ref="DX25">PRODUCT(1+真實IC!$C26:DX26)-1</f>
        <v>1.3707725316495902</v>
      </c>
      <c r="DY25" s="9">
        <f t="array" ref="DY25">PRODUCT(1+真實IC!$C26:DY26)-1</f>
        <v>1.2834569793089359</v>
      </c>
      <c r="DZ25" s="9">
        <f t="array" ref="DZ25">PRODUCT(1+真實IC!$C26:DZ26)-1</f>
        <v>1.2905174282889593</v>
      </c>
      <c r="EA25" s="9">
        <f t="array" ref="EA25">PRODUCT(1+真實IC!$C26:EA26)-1</f>
        <v>1.2860280141295131</v>
      </c>
      <c r="EB25" s="9">
        <f t="array" ref="EB25">PRODUCT(1+真實IC!$C26:EB26)-1</f>
        <v>1.3465140293553657</v>
      </c>
      <c r="EC25" s="9">
        <f t="array" ref="EC25">PRODUCT(1+真實IC!$C26:EC26)-1</f>
        <v>1.2884378071288203</v>
      </c>
      <c r="ED25" s="9">
        <f t="array" ref="ED25">PRODUCT(1+真實IC!$C26:ED26)-1</f>
        <v>1.3665078629190197</v>
      </c>
      <c r="EE25" s="9">
        <f t="array" ref="EE25">PRODUCT(1+真實IC!$C26:EE26)-1</f>
        <v>1.41635125152782</v>
      </c>
      <c r="EF25" s="9">
        <f t="array" ref="EF25">PRODUCT(1+真實IC!$C26:EF26)-1</f>
        <v>1.3673539482849417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真實IC</vt:lpstr>
      <vt:lpstr>OLS勝率(真實)</vt:lpstr>
      <vt:lpstr>夏普比率</vt:lpstr>
      <vt:lpstr>真實累積報酬</vt:lpstr>
      <vt:lpstr>真實畫圖</vt:lpstr>
      <vt:lpstr>真實再投資累積報酬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陳祥瑋</dc:creator>
  <cp:lastModifiedBy>陳祥瑋</cp:lastModifiedBy>
  <dcterms:created xsi:type="dcterms:W3CDTF">2025-05-27T04:31:08Z</dcterms:created>
  <dcterms:modified xsi:type="dcterms:W3CDTF">2025-06-02T01:40:57Z</dcterms:modified>
</cp:coreProperties>
</file>