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Raych\OneDrive\桌面\金融科技與應用\Extra模型\"/>
    </mc:Choice>
  </mc:AlternateContent>
  <xr:revisionPtr revIDLastSave="0" documentId="13_ncr:1_{72F3CD8D-9ACD-46CA-8E80-9C4B969C938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預測IC" sheetId="2" r:id="rId1"/>
    <sheet name="預測(XGB)勝率" sheetId="3" r:id="rId2"/>
    <sheet name="預測(XGB)累積報酬" sheetId="4" r:id="rId3"/>
    <sheet name="XGB再投資累積報酬" sheetId="5" r:id="rId4"/>
    <sheet name="XGB夏普比率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H25" i="6" l="1"/>
  <c r="EG25" i="6"/>
  <c r="EI25" i="6" s="1"/>
  <c r="EH24" i="6"/>
  <c r="EI24" i="6" s="1"/>
  <c r="EG24" i="6"/>
  <c r="EH23" i="6"/>
  <c r="EG23" i="6"/>
  <c r="EI23" i="6" s="1"/>
  <c r="EH22" i="6"/>
  <c r="EG22" i="6"/>
  <c r="EI22" i="6" s="1"/>
  <c r="EH21" i="6"/>
  <c r="EG21" i="6"/>
  <c r="EI21" i="6" s="1"/>
  <c r="EH20" i="6"/>
  <c r="EG20" i="6"/>
  <c r="EI20" i="6" s="1"/>
  <c r="EH19" i="6"/>
  <c r="EG19" i="6"/>
  <c r="EI19" i="6" s="1"/>
  <c r="EH18" i="6"/>
  <c r="EG18" i="6"/>
  <c r="EI18" i="6" s="1"/>
  <c r="EH17" i="6"/>
  <c r="EG17" i="6"/>
  <c r="EI17" i="6" s="1"/>
  <c r="EH16" i="6"/>
  <c r="EG16" i="6"/>
  <c r="EI16" i="6" s="1"/>
  <c r="EH15" i="6"/>
  <c r="EG15" i="6"/>
  <c r="EI15" i="6" s="1"/>
  <c r="EH14" i="6"/>
  <c r="EG14" i="6"/>
  <c r="EI14" i="6" s="1"/>
  <c r="EH13" i="6"/>
  <c r="EG13" i="6"/>
  <c r="EI13" i="6" s="1"/>
  <c r="EH12" i="6"/>
  <c r="EG12" i="6"/>
  <c r="EI12" i="6" s="1"/>
  <c r="EG6" i="6" a="1"/>
  <c r="EG6" i="6" s="1"/>
  <c r="EF6" i="6" a="1"/>
  <c r="EF6" i="6" s="1"/>
  <c r="EE6" i="6" a="1"/>
  <c r="EE6" i="6" s="1"/>
  <c r="ED6" i="6" a="1"/>
  <c r="ED6" i="6" s="1"/>
  <c r="EC6" i="6" a="1"/>
  <c r="EC6" i="6" s="1"/>
  <c r="EB6" i="6" a="1"/>
  <c r="EB6" i="6" s="1"/>
  <c r="EA6" i="6" a="1"/>
  <c r="EA6" i="6" s="1"/>
  <c r="DZ6" i="6" a="1"/>
  <c r="DZ6" i="6" s="1"/>
  <c r="DY6" i="6" a="1"/>
  <c r="DY6" i="6" s="1"/>
  <c r="DX6" i="6" a="1"/>
  <c r="DX6" i="6" s="1"/>
  <c r="DW6" i="6" a="1"/>
  <c r="DW6" i="6" s="1"/>
  <c r="DV6" i="6" a="1"/>
  <c r="DV6" i="6" s="1"/>
  <c r="DU6" i="6" a="1"/>
  <c r="DU6" i="6" s="1"/>
  <c r="DT6" i="6" a="1"/>
  <c r="DT6" i="6" s="1"/>
  <c r="DS6" i="6" a="1"/>
  <c r="DS6" i="6" s="1"/>
  <c r="DR6" i="6" a="1"/>
  <c r="DR6" i="6" s="1"/>
  <c r="DQ6" i="6" a="1"/>
  <c r="DQ6" i="6" s="1"/>
  <c r="DP6" i="6" a="1"/>
  <c r="DP6" i="6" s="1"/>
  <c r="DO6" i="6" a="1"/>
  <c r="DO6" i="6" s="1"/>
  <c r="DN6" i="6" a="1"/>
  <c r="DN6" i="6" s="1"/>
  <c r="DM6" i="6" a="1"/>
  <c r="DM6" i="6" s="1"/>
  <c r="DL6" i="6" a="1"/>
  <c r="DL6" i="6" s="1"/>
  <c r="DK6" i="6" a="1"/>
  <c r="DK6" i="6" s="1"/>
  <c r="DJ6" i="6" a="1"/>
  <c r="DJ6" i="6" s="1"/>
  <c r="DI6" i="6" a="1"/>
  <c r="DI6" i="6" s="1"/>
  <c r="DH6" i="6" a="1"/>
  <c r="DH6" i="6" s="1"/>
  <c r="DG6" i="6" a="1"/>
  <c r="DG6" i="6" s="1"/>
  <c r="DF6" i="6" a="1"/>
  <c r="DF6" i="6" s="1"/>
  <c r="DE6" i="6" a="1"/>
  <c r="DE6" i="6" s="1"/>
  <c r="DD6" i="6" a="1"/>
  <c r="DD6" i="6" s="1"/>
  <c r="DC6" i="6" a="1"/>
  <c r="DC6" i="6" s="1"/>
  <c r="DB6" i="6" a="1"/>
  <c r="DB6" i="6" s="1"/>
  <c r="DA6" i="6" a="1"/>
  <c r="DA6" i="6" s="1"/>
  <c r="CZ6" i="6" a="1"/>
  <c r="CZ6" i="6" s="1"/>
  <c r="CY6" i="6" a="1"/>
  <c r="CY6" i="6" s="1"/>
  <c r="CX6" i="6" a="1"/>
  <c r="CX6" i="6" s="1"/>
  <c r="CW6" i="6" a="1"/>
  <c r="CW6" i="6" s="1"/>
  <c r="CV6" i="6" a="1"/>
  <c r="CV6" i="6" s="1"/>
  <c r="CU6" i="6" a="1"/>
  <c r="CU6" i="6" s="1"/>
  <c r="CT6" i="6" a="1"/>
  <c r="CT6" i="6" s="1"/>
  <c r="CS6" i="6" a="1"/>
  <c r="CS6" i="6" s="1"/>
  <c r="CR6" i="6" a="1"/>
  <c r="CR6" i="6" s="1"/>
  <c r="CQ6" i="6" a="1"/>
  <c r="CQ6" i="6" s="1"/>
  <c r="CP6" i="6" a="1"/>
  <c r="CP6" i="6" s="1"/>
  <c r="CO6" i="6" a="1"/>
  <c r="CO6" i="6" s="1"/>
  <c r="CN6" i="6" a="1"/>
  <c r="CN6" i="6" s="1"/>
  <c r="CM6" i="6" a="1"/>
  <c r="CM6" i="6" s="1"/>
  <c r="CL6" i="6" a="1"/>
  <c r="CL6" i="6" s="1"/>
  <c r="CK6" i="6" a="1"/>
  <c r="CK6" i="6" s="1"/>
  <c r="CJ6" i="6" a="1"/>
  <c r="CJ6" i="6" s="1"/>
  <c r="CI6" i="6" a="1"/>
  <c r="CI6" i="6" s="1"/>
  <c r="CH6" i="6" a="1"/>
  <c r="CH6" i="6" s="1"/>
  <c r="CG6" i="6" a="1"/>
  <c r="CG6" i="6" s="1"/>
  <c r="CF6" i="6" a="1"/>
  <c r="CF6" i="6" s="1"/>
  <c r="CE6" i="6" a="1"/>
  <c r="CE6" i="6" s="1"/>
  <c r="CD6" i="6" a="1"/>
  <c r="CD6" i="6" s="1"/>
  <c r="CC6" i="6" a="1"/>
  <c r="CC6" i="6" s="1"/>
  <c r="CB6" i="6" a="1"/>
  <c r="CB6" i="6" s="1"/>
  <c r="CA6" i="6" a="1"/>
  <c r="CA6" i="6" s="1"/>
  <c r="BZ6" i="6" a="1"/>
  <c r="BZ6" i="6" s="1"/>
  <c r="BY6" i="6" a="1"/>
  <c r="BY6" i="6" s="1"/>
  <c r="BX6" i="6" a="1"/>
  <c r="BX6" i="6" s="1"/>
  <c r="BW6" i="6" a="1"/>
  <c r="BW6" i="6" s="1"/>
  <c r="BV6" i="6" a="1"/>
  <c r="BV6" i="6" s="1"/>
  <c r="BU6" i="6" a="1"/>
  <c r="BU6" i="6" s="1"/>
  <c r="BT6" i="6" a="1"/>
  <c r="BT6" i="6" s="1"/>
  <c r="BS6" i="6" a="1"/>
  <c r="BS6" i="6" s="1"/>
  <c r="BR6" i="6" a="1"/>
  <c r="BR6" i="6" s="1"/>
  <c r="BQ6" i="6" a="1"/>
  <c r="BQ6" i="6" s="1"/>
  <c r="BP6" i="6" a="1"/>
  <c r="BP6" i="6" s="1"/>
  <c r="BO6" i="6" a="1"/>
  <c r="BO6" i="6" s="1"/>
  <c r="BN6" i="6" a="1"/>
  <c r="BN6" i="6" s="1"/>
  <c r="BM6" i="6" a="1"/>
  <c r="BM6" i="6" s="1"/>
  <c r="BL6" i="6" a="1"/>
  <c r="BL6" i="6" s="1"/>
  <c r="BK6" i="6" a="1"/>
  <c r="BK6" i="6" s="1"/>
  <c r="BJ6" i="6" a="1"/>
  <c r="BJ6" i="6" s="1"/>
  <c r="BI6" i="6" a="1"/>
  <c r="BI6" i="6" s="1"/>
  <c r="BH6" i="6" a="1"/>
  <c r="BH6" i="6" s="1"/>
  <c r="BG6" i="6" a="1"/>
  <c r="BG6" i="6" s="1"/>
  <c r="BF6" i="6" a="1"/>
  <c r="BF6" i="6" s="1"/>
  <c r="BE6" i="6" a="1"/>
  <c r="BE6" i="6" s="1"/>
  <c r="BD6" i="6" a="1"/>
  <c r="BD6" i="6" s="1"/>
  <c r="BC6" i="6" a="1"/>
  <c r="BC6" i="6" s="1"/>
  <c r="BB6" i="6" a="1"/>
  <c r="BB6" i="6" s="1"/>
  <c r="BA6" i="6" a="1"/>
  <c r="BA6" i="6" s="1"/>
  <c r="AZ6" i="6" a="1"/>
  <c r="AZ6" i="6" s="1"/>
  <c r="AY6" i="6" a="1"/>
  <c r="AY6" i="6" s="1"/>
  <c r="AX6" i="6" a="1"/>
  <c r="AX6" i="6" s="1"/>
  <c r="AW6" i="6" a="1"/>
  <c r="AW6" i="6" s="1"/>
  <c r="AV6" i="6" a="1"/>
  <c r="AV6" i="6" s="1"/>
  <c r="AU6" i="6" a="1"/>
  <c r="AU6" i="6" s="1"/>
  <c r="AT6" i="6" a="1"/>
  <c r="AT6" i="6" s="1"/>
  <c r="AS6" i="6" a="1"/>
  <c r="AS6" i="6" s="1"/>
  <c r="AR6" i="6" a="1"/>
  <c r="AR6" i="6" s="1"/>
  <c r="AQ6" i="6" a="1"/>
  <c r="AQ6" i="6" s="1"/>
  <c r="AP6" i="6" a="1"/>
  <c r="AP6" i="6" s="1"/>
  <c r="AO6" i="6" a="1"/>
  <c r="AO6" i="6" s="1"/>
  <c r="AN6" i="6" a="1"/>
  <c r="AN6" i="6" s="1"/>
  <c r="AM6" i="6" a="1"/>
  <c r="AM6" i="6" s="1"/>
  <c r="AL6" i="6" a="1"/>
  <c r="AL6" i="6" s="1"/>
  <c r="AK6" i="6" a="1"/>
  <c r="AK6" i="6" s="1"/>
  <c r="AJ6" i="6" a="1"/>
  <c r="AJ6" i="6" s="1"/>
  <c r="AI6" i="6" a="1"/>
  <c r="AI6" i="6" s="1"/>
  <c r="AH6" i="6" a="1"/>
  <c r="AH6" i="6" s="1"/>
  <c r="AG6" i="6" a="1"/>
  <c r="AG6" i="6" s="1"/>
  <c r="AF6" i="6" a="1"/>
  <c r="AF6" i="6" s="1"/>
  <c r="AE6" i="6" a="1"/>
  <c r="AE6" i="6" s="1"/>
  <c r="AD6" i="6" a="1"/>
  <c r="AD6" i="6" s="1"/>
  <c r="AC6" i="6" a="1"/>
  <c r="AC6" i="6" s="1"/>
  <c r="AB6" i="6" a="1"/>
  <c r="AB6" i="6" s="1"/>
  <c r="AA6" i="6" a="1"/>
  <c r="AA6" i="6" s="1"/>
  <c r="Z6" i="6" a="1"/>
  <c r="Z6" i="6" s="1"/>
  <c r="Y6" i="6" a="1"/>
  <c r="Y6" i="6" s="1"/>
  <c r="X6" i="6" a="1"/>
  <c r="X6" i="6" s="1"/>
  <c r="W6" i="6" a="1"/>
  <c r="W6" i="6" s="1"/>
  <c r="V6" i="6" a="1"/>
  <c r="V6" i="6" s="1"/>
  <c r="U6" i="6" a="1"/>
  <c r="U6" i="6" s="1"/>
  <c r="T6" i="6" a="1"/>
  <c r="T6" i="6" s="1"/>
  <c r="S6" i="6" a="1"/>
  <c r="S6" i="6" s="1"/>
  <c r="R6" i="6" a="1"/>
  <c r="R6" i="6" s="1"/>
  <c r="Q6" i="6" a="1"/>
  <c r="Q6" i="6" s="1"/>
  <c r="P6" i="6" a="1"/>
  <c r="P6" i="6" s="1"/>
  <c r="O6" i="6" a="1"/>
  <c r="O6" i="6" s="1"/>
  <c r="N6" i="6" a="1"/>
  <c r="N6" i="6" s="1"/>
  <c r="M6" i="6" a="1"/>
  <c r="M6" i="6" s="1"/>
  <c r="L6" i="6" a="1"/>
  <c r="L6" i="6" s="1"/>
  <c r="K6" i="6" a="1"/>
  <c r="K6" i="6" s="1"/>
  <c r="J6" i="6" a="1"/>
  <c r="J6" i="6" s="1"/>
  <c r="I6" i="6" a="1"/>
  <c r="I6" i="6" s="1"/>
  <c r="H6" i="6" a="1"/>
  <c r="H6" i="6" s="1"/>
  <c r="G6" i="6" a="1"/>
  <c r="G6" i="6" s="1"/>
  <c r="F6" i="6" a="1"/>
  <c r="F6" i="6" s="1"/>
  <c r="E6" i="6" a="1"/>
  <c r="E6" i="6" s="1"/>
  <c r="D6" i="6" a="1"/>
  <c r="D6" i="6" s="1"/>
  <c r="C6" i="6" a="1"/>
  <c r="C6" i="6" s="1"/>
  <c r="EF24" i="5" a="1"/>
  <c r="EF24" i="5" s="1"/>
  <c r="EE24" i="5" a="1"/>
  <c r="EE24" i="5" s="1"/>
  <c r="ED24" i="5" a="1"/>
  <c r="ED24" i="5" s="1"/>
  <c r="EC24" i="5" a="1"/>
  <c r="EC24" i="5" s="1"/>
  <c r="EB24" i="5" a="1"/>
  <c r="EB24" i="5" s="1"/>
  <c r="EA24" i="5" a="1"/>
  <c r="EA24" i="5" s="1"/>
  <c r="DZ24" i="5" a="1"/>
  <c r="DZ24" i="5" s="1"/>
  <c r="DY24" i="5" a="1"/>
  <c r="DY24" i="5" s="1"/>
  <c r="DX24" i="5" a="1"/>
  <c r="DX24" i="5" s="1"/>
  <c r="DW24" i="5" a="1"/>
  <c r="DW24" i="5" s="1"/>
  <c r="DV24" i="5" a="1"/>
  <c r="DV24" i="5" s="1"/>
  <c r="DU24" i="5" a="1"/>
  <c r="DU24" i="5" s="1"/>
  <c r="DT24" i="5" a="1"/>
  <c r="DT24" i="5" s="1"/>
  <c r="DS24" i="5" a="1"/>
  <c r="DS24" i="5" s="1"/>
  <c r="DR24" i="5" a="1"/>
  <c r="DR24" i="5" s="1"/>
  <c r="DQ24" i="5" a="1"/>
  <c r="DQ24" i="5" s="1"/>
  <c r="DP24" i="5" a="1"/>
  <c r="DP24" i="5" s="1"/>
  <c r="DO24" i="5"/>
  <c r="DO24" i="5" a="1"/>
  <c r="DN24" i="5" a="1"/>
  <c r="DN24" i="5" s="1"/>
  <c r="DM24" i="5"/>
  <c r="DM24" i="5" a="1"/>
  <c r="DL24" i="5" a="1"/>
  <c r="DL24" i="5" s="1"/>
  <c r="DK24" i="5" a="1"/>
  <c r="DK24" i="5" s="1"/>
  <c r="DJ24" i="5" a="1"/>
  <c r="DJ24" i="5" s="1"/>
  <c r="DI24" i="5" a="1"/>
  <c r="DI24" i="5" s="1"/>
  <c r="DH24" i="5" a="1"/>
  <c r="DH24" i="5" s="1"/>
  <c r="DG24" i="5" a="1"/>
  <c r="DG24" i="5" s="1"/>
  <c r="DF24" i="5"/>
  <c r="DF24" i="5" a="1"/>
  <c r="DE24" i="5" a="1"/>
  <c r="DE24" i="5" s="1"/>
  <c r="DD24" i="5"/>
  <c r="DD24" i="5" a="1"/>
  <c r="DC24" i="5" a="1"/>
  <c r="DC24" i="5" s="1"/>
  <c r="DB24" i="5"/>
  <c r="DB24" i="5" a="1"/>
  <c r="DA24" i="5" a="1"/>
  <c r="DA24" i="5" s="1"/>
  <c r="CZ24" i="5" a="1"/>
  <c r="CZ24" i="5" s="1"/>
  <c r="CY24" i="5" a="1"/>
  <c r="CY24" i="5" s="1"/>
  <c r="CX24" i="5" a="1"/>
  <c r="CX24" i="5" s="1"/>
  <c r="CW24" i="5" a="1"/>
  <c r="CW24" i="5" s="1"/>
  <c r="CV24" i="5" a="1"/>
  <c r="CV24" i="5" s="1"/>
  <c r="CU24" i="5"/>
  <c r="CU24" i="5" a="1"/>
  <c r="CT24" i="5" a="1"/>
  <c r="CT24" i="5" s="1"/>
  <c r="CS24" i="5" a="1"/>
  <c r="CS24" i="5" s="1"/>
  <c r="CR24" i="5" a="1"/>
  <c r="CR24" i="5" s="1"/>
  <c r="CQ24" i="5" a="1"/>
  <c r="CQ24" i="5" s="1"/>
  <c r="CP24" i="5" a="1"/>
  <c r="CP24" i="5" s="1"/>
  <c r="CO24" i="5"/>
  <c r="CO24" i="5" a="1"/>
  <c r="CN24" i="5" a="1"/>
  <c r="CN24" i="5" s="1"/>
  <c r="CM24" i="5" a="1"/>
  <c r="CM24" i="5" s="1"/>
  <c r="CL24" i="5"/>
  <c r="CL24" i="5" a="1"/>
  <c r="CK24" i="5" a="1"/>
  <c r="CK24" i="5" s="1"/>
  <c r="CJ24" i="5" a="1"/>
  <c r="CJ24" i="5" s="1"/>
  <c r="CI24" i="5" a="1"/>
  <c r="CI24" i="5" s="1"/>
  <c r="CH24" i="5" a="1"/>
  <c r="CH24" i="5" s="1"/>
  <c r="CG24" i="5" a="1"/>
  <c r="CG24" i="5" s="1"/>
  <c r="CF24" i="5" a="1"/>
  <c r="CF24" i="5" s="1"/>
  <c r="CE24" i="5" a="1"/>
  <c r="CE24" i="5" s="1"/>
  <c r="CD24" i="5" a="1"/>
  <c r="CD24" i="5" s="1"/>
  <c r="CC24" i="5"/>
  <c r="CC24" i="5" a="1"/>
  <c r="CB24" i="5" a="1"/>
  <c r="CB24" i="5" s="1"/>
  <c r="CA24" i="5" a="1"/>
  <c r="CA24" i="5" s="1"/>
  <c r="BZ24" i="5" a="1"/>
  <c r="BZ24" i="5" s="1"/>
  <c r="BY24" i="5"/>
  <c r="BY24" i="5" a="1"/>
  <c r="BX24" i="5"/>
  <c r="BX24" i="5" a="1"/>
  <c r="BW24" i="5" a="1"/>
  <c r="BW24" i="5" s="1"/>
  <c r="BV24" i="5" a="1"/>
  <c r="BV24" i="5" s="1"/>
  <c r="BU24" i="5" a="1"/>
  <c r="BU24" i="5" s="1"/>
  <c r="BT24" i="5" a="1"/>
  <c r="BT24" i="5" s="1"/>
  <c r="BS24" i="5" a="1"/>
  <c r="BS24" i="5" s="1"/>
  <c r="BR24" i="5" a="1"/>
  <c r="BR24" i="5" s="1"/>
  <c r="BQ24" i="5" a="1"/>
  <c r="BQ24" i="5" s="1"/>
  <c r="BP24" i="5"/>
  <c r="BP24" i="5" a="1"/>
  <c r="BO24" i="5" a="1"/>
  <c r="BO24" i="5" s="1"/>
  <c r="BN24" i="5" a="1"/>
  <c r="BN24" i="5" s="1"/>
  <c r="BM24" i="5" a="1"/>
  <c r="BM24" i="5" s="1"/>
  <c r="BL24" i="5" a="1"/>
  <c r="BL24" i="5" s="1"/>
  <c r="BK24" i="5"/>
  <c r="BK24" i="5" a="1"/>
  <c r="BJ24" i="5" a="1"/>
  <c r="BJ24" i="5" s="1"/>
  <c r="BI24" i="5" a="1"/>
  <c r="BI24" i="5" s="1"/>
  <c r="BH24" i="5" a="1"/>
  <c r="BH24" i="5" s="1"/>
  <c r="BG24" i="5"/>
  <c r="BG24" i="5" a="1"/>
  <c r="BF24" i="5" a="1"/>
  <c r="BF24" i="5" s="1"/>
  <c r="BE24" i="5"/>
  <c r="BE24" i="5" a="1"/>
  <c r="BD24" i="5" a="1"/>
  <c r="BD24" i="5" s="1"/>
  <c r="BC24" i="5" a="1"/>
  <c r="BC24" i="5" s="1"/>
  <c r="BB24" i="5" a="1"/>
  <c r="BB24" i="5" s="1"/>
  <c r="BA24" i="5" a="1"/>
  <c r="BA24" i="5" s="1"/>
  <c r="AZ24" i="5" a="1"/>
  <c r="AZ24" i="5" s="1"/>
  <c r="AY24" i="5"/>
  <c r="AY24" i="5" a="1"/>
  <c r="AX24" i="5" a="1"/>
  <c r="AX24" i="5" s="1"/>
  <c r="AW24" i="5" a="1"/>
  <c r="AW24" i="5" s="1"/>
  <c r="AV24" i="5" a="1"/>
  <c r="AV24" i="5" s="1"/>
  <c r="AU24" i="5" a="1"/>
  <c r="AU24" i="5" s="1"/>
  <c r="AT24" i="5"/>
  <c r="AT24" i="5" a="1"/>
  <c r="AS24" i="5" a="1"/>
  <c r="AS24" i="5" s="1"/>
  <c r="AR24" i="5" a="1"/>
  <c r="AR24" i="5" s="1"/>
  <c r="AQ24" i="5" a="1"/>
  <c r="AQ24" i="5" s="1"/>
  <c r="AP24" i="5"/>
  <c r="AP24" i="5" a="1"/>
  <c r="AO24" i="5" a="1"/>
  <c r="AO24" i="5" s="1"/>
  <c r="AN24" i="5" a="1"/>
  <c r="AN24" i="5" s="1"/>
  <c r="AM24" i="5" a="1"/>
  <c r="AM24" i="5" s="1"/>
  <c r="AL24" i="5" a="1"/>
  <c r="AL24" i="5" s="1"/>
  <c r="AK24" i="5" a="1"/>
  <c r="AK24" i="5" s="1"/>
  <c r="AJ24" i="5"/>
  <c r="AJ24" i="5" a="1"/>
  <c r="AI24" i="5" a="1"/>
  <c r="AI24" i="5" s="1"/>
  <c r="AH24" i="5" a="1"/>
  <c r="AH24" i="5" s="1"/>
  <c r="AG24" i="5" a="1"/>
  <c r="AG24" i="5" s="1"/>
  <c r="AF24" i="5" a="1"/>
  <c r="AF24" i="5" s="1"/>
  <c r="AE24" i="5" a="1"/>
  <c r="AE24" i="5" s="1"/>
  <c r="AD24" i="5" a="1"/>
  <c r="AD24" i="5" s="1"/>
  <c r="AC24" i="5"/>
  <c r="AC24" i="5" a="1"/>
  <c r="AB24" i="5" a="1"/>
  <c r="AB24" i="5" s="1"/>
  <c r="AA24" i="5" a="1"/>
  <c r="AA24" i="5" s="1"/>
  <c r="Z24" i="5" a="1"/>
  <c r="Z24" i="5" s="1"/>
  <c r="Y24" i="5"/>
  <c r="Y24" i="5" a="1"/>
  <c r="X24" i="5" a="1"/>
  <c r="X24" i="5" s="1"/>
  <c r="W24" i="5" a="1"/>
  <c r="W24" i="5" s="1"/>
  <c r="V24" i="5" a="1"/>
  <c r="V24" i="5" s="1"/>
  <c r="U24" i="5" a="1"/>
  <c r="U24" i="5" s="1"/>
  <c r="T24" i="5" a="1"/>
  <c r="T24" i="5" s="1"/>
  <c r="S24" i="5"/>
  <c r="S24" i="5" a="1"/>
  <c r="R24" i="5"/>
  <c r="R24" i="5" a="1"/>
  <c r="Q24" i="5" a="1"/>
  <c r="Q24" i="5" s="1"/>
  <c r="P24" i="5" a="1"/>
  <c r="P24" i="5" s="1"/>
  <c r="O24" i="5" a="1"/>
  <c r="O24" i="5" s="1"/>
  <c r="N24" i="5" a="1"/>
  <c r="N24" i="5" s="1"/>
  <c r="M24" i="5" a="1"/>
  <c r="M24" i="5" s="1"/>
  <c r="L24" i="5" a="1"/>
  <c r="L24" i="5" s="1"/>
  <c r="K24" i="5" a="1"/>
  <c r="K24" i="5" s="1"/>
  <c r="J24" i="5" a="1"/>
  <c r="J24" i="5" s="1"/>
  <c r="I24" i="5"/>
  <c r="I24" i="5" a="1"/>
  <c r="H24" i="5" a="1"/>
  <c r="H24" i="5" s="1"/>
  <c r="G24" i="5" a="1"/>
  <c r="G24" i="5" s="1"/>
  <c r="F24" i="5" a="1"/>
  <c r="F24" i="5" s="1"/>
  <c r="E24" i="5" a="1"/>
  <c r="E24" i="5" s="1"/>
  <c r="D24" i="5" a="1"/>
  <c r="D24" i="5" s="1"/>
  <c r="C24" i="5" a="1"/>
  <c r="C24" i="5" s="1"/>
  <c r="EF23" i="5"/>
  <c r="EF23" i="5" a="1"/>
  <c r="EE23" i="5" a="1"/>
  <c r="EE23" i="5" s="1"/>
  <c r="ED23" i="5" a="1"/>
  <c r="ED23" i="5" s="1"/>
  <c r="EC23" i="5"/>
  <c r="EC23" i="5" a="1"/>
  <c r="EB23" i="5" a="1"/>
  <c r="EB23" i="5" s="1"/>
  <c r="EA23" i="5" a="1"/>
  <c r="EA23" i="5" s="1"/>
  <c r="DZ23" i="5" a="1"/>
  <c r="DZ23" i="5" s="1"/>
  <c r="DY23" i="5" a="1"/>
  <c r="DY23" i="5" s="1"/>
  <c r="DX23" i="5"/>
  <c r="DX23" i="5" a="1"/>
  <c r="DW23" i="5" a="1"/>
  <c r="DW23" i="5" s="1"/>
  <c r="DV23" i="5" a="1"/>
  <c r="DV23" i="5" s="1"/>
  <c r="DU23" i="5"/>
  <c r="DU23" i="5" a="1"/>
  <c r="DT23" i="5" a="1"/>
  <c r="DT23" i="5" s="1"/>
  <c r="DS23" i="5" a="1"/>
  <c r="DS23" i="5" s="1"/>
  <c r="DR23" i="5"/>
  <c r="DR23" i="5" a="1"/>
  <c r="DQ23" i="5" a="1"/>
  <c r="DQ23" i="5" s="1"/>
  <c r="DP23" i="5" a="1"/>
  <c r="DP23" i="5" s="1"/>
  <c r="DO23" i="5" a="1"/>
  <c r="DO23" i="5" s="1"/>
  <c r="DN23" i="5" a="1"/>
  <c r="DN23" i="5" s="1"/>
  <c r="DM23" i="5"/>
  <c r="DM23" i="5" a="1"/>
  <c r="DL23" i="5"/>
  <c r="DL23" i="5" a="1"/>
  <c r="DK23" i="5" a="1"/>
  <c r="DK23" i="5" s="1"/>
  <c r="DJ23" i="5" a="1"/>
  <c r="DJ23" i="5" s="1"/>
  <c r="DI23" i="5" a="1"/>
  <c r="DI23" i="5" s="1"/>
  <c r="DH23" i="5" a="1"/>
  <c r="DH23" i="5" s="1"/>
  <c r="DG23" i="5" a="1"/>
  <c r="DG23" i="5" s="1"/>
  <c r="DF23" i="5" a="1"/>
  <c r="DF23" i="5" s="1"/>
  <c r="DE23" i="5" a="1"/>
  <c r="DE23" i="5" s="1"/>
  <c r="DD23" i="5" a="1"/>
  <c r="DD23" i="5" s="1"/>
  <c r="DC23" i="5" a="1"/>
  <c r="DC23" i="5" s="1"/>
  <c r="DB23" i="5"/>
  <c r="DB23" i="5" a="1"/>
  <c r="DA23" i="5" a="1"/>
  <c r="DA23" i="5" s="1"/>
  <c r="CZ23" i="5" a="1"/>
  <c r="CZ23" i="5" s="1"/>
  <c r="CY23" i="5"/>
  <c r="CY23" i="5" a="1"/>
  <c r="CX23" i="5" a="1"/>
  <c r="CX23" i="5" s="1"/>
  <c r="CW23" i="5" a="1"/>
  <c r="CW23" i="5" s="1"/>
  <c r="CV23" i="5" a="1"/>
  <c r="CV23" i="5" s="1"/>
  <c r="CU23" i="5"/>
  <c r="CU23" i="5" a="1"/>
  <c r="CT23" i="5" a="1"/>
  <c r="CT23" i="5" s="1"/>
  <c r="CS23" i="5"/>
  <c r="CS23" i="5" a="1"/>
  <c r="CR23" i="5" a="1"/>
  <c r="CR23" i="5" s="1"/>
  <c r="CQ23" i="5"/>
  <c r="CQ23" i="5" a="1"/>
  <c r="CP23" i="5" a="1"/>
  <c r="CP23" i="5" s="1"/>
  <c r="CO23" i="5"/>
  <c r="CO23" i="5" a="1"/>
  <c r="CN23" i="5" a="1"/>
  <c r="CN23" i="5" s="1"/>
  <c r="CM23" i="5" a="1"/>
  <c r="CM23" i="5" s="1"/>
  <c r="CL23" i="5" a="1"/>
  <c r="CL23" i="5" s="1"/>
  <c r="CK23" i="5" a="1"/>
  <c r="CK23" i="5" s="1"/>
  <c r="CJ23" i="5"/>
  <c r="CJ23" i="5" a="1"/>
  <c r="CI23" i="5" a="1"/>
  <c r="CI23" i="5" s="1"/>
  <c r="CH23" i="5" a="1"/>
  <c r="CH23" i="5" s="1"/>
  <c r="CG23" i="5" a="1"/>
  <c r="CG23" i="5" s="1"/>
  <c r="CF23" i="5" a="1"/>
  <c r="CF23" i="5" s="1"/>
  <c r="CE23" i="5" a="1"/>
  <c r="CE23" i="5" s="1"/>
  <c r="CD23" i="5"/>
  <c r="CD23" i="5" a="1"/>
  <c r="CC23" i="5" a="1"/>
  <c r="CC23" i="5" s="1"/>
  <c r="CB23" i="5" a="1"/>
  <c r="CB23" i="5" s="1"/>
  <c r="CA23" i="5"/>
  <c r="CA23" i="5" a="1"/>
  <c r="BZ23" i="5" a="1"/>
  <c r="BZ23" i="5" s="1"/>
  <c r="BY23" i="5" a="1"/>
  <c r="BY23" i="5" s="1"/>
  <c r="BX23" i="5" a="1"/>
  <c r="BX23" i="5" s="1"/>
  <c r="BW23" i="5" a="1"/>
  <c r="BW23" i="5" s="1"/>
  <c r="BV23" i="5"/>
  <c r="BV23" i="5" a="1"/>
  <c r="BU23" i="5" a="1"/>
  <c r="BU23" i="5" s="1"/>
  <c r="BT23" i="5" a="1"/>
  <c r="BT23" i="5" s="1"/>
  <c r="BS23" i="5" a="1"/>
  <c r="BS23" i="5" s="1"/>
  <c r="BR23" i="5" a="1"/>
  <c r="BR23" i="5" s="1"/>
  <c r="BQ23" i="5" a="1"/>
  <c r="BQ23" i="5" s="1"/>
  <c r="BP23" i="5" a="1"/>
  <c r="BP23" i="5" s="1"/>
  <c r="BO23" i="5" a="1"/>
  <c r="BO23" i="5" s="1"/>
  <c r="BN23" i="5" a="1"/>
  <c r="BN23" i="5" s="1"/>
  <c r="BM23" i="5"/>
  <c r="BM23" i="5" a="1"/>
  <c r="BL23" i="5" a="1"/>
  <c r="BL23" i="5" s="1"/>
  <c r="BK23" i="5" a="1"/>
  <c r="BK23" i="5" s="1"/>
  <c r="BJ23" i="5" a="1"/>
  <c r="BJ23" i="5" s="1"/>
  <c r="BI23" i="5" a="1"/>
  <c r="BI23" i="5" s="1"/>
  <c r="BH23" i="5" a="1"/>
  <c r="BH23" i="5" s="1"/>
  <c r="BG23" i="5" a="1"/>
  <c r="BG23" i="5" s="1"/>
  <c r="BF23" i="5"/>
  <c r="BF23" i="5" a="1"/>
  <c r="BE23" i="5" a="1"/>
  <c r="BE23" i="5" s="1"/>
  <c r="BD23" i="5" a="1"/>
  <c r="BD23" i="5" s="1"/>
  <c r="BC23" i="5" a="1"/>
  <c r="BC23" i="5" s="1"/>
  <c r="BB23" i="5" a="1"/>
  <c r="BB23" i="5" s="1"/>
  <c r="BA23" i="5"/>
  <c r="BA23" i="5" a="1"/>
  <c r="AZ23" i="5" a="1"/>
  <c r="AZ23" i="5" s="1"/>
  <c r="AY23" i="5" a="1"/>
  <c r="AY23" i="5" s="1"/>
  <c r="AX23" i="5" a="1"/>
  <c r="AX23" i="5" s="1"/>
  <c r="AW23" i="5" a="1"/>
  <c r="AW23" i="5" s="1"/>
  <c r="AV23" i="5"/>
  <c r="AV23" i="5" a="1"/>
  <c r="AU23" i="5" a="1"/>
  <c r="AU23" i="5" s="1"/>
  <c r="AT23" i="5" a="1"/>
  <c r="AT23" i="5" s="1"/>
  <c r="AS23" i="5" a="1"/>
  <c r="AS23" i="5" s="1"/>
  <c r="AR23" i="5" a="1"/>
  <c r="AR23" i="5" s="1"/>
  <c r="AQ23" i="5"/>
  <c r="AQ23" i="5" a="1"/>
  <c r="AP23" i="5" a="1"/>
  <c r="AP23" i="5" s="1"/>
  <c r="AO23" i="5" a="1"/>
  <c r="AO23" i="5" s="1"/>
  <c r="AN23" i="5" a="1"/>
  <c r="AN23" i="5" s="1"/>
  <c r="AM23" i="5" a="1"/>
  <c r="AM23" i="5" s="1"/>
  <c r="AL23" i="5" a="1"/>
  <c r="AL23" i="5" s="1"/>
  <c r="AK23" i="5" a="1"/>
  <c r="AK23" i="5" s="1"/>
  <c r="AJ23" i="5"/>
  <c r="AJ23" i="5" a="1"/>
  <c r="AI23" i="5" a="1"/>
  <c r="AI23" i="5" s="1"/>
  <c r="AH23" i="5" a="1"/>
  <c r="AH23" i="5" s="1"/>
  <c r="AG23" i="5" a="1"/>
  <c r="AG23" i="5" s="1"/>
  <c r="AF23" i="5" a="1"/>
  <c r="AF23" i="5" s="1"/>
  <c r="AE23" i="5"/>
  <c r="AE23" i="5" a="1"/>
  <c r="AD23" i="5" a="1"/>
  <c r="AD23" i="5" s="1"/>
  <c r="AC23" i="5" a="1"/>
  <c r="AC23" i="5" s="1"/>
  <c r="AB23" i="5" a="1"/>
  <c r="AB23" i="5" s="1"/>
  <c r="AA23" i="5" a="1"/>
  <c r="AA23" i="5" s="1"/>
  <c r="Z23" i="5"/>
  <c r="Z23" i="5" a="1"/>
  <c r="Y23" i="5"/>
  <c r="Y23" i="5" a="1"/>
  <c r="X23" i="5" a="1"/>
  <c r="X23" i="5" s="1"/>
  <c r="W23" i="5"/>
  <c r="W23" i="5" a="1"/>
  <c r="V23" i="5" a="1"/>
  <c r="V23" i="5" s="1"/>
  <c r="U23" i="5" a="1"/>
  <c r="U23" i="5" s="1"/>
  <c r="T23" i="5" a="1"/>
  <c r="T23" i="5" s="1"/>
  <c r="S23" i="5" a="1"/>
  <c r="S23" i="5" s="1"/>
  <c r="R23" i="5" a="1"/>
  <c r="R23" i="5" s="1"/>
  <c r="Q23" i="5" a="1"/>
  <c r="Q23" i="5" s="1"/>
  <c r="P23" i="5"/>
  <c r="P23" i="5" a="1"/>
  <c r="O23" i="5" a="1"/>
  <c r="O23" i="5" s="1"/>
  <c r="N23" i="5" a="1"/>
  <c r="N23" i="5" s="1"/>
  <c r="M23" i="5" a="1"/>
  <c r="M23" i="5" s="1"/>
  <c r="L23" i="5" a="1"/>
  <c r="L23" i="5" s="1"/>
  <c r="K23" i="5" a="1"/>
  <c r="K23" i="5" s="1"/>
  <c r="J23" i="5" a="1"/>
  <c r="J23" i="5" s="1"/>
  <c r="I23" i="5" a="1"/>
  <c r="I23" i="5" s="1"/>
  <c r="H23" i="5" a="1"/>
  <c r="H23" i="5" s="1"/>
  <c r="G23" i="5"/>
  <c r="G23" i="5" a="1"/>
  <c r="F23" i="5" a="1"/>
  <c r="F23" i="5" s="1"/>
  <c r="E23" i="5"/>
  <c r="E23" i="5" a="1"/>
  <c r="D23" i="5" a="1"/>
  <c r="D23" i="5" s="1"/>
  <c r="C23" i="5" a="1"/>
  <c r="C23" i="5" s="1"/>
  <c r="EF22" i="5" a="1"/>
  <c r="EF22" i="5" s="1"/>
  <c r="EE22" i="5" a="1"/>
  <c r="EE22" i="5" s="1"/>
  <c r="ED22" i="5" a="1"/>
  <c r="ED22" i="5" s="1"/>
  <c r="EC22" i="5" a="1"/>
  <c r="EC22" i="5" s="1"/>
  <c r="EB22" i="5" a="1"/>
  <c r="EB22" i="5" s="1"/>
  <c r="EA22" i="5" a="1"/>
  <c r="EA22" i="5" s="1"/>
  <c r="DZ22" i="5" a="1"/>
  <c r="DZ22" i="5" s="1"/>
  <c r="DY22" i="5" a="1"/>
  <c r="DY22" i="5" s="1"/>
  <c r="DX22" i="5"/>
  <c r="DX22" i="5" a="1"/>
  <c r="DW22" i="5" a="1"/>
  <c r="DW22" i="5" s="1"/>
  <c r="DV22" i="5" a="1"/>
  <c r="DV22" i="5" s="1"/>
  <c r="DU22" i="5" a="1"/>
  <c r="DU22" i="5" s="1"/>
  <c r="DT22" i="5" a="1"/>
  <c r="DT22" i="5" s="1"/>
  <c r="DS22" i="5"/>
  <c r="DS22" i="5" a="1"/>
  <c r="DR22" i="5"/>
  <c r="DR22" i="5" a="1"/>
  <c r="DQ22" i="5" a="1"/>
  <c r="DQ22" i="5" s="1"/>
  <c r="DP22" i="5" a="1"/>
  <c r="DP22" i="5" s="1"/>
  <c r="DO22" i="5"/>
  <c r="DO22" i="5" a="1"/>
  <c r="DN22" i="5" a="1"/>
  <c r="DN22" i="5" s="1"/>
  <c r="DM22" i="5" a="1"/>
  <c r="DM22" i="5" s="1"/>
  <c r="DL22" i="5" a="1"/>
  <c r="DL22" i="5" s="1"/>
  <c r="DK22" i="5"/>
  <c r="DK22" i="5" a="1"/>
  <c r="DJ22" i="5" a="1"/>
  <c r="DJ22" i="5" s="1"/>
  <c r="DI22" i="5" a="1"/>
  <c r="DI22" i="5" s="1"/>
  <c r="DH22" i="5" a="1"/>
  <c r="DH22" i="5" s="1"/>
  <c r="DG22" i="5" a="1"/>
  <c r="DG22" i="5" s="1"/>
  <c r="DF22" i="5" a="1"/>
  <c r="DF22" i="5" s="1"/>
  <c r="DE22" i="5" a="1"/>
  <c r="DE22" i="5" s="1"/>
  <c r="DD22" i="5" a="1"/>
  <c r="DD22" i="5" s="1"/>
  <c r="DC22" i="5" a="1"/>
  <c r="DC22" i="5" s="1"/>
  <c r="DB22" i="5" a="1"/>
  <c r="DB22" i="5" s="1"/>
  <c r="DA22" i="5"/>
  <c r="DA22" i="5" a="1"/>
  <c r="CZ22" i="5" a="1"/>
  <c r="CZ22" i="5" s="1"/>
  <c r="CY22" i="5" a="1"/>
  <c r="CY22" i="5" s="1"/>
  <c r="CX22" i="5" a="1"/>
  <c r="CX22" i="5" s="1"/>
  <c r="CW22" i="5"/>
  <c r="CW22" i="5" a="1"/>
  <c r="CV22" i="5" a="1"/>
  <c r="CV22" i="5" s="1"/>
  <c r="CU22" i="5" a="1"/>
  <c r="CU22" i="5" s="1"/>
  <c r="CT22" i="5" a="1"/>
  <c r="CT22" i="5" s="1"/>
  <c r="CS22" i="5" a="1"/>
  <c r="CS22" i="5" s="1"/>
  <c r="CR22" i="5" a="1"/>
  <c r="CR22" i="5" s="1"/>
  <c r="CQ22" i="5"/>
  <c r="CQ22" i="5" a="1"/>
  <c r="CP22" i="5" a="1"/>
  <c r="CP22" i="5" s="1"/>
  <c r="CO22" i="5"/>
  <c r="CO22" i="5" a="1"/>
  <c r="CN22" i="5" a="1"/>
  <c r="CN22" i="5" s="1"/>
  <c r="CM22" i="5" a="1"/>
  <c r="CM22" i="5" s="1"/>
  <c r="CL22" i="5"/>
  <c r="CL22" i="5" a="1"/>
  <c r="CK22" i="5" a="1"/>
  <c r="CK22" i="5" s="1"/>
  <c r="CJ22" i="5"/>
  <c r="CJ22" i="5" a="1"/>
  <c r="CI22" i="5" a="1"/>
  <c r="CI22" i="5" s="1"/>
  <c r="CH22" i="5"/>
  <c r="CH22" i="5" a="1"/>
  <c r="CG22" i="5" a="1"/>
  <c r="CG22" i="5" s="1"/>
  <c r="CF22" i="5" a="1"/>
  <c r="CF22" i="5" s="1"/>
  <c r="CE22" i="5" a="1"/>
  <c r="CE22" i="5" s="1"/>
  <c r="CD22" i="5"/>
  <c r="CD22" i="5" a="1"/>
  <c r="CC22" i="5" a="1"/>
  <c r="CC22" i="5" s="1"/>
  <c r="CB22" i="5" a="1"/>
  <c r="CB22" i="5" s="1"/>
  <c r="CA22" i="5" a="1"/>
  <c r="CA22" i="5" s="1"/>
  <c r="BZ22" i="5" a="1"/>
  <c r="BZ22" i="5" s="1"/>
  <c r="BY22" i="5"/>
  <c r="BY22" i="5" a="1"/>
  <c r="BX22" i="5" a="1"/>
  <c r="BX22" i="5" s="1"/>
  <c r="BW22" i="5" a="1"/>
  <c r="BW22" i="5" s="1"/>
  <c r="BV22" i="5" a="1"/>
  <c r="BV22" i="5" s="1"/>
  <c r="BU22" i="5" a="1"/>
  <c r="BU22" i="5" s="1"/>
  <c r="BT22" i="5"/>
  <c r="BT22" i="5" a="1"/>
  <c r="BS22" i="5"/>
  <c r="BS22" i="5" a="1"/>
  <c r="BR22" i="5" a="1"/>
  <c r="BR22" i="5" s="1"/>
  <c r="BQ22" i="5" a="1"/>
  <c r="BQ22" i="5" s="1"/>
  <c r="BP22" i="5" a="1"/>
  <c r="BP22" i="5" s="1"/>
  <c r="BO22" i="5" a="1"/>
  <c r="BO22" i="5" s="1"/>
  <c r="BN22" i="5" a="1"/>
  <c r="BN22" i="5" s="1"/>
  <c r="BM22" i="5"/>
  <c r="BM22" i="5" a="1"/>
  <c r="BL22" i="5" a="1"/>
  <c r="BL22" i="5" s="1"/>
  <c r="BK22" i="5" a="1"/>
  <c r="BK22" i="5" s="1"/>
  <c r="BJ22" i="5" a="1"/>
  <c r="BJ22" i="5" s="1"/>
  <c r="BI22" i="5"/>
  <c r="BI22" i="5" a="1"/>
  <c r="BH22" i="5" a="1"/>
  <c r="BH22" i="5" s="1"/>
  <c r="BG22" i="5" a="1"/>
  <c r="BG22" i="5" s="1"/>
  <c r="BF22" i="5" a="1"/>
  <c r="BF22" i="5" s="1"/>
  <c r="BE22" i="5" a="1"/>
  <c r="BE22" i="5" s="1"/>
  <c r="BD22" i="5" a="1"/>
  <c r="BD22" i="5" s="1"/>
  <c r="BC22" i="5"/>
  <c r="BC22" i="5" a="1"/>
  <c r="BB22" i="5"/>
  <c r="BB22" i="5" a="1"/>
  <c r="BA22" i="5" a="1"/>
  <c r="BA22" i="5" s="1"/>
  <c r="AZ22" i="5" a="1"/>
  <c r="AZ22" i="5" s="1"/>
  <c r="AY22" i="5" a="1"/>
  <c r="AY22" i="5" s="1"/>
  <c r="AX22" i="5"/>
  <c r="AX22" i="5" a="1"/>
  <c r="AW22" i="5" a="1"/>
  <c r="AW22" i="5" s="1"/>
  <c r="AV22" i="5" a="1"/>
  <c r="AV22" i="5" s="1"/>
  <c r="AU22" i="5" a="1"/>
  <c r="AU22" i="5" s="1"/>
  <c r="AT22" i="5" a="1"/>
  <c r="AT22" i="5" s="1"/>
  <c r="AS22" i="5" a="1"/>
  <c r="AS22" i="5" s="1"/>
  <c r="AR22" i="5" a="1"/>
  <c r="AR22" i="5" s="1"/>
  <c r="AQ22" i="5"/>
  <c r="AQ22" i="5" a="1"/>
  <c r="AP22" i="5" a="1"/>
  <c r="AP22" i="5" s="1"/>
  <c r="AO22" i="5" a="1"/>
  <c r="AO22" i="5" s="1"/>
  <c r="AN22" i="5" a="1"/>
  <c r="AN22" i="5" s="1"/>
  <c r="AM22" i="5" a="1"/>
  <c r="AM22" i="5" s="1"/>
  <c r="AL22" i="5" a="1"/>
  <c r="AL22" i="5" s="1"/>
  <c r="AK22" i="5"/>
  <c r="AK22" i="5" a="1"/>
  <c r="AJ22" i="5" a="1"/>
  <c r="AJ22" i="5" s="1"/>
  <c r="AI22" i="5" a="1"/>
  <c r="AI22" i="5" s="1"/>
  <c r="AH22" i="5" a="1"/>
  <c r="AH22" i="5" s="1"/>
  <c r="AG22" i="5"/>
  <c r="AG22" i="5" a="1"/>
  <c r="AF22" i="5"/>
  <c r="AF22" i="5" a="1"/>
  <c r="AE22" i="5" a="1"/>
  <c r="AE22" i="5" s="1"/>
  <c r="AD22" i="5"/>
  <c r="AD22" i="5" a="1"/>
  <c r="AC22" i="5" a="1"/>
  <c r="AC22" i="5" s="1"/>
  <c r="AB22" i="5" a="1"/>
  <c r="AB22" i="5" s="1"/>
  <c r="AA22" i="5" a="1"/>
  <c r="AA22" i="5" s="1"/>
  <c r="Z22" i="5" a="1"/>
  <c r="Z22" i="5" s="1"/>
  <c r="Y22" i="5" a="1"/>
  <c r="Y22" i="5" s="1"/>
  <c r="X22" i="5" a="1"/>
  <c r="X22" i="5" s="1"/>
  <c r="W22" i="5"/>
  <c r="W22" i="5" a="1"/>
  <c r="V22" i="5" a="1"/>
  <c r="V22" i="5" s="1"/>
  <c r="U22" i="5" a="1"/>
  <c r="U22" i="5" s="1"/>
  <c r="T22" i="5" a="1"/>
  <c r="T22" i="5" s="1"/>
  <c r="S22" i="5" a="1"/>
  <c r="S22" i="5" s="1"/>
  <c r="R22" i="5" a="1"/>
  <c r="R22" i="5" s="1"/>
  <c r="Q22" i="5" a="1"/>
  <c r="Q22" i="5" s="1"/>
  <c r="P22" i="5" a="1"/>
  <c r="P22" i="5" s="1"/>
  <c r="O22" i="5" a="1"/>
  <c r="O22" i="5" s="1"/>
  <c r="N22" i="5"/>
  <c r="N22" i="5" a="1"/>
  <c r="M22" i="5" a="1"/>
  <c r="M22" i="5" s="1"/>
  <c r="L22" i="5" a="1"/>
  <c r="L22" i="5" s="1"/>
  <c r="K22" i="5"/>
  <c r="K22" i="5" a="1"/>
  <c r="J22" i="5" a="1"/>
  <c r="J22" i="5" s="1"/>
  <c r="I22" i="5" a="1"/>
  <c r="I22" i="5" s="1"/>
  <c r="H22" i="5" a="1"/>
  <c r="H22" i="5" s="1"/>
  <c r="G22" i="5" a="1"/>
  <c r="G22" i="5" s="1"/>
  <c r="F22" i="5"/>
  <c r="F22" i="5" a="1"/>
  <c r="E22" i="5"/>
  <c r="E22" i="5" a="1"/>
  <c r="D22" i="5" a="1"/>
  <c r="D22" i="5" s="1"/>
  <c r="C22" i="5" a="1"/>
  <c r="C22" i="5" s="1"/>
  <c r="EF21" i="5" a="1"/>
  <c r="EF21" i="5" s="1"/>
  <c r="EE21" i="5" a="1"/>
  <c r="EE21" i="5" s="1"/>
  <c r="ED21" i="5"/>
  <c r="ED21" i="5" a="1"/>
  <c r="EC21" i="5" a="1"/>
  <c r="EC21" i="5" s="1"/>
  <c r="EB21" i="5" a="1"/>
  <c r="EB21" i="5" s="1"/>
  <c r="EA21" i="5" a="1"/>
  <c r="EA21" i="5" s="1"/>
  <c r="DZ21" i="5" a="1"/>
  <c r="DZ21" i="5" s="1"/>
  <c r="DY21" i="5" a="1"/>
  <c r="DY21" i="5" s="1"/>
  <c r="DX21" i="5"/>
  <c r="DX21" i="5" a="1"/>
  <c r="DW21" i="5" a="1"/>
  <c r="DW21" i="5" s="1"/>
  <c r="DV21" i="5" a="1"/>
  <c r="DV21" i="5" s="1"/>
  <c r="DU21" i="5"/>
  <c r="DU21" i="5" a="1"/>
  <c r="DT21" i="5" a="1"/>
  <c r="DT21" i="5" s="1"/>
  <c r="DS21" i="5" a="1"/>
  <c r="DS21" i="5" s="1"/>
  <c r="DR21" i="5" a="1"/>
  <c r="DR21" i="5" s="1"/>
  <c r="DQ21" i="5"/>
  <c r="DQ21" i="5" a="1"/>
  <c r="DP21" i="5" a="1"/>
  <c r="DP21" i="5" s="1"/>
  <c r="DO21" i="5" a="1"/>
  <c r="DO21" i="5" s="1"/>
  <c r="DN21" i="5"/>
  <c r="DN21" i="5" a="1"/>
  <c r="DM21" i="5" a="1"/>
  <c r="DM21" i="5" s="1"/>
  <c r="DL21" i="5" a="1"/>
  <c r="DL21" i="5" s="1"/>
  <c r="DK21" i="5"/>
  <c r="DK21" i="5" a="1"/>
  <c r="DJ21" i="5" a="1"/>
  <c r="DJ21" i="5" s="1"/>
  <c r="DI21" i="5" a="1"/>
  <c r="DI21" i="5" s="1"/>
  <c r="DH21" i="5" a="1"/>
  <c r="DH21" i="5" s="1"/>
  <c r="DG21" i="5"/>
  <c r="DG21" i="5" a="1"/>
  <c r="DF21" i="5" a="1"/>
  <c r="DF21" i="5" s="1"/>
  <c r="DE21" i="5" a="1"/>
  <c r="DE21" i="5" s="1"/>
  <c r="DD21" i="5"/>
  <c r="DD21" i="5" a="1"/>
  <c r="DC21" i="5" a="1"/>
  <c r="DC21" i="5" s="1"/>
  <c r="DB21" i="5" a="1"/>
  <c r="DB21" i="5" s="1"/>
  <c r="DA21" i="5" a="1"/>
  <c r="DA21" i="5" s="1"/>
  <c r="CZ21" i="5" a="1"/>
  <c r="CZ21" i="5" s="1"/>
  <c r="CY21" i="5" a="1"/>
  <c r="CY21" i="5" s="1"/>
  <c r="CX21" i="5" a="1"/>
  <c r="CX21" i="5" s="1"/>
  <c r="CW21" i="5" a="1"/>
  <c r="CW21" i="5" s="1"/>
  <c r="CV21" i="5" a="1"/>
  <c r="CV21" i="5" s="1"/>
  <c r="CU21" i="5"/>
  <c r="CU21" i="5" a="1"/>
  <c r="CT21" i="5" a="1"/>
  <c r="CT21" i="5" s="1"/>
  <c r="CS21" i="5"/>
  <c r="CS21" i="5" a="1"/>
  <c r="CR21" i="5"/>
  <c r="CR21" i="5" a="1"/>
  <c r="CQ21" i="5" a="1"/>
  <c r="CQ21" i="5" s="1"/>
  <c r="CP21" i="5"/>
  <c r="CP21" i="5" a="1"/>
  <c r="CO21" i="5" a="1"/>
  <c r="CO21" i="5" s="1"/>
  <c r="CN21" i="5" a="1"/>
  <c r="CN21" i="5" s="1"/>
  <c r="CM21" i="5" a="1"/>
  <c r="CM21" i="5" s="1"/>
  <c r="CL21" i="5" a="1"/>
  <c r="CL21" i="5" s="1"/>
  <c r="CK21" i="5" a="1"/>
  <c r="CK21" i="5" s="1"/>
  <c r="CJ21" i="5"/>
  <c r="CJ21" i="5" a="1"/>
  <c r="CI21" i="5"/>
  <c r="CI21" i="5" a="1"/>
  <c r="CH21" i="5" a="1"/>
  <c r="CH21" i="5" s="1"/>
  <c r="CG21" i="5" a="1"/>
  <c r="CG21" i="5" s="1"/>
  <c r="CF21" i="5"/>
  <c r="CF21" i="5" a="1"/>
  <c r="CE21" i="5" a="1"/>
  <c r="CE21" i="5" s="1"/>
  <c r="CD21" i="5" a="1"/>
  <c r="CD21" i="5" s="1"/>
  <c r="CC21" i="5" a="1"/>
  <c r="CC21" i="5" s="1"/>
  <c r="CB21" i="5" a="1"/>
  <c r="CB21" i="5" s="1"/>
  <c r="CA21" i="5" a="1"/>
  <c r="CA21" i="5" s="1"/>
  <c r="BZ21" i="5"/>
  <c r="BZ21" i="5" a="1"/>
  <c r="BY21" i="5"/>
  <c r="BY21" i="5" a="1"/>
  <c r="BX21" i="5" a="1"/>
  <c r="BX21" i="5" s="1"/>
  <c r="BW21" i="5"/>
  <c r="BW21" i="5" a="1"/>
  <c r="BV21" i="5" a="1"/>
  <c r="BV21" i="5" s="1"/>
  <c r="BU21" i="5" a="1"/>
  <c r="BU21" i="5" s="1"/>
  <c r="BT21" i="5" a="1"/>
  <c r="BT21" i="5" s="1"/>
  <c r="BS21" i="5" a="1"/>
  <c r="BS21" i="5" s="1"/>
  <c r="BR21" i="5" a="1"/>
  <c r="BR21" i="5" s="1"/>
  <c r="BQ21" i="5"/>
  <c r="BQ21" i="5" a="1"/>
  <c r="BP21" i="5" a="1"/>
  <c r="BP21" i="5" s="1"/>
  <c r="BO21" i="5"/>
  <c r="BO21" i="5" a="1"/>
  <c r="BN21" i="5" a="1"/>
  <c r="BN21" i="5" s="1"/>
  <c r="BM21" i="5" a="1"/>
  <c r="BM21" i="5" s="1"/>
  <c r="BL21" i="5" a="1"/>
  <c r="BL21" i="5" s="1"/>
  <c r="BK21" i="5" a="1"/>
  <c r="BK21" i="5" s="1"/>
  <c r="BJ21" i="5" a="1"/>
  <c r="BJ21" i="5" s="1"/>
  <c r="BI21" i="5" a="1"/>
  <c r="BI21" i="5" s="1"/>
  <c r="BH21" i="5"/>
  <c r="BH21" i="5" a="1"/>
  <c r="BG21" i="5" a="1"/>
  <c r="BG21" i="5" s="1"/>
  <c r="BF21" i="5" a="1"/>
  <c r="BF21" i="5" s="1"/>
  <c r="BE21" i="5"/>
  <c r="BE21" i="5" a="1"/>
  <c r="BD21" i="5" a="1"/>
  <c r="BD21" i="5" s="1"/>
  <c r="BC21" i="5" a="1"/>
  <c r="BC21" i="5" s="1"/>
  <c r="BB21" i="5" a="1"/>
  <c r="BB21" i="5" s="1"/>
  <c r="BA21" i="5" a="1"/>
  <c r="BA21" i="5" s="1"/>
  <c r="AZ21" i="5" a="1"/>
  <c r="AZ21" i="5" s="1"/>
  <c r="AY21" i="5" a="1"/>
  <c r="AY21" i="5" s="1"/>
  <c r="AX21" i="5" a="1"/>
  <c r="AX21" i="5" s="1"/>
  <c r="AW21" i="5" a="1"/>
  <c r="AW21" i="5" s="1"/>
  <c r="AV21" i="5" a="1"/>
  <c r="AV21" i="5" s="1"/>
  <c r="AU21" i="5" a="1"/>
  <c r="AU21" i="5" s="1"/>
  <c r="AT21" i="5" a="1"/>
  <c r="AT21" i="5" s="1"/>
  <c r="AS21" i="5" a="1"/>
  <c r="AS21" i="5" s="1"/>
  <c r="AR21" i="5" a="1"/>
  <c r="AR21" i="5" s="1"/>
  <c r="AQ21" i="5"/>
  <c r="AQ21" i="5" a="1"/>
  <c r="AP21" i="5" a="1"/>
  <c r="AP21" i="5" s="1"/>
  <c r="AO21" i="5" a="1"/>
  <c r="AO21" i="5" s="1"/>
  <c r="AN21" i="5" a="1"/>
  <c r="AN21" i="5" s="1"/>
  <c r="AM21" i="5"/>
  <c r="AM21" i="5" a="1"/>
  <c r="AL21" i="5" a="1"/>
  <c r="AL21" i="5" s="1"/>
  <c r="AK21" i="5"/>
  <c r="AK21" i="5" a="1"/>
  <c r="AJ21" i="5" a="1"/>
  <c r="AJ21" i="5" s="1"/>
  <c r="AI21" i="5" a="1"/>
  <c r="AI21" i="5" s="1"/>
  <c r="AH21" i="5" a="1"/>
  <c r="AH21" i="5" s="1"/>
  <c r="AG21" i="5" a="1"/>
  <c r="AG21" i="5" s="1"/>
  <c r="AF21" i="5" a="1"/>
  <c r="AF21" i="5" s="1"/>
  <c r="AE21" i="5" a="1"/>
  <c r="AE21" i="5" s="1"/>
  <c r="AD21" i="5" a="1"/>
  <c r="AD21" i="5" s="1"/>
  <c r="AC21" i="5" a="1"/>
  <c r="AC21" i="5" s="1"/>
  <c r="AB21" i="5" a="1"/>
  <c r="AB21" i="5" s="1"/>
  <c r="AA21" i="5"/>
  <c r="AA21" i="5" a="1"/>
  <c r="Z21" i="5" a="1"/>
  <c r="Z21" i="5" s="1"/>
  <c r="Y21" i="5" a="1"/>
  <c r="Y21" i="5" s="1"/>
  <c r="X21" i="5" a="1"/>
  <c r="X21" i="5" s="1"/>
  <c r="W21" i="5"/>
  <c r="W21" i="5" a="1"/>
  <c r="V21" i="5" a="1"/>
  <c r="V21" i="5" s="1"/>
  <c r="U21" i="5" a="1"/>
  <c r="U21" i="5" s="1"/>
  <c r="T21" i="5" a="1"/>
  <c r="T21" i="5" s="1"/>
  <c r="S21" i="5" a="1"/>
  <c r="S21" i="5" s="1"/>
  <c r="R21" i="5" a="1"/>
  <c r="R21" i="5" s="1"/>
  <c r="Q21" i="5"/>
  <c r="Q21" i="5" a="1"/>
  <c r="P21" i="5" a="1"/>
  <c r="P21" i="5" s="1"/>
  <c r="O21" i="5" a="1"/>
  <c r="O21" i="5" s="1"/>
  <c r="N21" i="5" a="1"/>
  <c r="N21" i="5" s="1"/>
  <c r="M21" i="5"/>
  <c r="M21" i="5" a="1"/>
  <c r="L21" i="5" a="1"/>
  <c r="L21" i="5" s="1"/>
  <c r="K21" i="5" a="1"/>
  <c r="K21" i="5" s="1"/>
  <c r="J21" i="5" a="1"/>
  <c r="J21" i="5" s="1"/>
  <c r="I21" i="5" a="1"/>
  <c r="I21" i="5" s="1"/>
  <c r="H21" i="5" a="1"/>
  <c r="H21" i="5" s="1"/>
  <c r="G21" i="5"/>
  <c r="G21" i="5" a="1"/>
  <c r="F21" i="5" a="1"/>
  <c r="F21" i="5" s="1"/>
  <c r="E21" i="5" a="1"/>
  <c r="E21" i="5" s="1"/>
  <c r="D21" i="5"/>
  <c r="D21" i="5" a="1"/>
  <c r="C21" i="5" a="1"/>
  <c r="C21" i="5" s="1"/>
  <c r="EF20" i="5" a="1"/>
  <c r="EF20" i="5" s="1"/>
  <c r="EE20" i="5"/>
  <c r="EE20" i="5" a="1"/>
  <c r="ED20" i="5"/>
  <c r="ED20" i="5" a="1"/>
  <c r="EC20" i="5" a="1"/>
  <c r="EC20" i="5" s="1"/>
  <c r="EB20" i="5"/>
  <c r="EB20" i="5" a="1"/>
  <c r="EA20" i="5" a="1"/>
  <c r="EA20" i="5" s="1"/>
  <c r="DZ20" i="5" a="1"/>
  <c r="DZ20" i="5" s="1"/>
  <c r="DY20" i="5" a="1"/>
  <c r="DY20" i="5" s="1"/>
  <c r="DX20" i="5" a="1"/>
  <c r="DX20" i="5" s="1"/>
  <c r="DW20" i="5" a="1"/>
  <c r="DW20" i="5" s="1"/>
  <c r="DV20" i="5" a="1"/>
  <c r="DV20" i="5" s="1"/>
  <c r="DU20" i="5" a="1"/>
  <c r="DU20" i="5" s="1"/>
  <c r="DT20" i="5" a="1"/>
  <c r="DT20" i="5" s="1"/>
  <c r="DS20" i="5"/>
  <c r="DS20" i="5" a="1"/>
  <c r="DR20" i="5" a="1"/>
  <c r="DR20" i="5" s="1"/>
  <c r="DQ20" i="5" a="1"/>
  <c r="DQ20" i="5" s="1"/>
  <c r="DP20" i="5" a="1"/>
  <c r="DP20" i="5" s="1"/>
  <c r="DO20" i="5" a="1"/>
  <c r="DO20" i="5" s="1"/>
  <c r="DN20" i="5" a="1"/>
  <c r="DN20" i="5" s="1"/>
  <c r="DM20" i="5"/>
  <c r="DM20" i="5" a="1"/>
  <c r="DL20" i="5" a="1"/>
  <c r="DL20" i="5" s="1"/>
  <c r="DK20" i="5"/>
  <c r="DK20" i="5" a="1"/>
  <c r="DJ20" i="5"/>
  <c r="DJ20" i="5" a="1"/>
  <c r="DI20" i="5" a="1"/>
  <c r="DI20" i="5" s="1"/>
  <c r="DH20" i="5" a="1"/>
  <c r="DH20" i="5" s="1"/>
  <c r="DG20" i="5" a="1"/>
  <c r="DG20" i="5" s="1"/>
  <c r="DF20" i="5" a="1"/>
  <c r="DF20" i="5" s="1"/>
  <c r="DE20" i="5" a="1"/>
  <c r="DE20" i="5" s="1"/>
  <c r="DD20" i="5" a="1"/>
  <c r="DD20" i="5" s="1"/>
  <c r="DC20" i="5" a="1"/>
  <c r="DC20" i="5" s="1"/>
  <c r="DB20" i="5" a="1"/>
  <c r="DB20" i="5" s="1"/>
  <c r="DA20" i="5" a="1"/>
  <c r="DA20" i="5" s="1"/>
  <c r="CZ20" i="5" a="1"/>
  <c r="CZ20" i="5" s="1"/>
  <c r="CY20" i="5"/>
  <c r="CY20" i="5" a="1"/>
  <c r="CX20" i="5" a="1"/>
  <c r="CX20" i="5" s="1"/>
  <c r="CW20" i="5" a="1"/>
  <c r="CW20" i="5" s="1"/>
  <c r="CV20" i="5"/>
  <c r="CV20" i="5" a="1"/>
  <c r="CU20" i="5" a="1"/>
  <c r="CU20" i="5" s="1"/>
  <c r="CT20" i="5" a="1"/>
  <c r="CT20" i="5" s="1"/>
  <c r="CS20" i="5" a="1"/>
  <c r="CS20" i="5" s="1"/>
  <c r="CR20" i="5" a="1"/>
  <c r="CR20" i="5" s="1"/>
  <c r="CQ20" i="5" a="1"/>
  <c r="CQ20" i="5" s="1"/>
  <c r="CP20" i="5"/>
  <c r="CP20" i="5" a="1"/>
  <c r="CO20" i="5" a="1"/>
  <c r="CO20" i="5" s="1"/>
  <c r="CN20" i="5" a="1"/>
  <c r="CN20" i="5" s="1"/>
  <c r="CM20" i="5" a="1"/>
  <c r="CM20" i="5" s="1"/>
  <c r="CL20" i="5" a="1"/>
  <c r="CL20" i="5" s="1"/>
  <c r="CK20" i="5" a="1"/>
  <c r="CK20" i="5" s="1"/>
  <c r="CJ20" i="5" a="1"/>
  <c r="CJ20" i="5" s="1"/>
  <c r="CI20" i="5" a="1"/>
  <c r="CI20" i="5" s="1"/>
  <c r="CH20" i="5" a="1"/>
  <c r="CH20" i="5" s="1"/>
  <c r="CG20" i="5"/>
  <c r="CG20" i="5" a="1"/>
  <c r="CF20" i="5" a="1"/>
  <c r="CF20" i="5" s="1"/>
  <c r="CE20" i="5"/>
  <c r="CE20" i="5" a="1"/>
  <c r="CD20" i="5" a="1"/>
  <c r="CD20" i="5" s="1"/>
  <c r="CC20" i="5" a="1"/>
  <c r="CC20" i="5" s="1"/>
  <c r="CB20" i="5" a="1"/>
  <c r="CB20" i="5" s="1"/>
  <c r="CA20" i="5" a="1"/>
  <c r="CA20" i="5" s="1"/>
  <c r="BZ20" i="5" a="1"/>
  <c r="BZ20" i="5" s="1"/>
  <c r="BY20" i="5" a="1"/>
  <c r="BY20" i="5" s="1"/>
  <c r="BX20" i="5" a="1"/>
  <c r="BX20" i="5" s="1"/>
  <c r="BW20" i="5" a="1"/>
  <c r="BW20" i="5" s="1"/>
  <c r="BV20" i="5" a="1"/>
  <c r="BV20" i="5" s="1"/>
  <c r="BU20" i="5" a="1"/>
  <c r="BU20" i="5" s="1"/>
  <c r="BT20" i="5" a="1"/>
  <c r="BT20" i="5" s="1"/>
  <c r="BS20" i="5" a="1"/>
  <c r="BS20" i="5" s="1"/>
  <c r="BR20" i="5" a="1"/>
  <c r="BR20" i="5" s="1"/>
  <c r="BQ20" i="5" a="1"/>
  <c r="BQ20" i="5" s="1"/>
  <c r="BP20" i="5" a="1"/>
  <c r="BP20" i="5" s="1"/>
  <c r="BO20" i="5" a="1"/>
  <c r="BO20" i="5" s="1"/>
  <c r="BN20" i="5"/>
  <c r="BN20" i="5" a="1"/>
  <c r="BM20" i="5"/>
  <c r="BM20" i="5" a="1"/>
  <c r="BL20" i="5" a="1"/>
  <c r="BL20" i="5" s="1"/>
  <c r="BK20" i="5" a="1"/>
  <c r="BK20" i="5" s="1"/>
  <c r="BJ20" i="5" a="1"/>
  <c r="BJ20" i="5" s="1"/>
  <c r="BI20" i="5" a="1"/>
  <c r="BI20" i="5" s="1"/>
  <c r="BH20" i="5" a="1"/>
  <c r="BH20" i="5" s="1"/>
  <c r="BG20" i="5"/>
  <c r="BG20" i="5" a="1"/>
  <c r="BF20" i="5" a="1"/>
  <c r="BF20" i="5" s="1"/>
  <c r="BE20" i="5" a="1"/>
  <c r="BE20" i="5" s="1"/>
  <c r="BD20" i="5" a="1"/>
  <c r="BD20" i="5" s="1"/>
  <c r="BC20" i="5"/>
  <c r="BC20" i="5" a="1"/>
  <c r="BB20" i="5" a="1"/>
  <c r="BB20" i="5" s="1"/>
  <c r="BA20" i="5" a="1"/>
  <c r="BA20" i="5" s="1"/>
  <c r="AZ20" i="5" a="1"/>
  <c r="AZ20" i="5" s="1"/>
  <c r="AY20" i="5"/>
  <c r="AY20" i="5" a="1"/>
  <c r="AX20" i="5"/>
  <c r="AX20" i="5" a="1"/>
  <c r="AW20" i="5"/>
  <c r="AW20" i="5" a="1"/>
  <c r="AV20" i="5" a="1"/>
  <c r="AV20" i="5" s="1"/>
  <c r="AU20" i="5" a="1"/>
  <c r="AU20" i="5" s="1"/>
  <c r="AT20" i="5"/>
  <c r="AT20" i="5" a="1"/>
  <c r="AS20" i="5" a="1"/>
  <c r="AS20" i="5" s="1"/>
  <c r="AR20" i="5" a="1"/>
  <c r="AR20" i="5" s="1"/>
  <c r="AQ20" i="5" a="1"/>
  <c r="AQ20" i="5" s="1"/>
  <c r="AP20" i="5"/>
  <c r="AP20" i="5" a="1"/>
  <c r="AO20" i="5" a="1"/>
  <c r="AO20" i="5" s="1"/>
  <c r="AN20" i="5" a="1"/>
  <c r="AN20" i="5" s="1"/>
  <c r="AM20" i="5" a="1"/>
  <c r="AM20" i="5" s="1"/>
  <c r="AL20" i="5" a="1"/>
  <c r="AL20" i="5" s="1"/>
  <c r="AK20" i="5"/>
  <c r="AK20" i="5" a="1"/>
  <c r="AJ20" i="5" a="1"/>
  <c r="AJ20" i="5" s="1"/>
  <c r="AI20" i="5" a="1"/>
  <c r="AI20" i="5" s="1"/>
  <c r="AH20" i="5" a="1"/>
  <c r="AH20" i="5" s="1"/>
  <c r="AG20" i="5"/>
  <c r="AG20" i="5" a="1"/>
  <c r="AF20" i="5" a="1"/>
  <c r="AF20" i="5" s="1"/>
  <c r="AE20" i="5" a="1"/>
  <c r="AE20" i="5" s="1"/>
  <c r="AD20" i="5" a="1"/>
  <c r="AD20" i="5" s="1"/>
  <c r="AC20" i="5" a="1"/>
  <c r="AC20" i="5" s="1"/>
  <c r="AB20" i="5"/>
  <c r="AB20" i="5" a="1"/>
  <c r="AA20" i="5" a="1"/>
  <c r="AA20" i="5" s="1"/>
  <c r="Z20" i="5" a="1"/>
  <c r="Z20" i="5" s="1"/>
  <c r="Y20" i="5"/>
  <c r="Y20" i="5" a="1"/>
  <c r="X20" i="5" a="1"/>
  <c r="X20" i="5" s="1"/>
  <c r="W20" i="5"/>
  <c r="W20" i="5" a="1"/>
  <c r="V20" i="5" a="1"/>
  <c r="V20" i="5" s="1"/>
  <c r="U20" i="5"/>
  <c r="U20" i="5" a="1"/>
  <c r="T20" i="5" a="1"/>
  <c r="T20" i="5" s="1"/>
  <c r="S20" i="5"/>
  <c r="S20" i="5" a="1"/>
  <c r="R20" i="5" a="1"/>
  <c r="R20" i="5" s="1"/>
  <c r="Q20" i="5" a="1"/>
  <c r="Q20" i="5" s="1"/>
  <c r="P20" i="5" a="1"/>
  <c r="P20" i="5" s="1"/>
  <c r="O20" i="5"/>
  <c r="O20" i="5" a="1"/>
  <c r="N20" i="5" a="1"/>
  <c r="N20" i="5" s="1"/>
  <c r="M20" i="5" a="1"/>
  <c r="M20" i="5" s="1"/>
  <c r="L20" i="5" a="1"/>
  <c r="L20" i="5" s="1"/>
  <c r="K20" i="5" a="1"/>
  <c r="K20" i="5" s="1"/>
  <c r="J20" i="5"/>
  <c r="J20" i="5" a="1"/>
  <c r="I20" i="5" a="1"/>
  <c r="I20" i="5" s="1"/>
  <c r="H20" i="5" a="1"/>
  <c r="H20" i="5" s="1"/>
  <c r="G20" i="5" a="1"/>
  <c r="G20" i="5" s="1"/>
  <c r="F20" i="5"/>
  <c r="F20" i="5" a="1"/>
  <c r="E20" i="5" a="1"/>
  <c r="E20" i="5" s="1"/>
  <c r="D20" i="5" a="1"/>
  <c r="D20" i="5" s="1"/>
  <c r="C20" i="5"/>
  <c r="C20" i="5" a="1"/>
  <c r="EF19" i="5" a="1"/>
  <c r="EF19" i="5" s="1"/>
  <c r="EE19" i="5"/>
  <c r="EE19" i="5" a="1"/>
  <c r="ED19" i="5" a="1"/>
  <c r="ED19" i="5" s="1"/>
  <c r="EC19" i="5" a="1"/>
  <c r="EC19" i="5" s="1"/>
  <c r="EB19" i="5" a="1"/>
  <c r="EB19" i="5" s="1"/>
  <c r="EA19" i="5" a="1"/>
  <c r="EA19" i="5" s="1"/>
  <c r="DZ19" i="5" a="1"/>
  <c r="DZ19" i="5" s="1"/>
  <c r="DY19" i="5" a="1"/>
  <c r="DY19" i="5" s="1"/>
  <c r="DX19" i="5" a="1"/>
  <c r="DX19" i="5" s="1"/>
  <c r="DW19" i="5"/>
  <c r="DW19" i="5" a="1"/>
  <c r="DV19" i="5" a="1"/>
  <c r="DV19" i="5" s="1"/>
  <c r="DU19" i="5"/>
  <c r="DU19" i="5" a="1"/>
  <c r="DT19" i="5" a="1"/>
  <c r="DT19" i="5" s="1"/>
  <c r="DS19" i="5" a="1"/>
  <c r="DS19" i="5" s="1"/>
  <c r="DR19" i="5" a="1"/>
  <c r="DR19" i="5" s="1"/>
  <c r="DQ19" i="5" a="1"/>
  <c r="DQ19" i="5" s="1"/>
  <c r="DP19" i="5" a="1"/>
  <c r="DP19" i="5" s="1"/>
  <c r="DO19" i="5" a="1"/>
  <c r="DO19" i="5" s="1"/>
  <c r="DN19" i="5" a="1"/>
  <c r="DN19" i="5" s="1"/>
  <c r="DM19" i="5" a="1"/>
  <c r="DM19" i="5" s="1"/>
  <c r="DL19" i="5"/>
  <c r="DL19" i="5" a="1"/>
  <c r="DK19" i="5" a="1"/>
  <c r="DK19" i="5" s="1"/>
  <c r="DJ19" i="5"/>
  <c r="DJ19" i="5" a="1"/>
  <c r="DI19" i="5" a="1"/>
  <c r="DI19" i="5" s="1"/>
  <c r="DH19" i="5" a="1"/>
  <c r="DH19" i="5" s="1"/>
  <c r="DG19" i="5" a="1"/>
  <c r="DG19" i="5" s="1"/>
  <c r="DF19" i="5" a="1"/>
  <c r="DF19" i="5" s="1"/>
  <c r="DE19" i="5" a="1"/>
  <c r="DE19" i="5" s="1"/>
  <c r="DD19" i="5" a="1"/>
  <c r="DD19" i="5" s="1"/>
  <c r="DC19" i="5" a="1"/>
  <c r="DC19" i="5" s="1"/>
  <c r="DB19" i="5"/>
  <c r="DB19" i="5" a="1"/>
  <c r="DA19" i="5" a="1"/>
  <c r="DA19" i="5" s="1"/>
  <c r="CZ19" i="5" a="1"/>
  <c r="CZ19" i="5" s="1"/>
  <c r="CY19" i="5" a="1"/>
  <c r="CY19" i="5" s="1"/>
  <c r="CX19" i="5" a="1"/>
  <c r="CX19" i="5" s="1"/>
  <c r="CW19" i="5" a="1"/>
  <c r="CW19" i="5" s="1"/>
  <c r="CV19" i="5" a="1"/>
  <c r="CV19" i="5" s="1"/>
  <c r="CU19" i="5" a="1"/>
  <c r="CU19" i="5" s="1"/>
  <c r="CT19" i="5" a="1"/>
  <c r="CT19" i="5" s="1"/>
  <c r="CS19" i="5"/>
  <c r="CS19" i="5" a="1"/>
  <c r="CR19" i="5" a="1"/>
  <c r="CR19" i="5" s="1"/>
  <c r="CQ19" i="5" a="1"/>
  <c r="CQ19" i="5" s="1"/>
  <c r="CP19" i="5" a="1"/>
  <c r="CP19" i="5" s="1"/>
  <c r="CO19" i="5"/>
  <c r="CO19" i="5" a="1"/>
  <c r="CN19" i="5" a="1"/>
  <c r="CN19" i="5" s="1"/>
  <c r="CM19" i="5" a="1"/>
  <c r="CM19" i="5" s="1"/>
  <c r="CL19" i="5" a="1"/>
  <c r="CL19" i="5" s="1"/>
  <c r="CK19" i="5" a="1"/>
  <c r="CK19" i="5" s="1"/>
  <c r="CJ19" i="5" a="1"/>
  <c r="CJ19" i="5" s="1"/>
  <c r="CI19" i="5" a="1"/>
  <c r="CI19" i="5" s="1"/>
  <c r="CH19" i="5" a="1"/>
  <c r="CH19" i="5" s="1"/>
  <c r="CG19" i="5" a="1"/>
  <c r="CG19" i="5" s="1"/>
  <c r="CF19" i="5" a="1"/>
  <c r="CF19" i="5" s="1"/>
  <c r="CE19" i="5" a="1"/>
  <c r="CE19" i="5" s="1"/>
  <c r="CD19" i="5"/>
  <c r="CD19" i="5" a="1"/>
  <c r="CC19" i="5" a="1"/>
  <c r="CC19" i="5" s="1"/>
  <c r="CB19" i="5"/>
  <c r="CB19" i="5" a="1"/>
  <c r="CA19" i="5" a="1"/>
  <c r="CA19" i="5" s="1"/>
  <c r="BZ19" i="5"/>
  <c r="BZ19" i="5" a="1"/>
  <c r="BY19" i="5" a="1"/>
  <c r="BY19" i="5" s="1"/>
  <c r="BX19" i="5" a="1"/>
  <c r="BX19" i="5" s="1"/>
  <c r="BW19" i="5" a="1"/>
  <c r="BW19" i="5" s="1"/>
  <c r="BV19" i="5" a="1"/>
  <c r="BV19" i="5" s="1"/>
  <c r="BU19" i="5" a="1"/>
  <c r="BU19" i="5" s="1"/>
  <c r="BT19" i="5"/>
  <c r="BT19" i="5" a="1"/>
  <c r="BS19" i="5" a="1"/>
  <c r="BS19" i="5" s="1"/>
  <c r="BR19" i="5" a="1"/>
  <c r="BR19" i="5" s="1"/>
  <c r="BQ19" i="5" a="1"/>
  <c r="BQ19" i="5" s="1"/>
  <c r="BP19" i="5"/>
  <c r="BP19" i="5" a="1"/>
  <c r="BO19" i="5" a="1"/>
  <c r="BO19" i="5" s="1"/>
  <c r="BN19" i="5" a="1"/>
  <c r="BN19" i="5" s="1"/>
  <c r="BM19" i="5" a="1"/>
  <c r="BM19" i="5" s="1"/>
  <c r="BL19" i="5" a="1"/>
  <c r="BL19" i="5" s="1"/>
  <c r="BK19" i="5"/>
  <c r="BK19" i="5" a="1"/>
  <c r="BJ19" i="5" a="1"/>
  <c r="BJ19" i="5" s="1"/>
  <c r="BI19" i="5"/>
  <c r="BI19" i="5" a="1"/>
  <c r="BH19" i="5" a="1"/>
  <c r="BH19" i="5" s="1"/>
  <c r="BG19" i="5" a="1"/>
  <c r="BG19" i="5" s="1"/>
  <c r="BF19" i="5" a="1"/>
  <c r="BF19" i="5" s="1"/>
  <c r="BE19" i="5" a="1"/>
  <c r="BE19" i="5" s="1"/>
  <c r="BD19" i="5" a="1"/>
  <c r="BD19" i="5" s="1"/>
  <c r="BC19" i="5" a="1"/>
  <c r="BC19" i="5" s="1"/>
  <c r="BB19" i="5" a="1"/>
  <c r="BB19" i="5" s="1"/>
  <c r="BA19" i="5" a="1"/>
  <c r="BA19" i="5" s="1"/>
  <c r="AZ19" i="5" a="1"/>
  <c r="AZ19" i="5" s="1"/>
  <c r="AY19" i="5" a="1"/>
  <c r="AY19" i="5" s="1"/>
  <c r="AX19" i="5"/>
  <c r="AX19" i="5" a="1"/>
  <c r="AW19" i="5"/>
  <c r="AW19" i="5" a="1"/>
  <c r="AV19" i="5" a="1"/>
  <c r="AV19" i="5" s="1"/>
  <c r="AU19" i="5" a="1"/>
  <c r="AU19" i="5" s="1"/>
  <c r="AT19" i="5"/>
  <c r="AT19" i="5" a="1"/>
  <c r="AS19" i="5" a="1"/>
  <c r="AS19" i="5" s="1"/>
  <c r="AR19" i="5" a="1"/>
  <c r="AR19" i="5" s="1"/>
  <c r="AQ19" i="5" a="1"/>
  <c r="AQ19" i="5" s="1"/>
  <c r="AP19" i="5" a="1"/>
  <c r="AP19" i="5" s="1"/>
  <c r="AO19" i="5" a="1"/>
  <c r="AO19" i="5" s="1"/>
  <c r="AN19" i="5"/>
  <c r="AN19" i="5" a="1"/>
  <c r="AM19" i="5" a="1"/>
  <c r="AM19" i="5" s="1"/>
  <c r="AL19" i="5" a="1"/>
  <c r="AL19" i="5" s="1"/>
  <c r="AK19" i="5" a="1"/>
  <c r="AK19" i="5" s="1"/>
  <c r="AJ19" i="5" a="1"/>
  <c r="AJ19" i="5" s="1"/>
  <c r="AI19" i="5" a="1"/>
  <c r="AI19" i="5" s="1"/>
  <c r="AH19" i="5" a="1"/>
  <c r="AH19" i="5" s="1"/>
  <c r="AG19" i="5" a="1"/>
  <c r="AG19" i="5" s="1"/>
  <c r="AF19" i="5" a="1"/>
  <c r="AF19" i="5" s="1"/>
  <c r="AE19" i="5"/>
  <c r="AE19" i="5" a="1"/>
  <c r="AD19" i="5" a="1"/>
  <c r="AD19" i="5" s="1"/>
  <c r="AC19" i="5"/>
  <c r="AC19" i="5" a="1"/>
  <c r="AB19" i="5" a="1"/>
  <c r="AB19" i="5" s="1"/>
  <c r="AA19" i="5" a="1"/>
  <c r="AA19" i="5" s="1"/>
  <c r="Z19" i="5" a="1"/>
  <c r="Z19" i="5" s="1"/>
  <c r="Y19" i="5" a="1"/>
  <c r="Y19" i="5" s="1"/>
  <c r="X19" i="5" a="1"/>
  <c r="X19" i="5" s="1"/>
  <c r="W19" i="5" a="1"/>
  <c r="W19" i="5" s="1"/>
  <c r="V19" i="5"/>
  <c r="V19" i="5" a="1"/>
  <c r="U19" i="5" a="1"/>
  <c r="U19" i="5" s="1"/>
  <c r="T19" i="5" a="1"/>
  <c r="T19" i="5" s="1"/>
  <c r="S19" i="5" a="1"/>
  <c r="S19" i="5" s="1"/>
  <c r="R19" i="5" a="1"/>
  <c r="R19" i="5" s="1"/>
  <c r="Q19" i="5" a="1"/>
  <c r="Q19" i="5" s="1"/>
  <c r="P19" i="5"/>
  <c r="P19" i="5" a="1"/>
  <c r="O19" i="5" a="1"/>
  <c r="O19" i="5" s="1"/>
  <c r="N19" i="5" a="1"/>
  <c r="N19" i="5" s="1"/>
  <c r="M19" i="5"/>
  <c r="M19" i="5" a="1"/>
  <c r="L19" i="5"/>
  <c r="L19" i="5" a="1"/>
  <c r="K19" i="5" a="1"/>
  <c r="K19" i="5" s="1"/>
  <c r="J19" i="5" a="1"/>
  <c r="J19" i="5" s="1"/>
  <c r="I19" i="5" a="1"/>
  <c r="I19" i="5" s="1"/>
  <c r="H19" i="5" a="1"/>
  <c r="H19" i="5" s="1"/>
  <c r="G19" i="5" a="1"/>
  <c r="G19" i="5" s="1"/>
  <c r="F19" i="5"/>
  <c r="F19" i="5" a="1"/>
  <c r="E19" i="5" a="1"/>
  <c r="E19" i="5" s="1"/>
  <c r="D19" i="5"/>
  <c r="D19" i="5" a="1"/>
  <c r="C19" i="5" a="1"/>
  <c r="C19" i="5" s="1"/>
  <c r="EF18" i="5" a="1"/>
  <c r="EF18" i="5" s="1"/>
  <c r="EE18" i="5" a="1"/>
  <c r="EE18" i="5" s="1"/>
  <c r="ED18" i="5"/>
  <c r="ED18" i="5" a="1"/>
  <c r="EC18" i="5" a="1"/>
  <c r="EC18" i="5" s="1"/>
  <c r="EB18" i="5" a="1"/>
  <c r="EB18" i="5" s="1"/>
  <c r="EA18" i="5" a="1"/>
  <c r="EA18" i="5" s="1"/>
  <c r="DZ18" i="5"/>
  <c r="DZ18" i="5" a="1"/>
  <c r="DY18" i="5" a="1"/>
  <c r="DY18" i="5" s="1"/>
  <c r="DX18" i="5" a="1"/>
  <c r="DX18" i="5" s="1"/>
  <c r="DW18" i="5" a="1"/>
  <c r="DW18" i="5" s="1"/>
  <c r="DV18" i="5" a="1"/>
  <c r="DV18" i="5" s="1"/>
  <c r="DU18" i="5" a="1"/>
  <c r="DU18" i="5" s="1"/>
  <c r="DT18" i="5"/>
  <c r="DT18" i="5" a="1"/>
  <c r="DS18" i="5" a="1"/>
  <c r="DS18" i="5" s="1"/>
  <c r="DR18" i="5" a="1"/>
  <c r="DR18" i="5" s="1"/>
  <c r="DQ18" i="5" a="1"/>
  <c r="DQ18" i="5" s="1"/>
  <c r="DP18" i="5"/>
  <c r="DP18" i="5" a="1"/>
  <c r="DO18" i="5" a="1"/>
  <c r="DO18" i="5" s="1"/>
  <c r="DN18" i="5"/>
  <c r="DN18" i="5" a="1"/>
  <c r="DM18" i="5" a="1"/>
  <c r="DM18" i="5" s="1"/>
  <c r="DL18" i="5" a="1"/>
  <c r="DL18" i="5" s="1"/>
  <c r="DK18" i="5" a="1"/>
  <c r="DK18" i="5" s="1"/>
  <c r="DJ18" i="5"/>
  <c r="DJ18" i="5" a="1"/>
  <c r="DI18" i="5" a="1"/>
  <c r="DI18" i="5" s="1"/>
  <c r="DH18" i="5" a="1"/>
  <c r="DH18" i="5" s="1"/>
  <c r="DG18" i="5" a="1"/>
  <c r="DG18" i="5" s="1"/>
  <c r="DF18" i="5" a="1"/>
  <c r="DF18" i="5" s="1"/>
  <c r="DE18" i="5"/>
  <c r="DE18" i="5" a="1"/>
  <c r="DD18" i="5" a="1"/>
  <c r="DD18" i="5" s="1"/>
  <c r="DC18" i="5" a="1"/>
  <c r="DC18" i="5" s="1"/>
  <c r="DB18" i="5"/>
  <c r="DB18" i="5" a="1"/>
  <c r="DA18" i="5" a="1"/>
  <c r="DA18" i="5" s="1"/>
  <c r="CZ18" i="5" a="1"/>
  <c r="CZ18" i="5" s="1"/>
  <c r="CY18" i="5"/>
  <c r="CY18" i="5" a="1"/>
  <c r="CX18" i="5" a="1"/>
  <c r="CX18" i="5" s="1"/>
  <c r="CW18" i="5" a="1"/>
  <c r="CW18" i="5" s="1"/>
  <c r="CV18" i="5"/>
  <c r="CV18" i="5" a="1"/>
  <c r="CU18" i="5" a="1"/>
  <c r="CU18" i="5" s="1"/>
  <c r="CT18" i="5" a="1"/>
  <c r="CT18" i="5" s="1"/>
  <c r="CS18" i="5" a="1"/>
  <c r="CS18" i="5" s="1"/>
  <c r="CR18" i="5" a="1"/>
  <c r="CR18" i="5" s="1"/>
  <c r="CQ18" i="5"/>
  <c r="CQ18" i="5" a="1"/>
  <c r="CP18" i="5" a="1"/>
  <c r="CP18" i="5" s="1"/>
  <c r="CO18" i="5" a="1"/>
  <c r="CO18" i="5" s="1"/>
  <c r="CN18" i="5"/>
  <c r="CN18" i="5" a="1"/>
  <c r="CM18" i="5" a="1"/>
  <c r="CM18" i="5" s="1"/>
  <c r="CL18" i="5"/>
  <c r="CL18" i="5" a="1"/>
  <c r="CK18" i="5" a="1"/>
  <c r="CK18" i="5" s="1"/>
  <c r="CJ18" i="5" a="1"/>
  <c r="CJ18" i="5" s="1"/>
  <c r="CI18" i="5" a="1"/>
  <c r="CI18" i="5" s="1"/>
  <c r="CH18" i="5"/>
  <c r="CH18" i="5" a="1"/>
  <c r="CG18" i="5" a="1"/>
  <c r="CG18" i="5" s="1"/>
  <c r="CF18" i="5"/>
  <c r="CF18" i="5" a="1"/>
  <c r="CE18" i="5" a="1"/>
  <c r="CE18" i="5" s="1"/>
  <c r="CD18" i="5"/>
  <c r="CD18" i="5" a="1"/>
  <c r="CC18" i="5" a="1"/>
  <c r="CC18" i="5" s="1"/>
  <c r="CB18" i="5" a="1"/>
  <c r="CB18" i="5" s="1"/>
  <c r="CA18" i="5" a="1"/>
  <c r="CA18" i="5" s="1"/>
  <c r="BZ18" i="5" a="1"/>
  <c r="BZ18" i="5" s="1"/>
  <c r="BY18" i="5" a="1"/>
  <c r="BY18" i="5" s="1"/>
  <c r="BX18" i="5" a="1"/>
  <c r="BX18" i="5" s="1"/>
  <c r="BW18" i="5" a="1"/>
  <c r="BW18" i="5" s="1"/>
  <c r="BV18" i="5" a="1"/>
  <c r="BV18" i="5" s="1"/>
  <c r="BU18" i="5" a="1"/>
  <c r="BU18" i="5" s="1"/>
  <c r="BT18" i="5" a="1"/>
  <c r="BT18" i="5" s="1"/>
  <c r="BS18" i="5"/>
  <c r="BS18" i="5" a="1"/>
  <c r="BR18" i="5" a="1"/>
  <c r="BR18" i="5" s="1"/>
  <c r="BQ18" i="5"/>
  <c r="BQ18" i="5" a="1"/>
  <c r="BP18" i="5" a="1"/>
  <c r="BP18" i="5" s="1"/>
  <c r="BO18" i="5" a="1"/>
  <c r="BO18" i="5" s="1"/>
  <c r="BN18" i="5" a="1"/>
  <c r="BN18" i="5" s="1"/>
  <c r="BM18" i="5" a="1"/>
  <c r="BM18" i="5" s="1"/>
  <c r="BL18" i="5" a="1"/>
  <c r="BL18" i="5" s="1"/>
  <c r="BK18" i="5"/>
  <c r="BK18" i="5" a="1"/>
  <c r="BJ18" i="5"/>
  <c r="BJ18" i="5" a="1"/>
  <c r="BI18" i="5" a="1"/>
  <c r="BI18" i="5" s="1"/>
  <c r="BH18" i="5" a="1"/>
  <c r="BH18" i="5" s="1"/>
  <c r="BG18" i="5" a="1"/>
  <c r="BG18" i="5" s="1"/>
  <c r="BF18" i="5" a="1"/>
  <c r="BF18" i="5" s="1"/>
  <c r="BE18" i="5" a="1"/>
  <c r="BE18" i="5" s="1"/>
  <c r="BD18" i="5" a="1"/>
  <c r="BD18" i="5" s="1"/>
  <c r="BC18" i="5" a="1"/>
  <c r="BC18" i="5" s="1"/>
  <c r="BB18" i="5" a="1"/>
  <c r="BB18" i="5" s="1"/>
  <c r="BA18" i="5"/>
  <c r="BA18" i="5" a="1"/>
  <c r="AZ18" i="5"/>
  <c r="AZ18" i="5" a="1"/>
  <c r="AY18" i="5" a="1"/>
  <c r="AY18" i="5" s="1"/>
  <c r="AX18" i="5" a="1"/>
  <c r="AX18" i="5" s="1"/>
  <c r="AW18" i="5" a="1"/>
  <c r="AW18" i="5" s="1"/>
  <c r="AV18" i="5" a="1"/>
  <c r="AV18" i="5" s="1"/>
  <c r="AU18" i="5" a="1"/>
  <c r="AU18" i="5" s="1"/>
  <c r="AT18" i="5" a="1"/>
  <c r="AT18" i="5" s="1"/>
  <c r="AS18" i="5" a="1"/>
  <c r="AS18" i="5" s="1"/>
  <c r="AR18" i="5"/>
  <c r="AR18" i="5" a="1"/>
  <c r="AQ18" i="5" a="1"/>
  <c r="AQ18" i="5" s="1"/>
  <c r="AP18" i="5" a="1"/>
  <c r="AP18" i="5" s="1"/>
  <c r="AO18" i="5" a="1"/>
  <c r="AO18" i="5" s="1"/>
  <c r="AN18" i="5" a="1"/>
  <c r="AN18" i="5" s="1"/>
  <c r="AM18" i="5" a="1"/>
  <c r="AM18" i="5" s="1"/>
  <c r="AL18" i="5" a="1"/>
  <c r="AL18" i="5" s="1"/>
  <c r="AK18" i="5" a="1"/>
  <c r="AK18" i="5" s="1"/>
  <c r="AJ18" i="5" a="1"/>
  <c r="AJ18" i="5" s="1"/>
  <c r="AI18" i="5"/>
  <c r="AI18" i="5" a="1"/>
  <c r="AH18" i="5" a="1"/>
  <c r="AH18" i="5" s="1"/>
  <c r="AG18" i="5" a="1"/>
  <c r="AG18" i="5" s="1"/>
  <c r="AF18" i="5" a="1"/>
  <c r="AF18" i="5" s="1"/>
  <c r="AE18" i="5" a="1"/>
  <c r="AE18" i="5" s="1"/>
  <c r="AD18" i="5"/>
  <c r="AD18" i="5" a="1"/>
  <c r="AC18" i="5" a="1"/>
  <c r="AC18" i="5" s="1"/>
  <c r="AB18" i="5" a="1"/>
  <c r="AB18" i="5" s="1"/>
  <c r="AA18" i="5" a="1"/>
  <c r="AA18" i="5" s="1"/>
  <c r="Z18" i="5" a="1"/>
  <c r="Z18" i="5" s="1"/>
  <c r="Y18" i="5" a="1"/>
  <c r="Y18" i="5" s="1"/>
  <c r="X18" i="5"/>
  <c r="X18" i="5" a="1"/>
  <c r="W18" i="5" a="1"/>
  <c r="W18" i="5" s="1"/>
  <c r="V18" i="5" a="1"/>
  <c r="V18" i="5" s="1"/>
  <c r="U18" i="5"/>
  <c r="U18" i="5" a="1"/>
  <c r="T18" i="5"/>
  <c r="T18" i="5" a="1"/>
  <c r="S18" i="5" a="1"/>
  <c r="S18" i="5" s="1"/>
  <c r="R18" i="5"/>
  <c r="R18" i="5" a="1"/>
  <c r="Q18" i="5" a="1"/>
  <c r="Q18" i="5" s="1"/>
  <c r="P18" i="5" a="1"/>
  <c r="P18" i="5" s="1"/>
  <c r="O18" i="5"/>
  <c r="O18" i="5" a="1"/>
  <c r="N18" i="5" a="1"/>
  <c r="N18" i="5" s="1"/>
  <c r="M18" i="5" a="1"/>
  <c r="M18" i="5" s="1"/>
  <c r="L18" i="5" a="1"/>
  <c r="L18" i="5" s="1"/>
  <c r="K18" i="5" a="1"/>
  <c r="K18" i="5" s="1"/>
  <c r="J18" i="5"/>
  <c r="J18" i="5" a="1"/>
  <c r="I18" i="5" a="1"/>
  <c r="I18" i="5" s="1"/>
  <c r="H18" i="5" a="1"/>
  <c r="H18" i="5" s="1"/>
  <c r="G18" i="5" a="1"/>
  <c r="G18" i="5" s="1"/>
  <c r="F18" i="5"/>
  <c r="F18" i="5" a="1"/>
  <c r="E18" i="5" a="1"/>
  <c r="E18" i="5" s="1"/>
  <c r="D18" i="5" a="1"/>
  <c r="D18" i="5" s="1"/>
  <c r="C18" i="5" a="1"/>
  <c r="C18" i="5" s="1"/>
  <c r="EF17" i="5" a="1"/>
  <c r="EF17" i="5" s="1"/>
  <c r="EE17" i="5" a="1"/>
  <c r="EE17" i="5" s="1"/>
  <c r="ED17" i="5" a="1"/>
  <c r="ED17" i="5" s="1"/>
  <c r="EC17" i="5" a="1"/>
  <c r="EC17" i="5" s="1"/>
  <c r="EB17" i="5" a="1"/>
  <c r="EB17" i="5" s="1"/>
  <c r="EA17" i="5"/>
  <c r="EA17" i="5" a="1"/>
  <c r="DZ17" i="5" a="1"/>
  <c r="DZ17" i="5" s="1"/>
  <c r="DY17" i="5" a="1"/>
  <c r="DY17" i="5" s="1"/>
  <c r="DX17" i="5" a="1"/>
  <c r="DX17" i="5" s="1"/>
  <c r="DW17" i="5" a="1"/>
  <c r="DW17" i="5" s="1"/>
  <c r="DV17" i="5"/>
  <c r="DV17" i="5" a="1"/>
  <c r="DU17" i="5" a="1"/>
  <c r="DU17" i="5" s="1"/>
  <c r="DT17" i="5" a="1"/>
  <c r="DT17" i="5" s="1"/>
  <c r="DS17" i="5"/>
  <c r="DS17" i="5" a="1"/>
  <c r="DR17" i="5"/>
  <c r="DR17" i="5" a="1"/>
  <c r="DQ17" i="5" a="1"/>
  <c r="DQ17" i="5" s="1"/>
  <c r="DP17" i="5" a="1"/>
  <c r="DP17" i="5" s="1"/>
  <c r="DO17" i="5" a="1"/>
  <c r="DO17" i="5" s="1"/>
  <c r="DN17" i="5" a="1"/>
  <c r="DN17" i="5" s="1"/>
  <c r="DM17" i="5" a="1"/>
  <c r="DM17" i="5" s="1"/>
  <c r="DL17" i="5" a="1"/>
  <c r="DL17" i="5" s="1"/>
  <c r="DK17" i="5" a="1"/>
  <c r="DK17" i="5" s="1"/>
  <c r="DJ17" i="5" a="1"/>
  <c r="DJ17" i="5" s="1"/>
  <c r="DI17" i="5" a="1"/>
  <c r="DI17" i="5" s="1"/>
  <c r="DH17" i="5"/>
  <c r="DH17" i="5" a="1"/>
  <c r="DG17" i="5" a="1"/>
  <c r="DG17" i="5" s="1"/>
  <c r="DF17" i="5" a="1"/>
  <c r="DF17" i="5" s="1"/>
  <c r="DE17" i="5"/>
  <c r="DE17" i="5" a="1"/>
  <c r="DD17" i="5" a="1"/>
  <c r="DD17" i="5" s="1"/>
  <c r="DC17" i="5" a="1"/>
  <c r="DC17" i="5" s="1"/>
  <c r="DB17" i="5" a="1"/>
  <c r="DB17" i="5" s="1"/>
  <c r="DA17" i="5" a="1"/>
  <c r="DA17" i="5" s="1"/>
  <c r="CZ17" i="5" a="1"/>
  <c r="CZ17" i="5" s="1"/>
  <c r="CY17" i="5" a="1"/>
  <c r="CY17" i="5" s="1"/>
  <c r="CX17" i="5" a="1"/>
  <c r="CX17" i="5" s="1"/>
  <c r="CW17" i="5" a="1"/>
  <c r="CW17" i="5" s="1"/>
  <c r="CV17" i="5" a="1"/>
  <c r="CV17" i="5" s="1"/>
  <c r="CU17" i="5" a="1"/>
  <c r="CU17" i="5" s="1"/>
  <c r="CT17" i="5" a="1"/>
  <c r="CT17" i="5" s="1"/>
  <c r="CS17" i="5" a="1"/>
  <c r="CS17" i="5" s="1"/>
  <c r="CR17" i="5" a="1"/>
  <c r="CR17" i="5" s="1"/>
  <c r="CQ17" i="5" a="1"/>
  <c r="CQ17" i="5" s="1"/>
  <c r="CP17" i="5" a="1"/>
  <c r="CP17" i="5" s="1"/>
  <c r="CO17" i="5"/>
  <c r="CO17" i="5" a="1"/>
  <c r="CN17" i="5"/>
  <c r="CN17" i="5" a="1"/>
  <c r="CM17" i="5" a="1"/>
  <c r="CM17" i="5" s="1"/>
  <c r="CL17" i="5" a="1"/>
  <c r="CL17" i="5" s="1"/>
  <c r="CK17" i="5" a="1"/>
  <c r="CK17" i="5" s="1"/>
  <c r="CJ17" i="5" a="1"/>
  <c r="CJ17" i="5" s="1"/>
  <c r="CI17" i="5" a="1"/>
  <c r="CI17" i="5" s="1"/>
  <c r="CH17" i="5" a="1"/>
  <c r="CH17" i="5" s="1"/>
  <c r="CG17" i="5" a="1"/>
  <c r="CG17" i="5" s="1"/>
  <c r="CF17" i="5"/>
  <c r="CF17" i="5" a="1"/>
  <c r="CE17" i="5" a="1"/>
  <c r="CE17" i="5" s="1"/>
  <c r="CD17" i="5" a="1"/>
  <c r="CD17" i="5" s="1"/>
  <c r="CC17" i="5" a="1"/>
  <c r="CC17" i="5" s="1"/>
  <c r="CB17" i="5" a="1"/>
  <c r="CB17" i="5" s="1"/>
  <c r="CA17" i="5" a="1"/>
  <c r="CA17" i="5" s="1"/>
  <c r="BZ17" i="5" a="1"/>
  <c r="BZ17" i="5" s="1"/>
  <c r="BY17" i="5" a="1"/>
  <c r="BY17" i="5" s="1"/>
  <c r="BX17" i="5" a="1"/>
  <c r="BX17" i="5" s="1"/>
  <c r="BW17" i="5"/>
  <c r="BW17" i="5" a="1"/>
  <c r="BV17" i="5" a="1"/>
  <c r="BV17" i="5" s="1"/>
  <c r="BU17" i="5" a="1"/>
  <c r="BU17" i="5" s="1"/>
  <c r="BT17" i="5"/>
  <c r="BT17" i="5" a="1"/>
  <c r="BS17" i="5" a="1"/>
  <c r="BS17" i="5" s="1"/>
  <c r="BR17" i="5" a="1"/>
  <c r="BR17" i="5" s="1"/>
  <c r="BQ17" i="5"/>
  <c r="BQ17" i="5" a="1"/>
  <c r="BP17" i="5" a="1"/>
  <c r="BP17" i="5" s="1"/>
  <c r="BO17" i="5" a="1"/>
  <c r="BO17" i="5" s="1"/>
  <c r="BN17" i="5" a="1"/>
  <c r="BN17" i="5" s="1"/>
  <c r="BM17" i="5" a="1"/>
  <c r="BM17" i="5" s="1"/>
  <c r="BL17" i="5" a="1"/>
  <c r="BL17" i="5" s="1"/>
  <c r="BK17" i="5" a="1"/>
  <c r="BK17" i="5" s="1"/>
  <c r="BJ17" i="5" a="1"/>
  <c r="BJ17" i="5" s="1"/>
  <c r="BI17" i="5"/>
  <c r="BI17" i="5" a="1"/>
  <c r="BH17" i="5" a="1"/>
  <c r="BH17" i="5" s="1"/>
  <c r="BG17" i="5"/>
  <c r="BG17" i="5" a="1"/>
  <c r="BF17" i="5"/>
  <c r="BF17" i="5" a="1"/>
  <c r="BE17" i="5" a="1"/>
  <c r="BE17" i="5" s="1"/>
  <c r="BD17" i="5"/>
  <c r="BD17" i="5" a="1"/>
  <c r="BC17" i="5" a="1"/>
  <c r="BC17" i="5" s="1"/>
  <c r="BB17" i="5" a="1"/>
  <c r="BB17" i="5" s="1"/>
  <c r="BA17" i="5" a="1"/>
  <c r="BA17" i="5" s="1"/>
  <c r="AZ17" i="5"/>
  <c r="AZ17" i="5" a="1"/>
  <c r="AY17" i="5" a="1"/>
  <c r="AY17" i="5" s="1"/>
  <c r="AX17" i="5" a="1"/>
  <c r="AX17" i="5" s="1"/>
  <c r="AW17" i="5" a="1"/>
  <c r="AW17" i="5" s="1"/>
  <c r="AV17" i="5" a="1"/>
  <c r="AV17" i="5" s="1"/>
  <c r="AU17" i="5" a="1"/>
  <c r="AU17" i="5" s="1"/>
  <c r="AT17" i="5"/>
  <c r="AT17" i="5" a="1"/>
  <c r="AS17" i="5" a="1"/>
  <c r="AS17" i="5" s="1"/>
  <c r="AR17" i="5" a="1"/>
  <c r="AR17" i="5" s="1"/>
  <c r="AQ17" i="5" a="1"/>
  <c r="AQ17" i="5" s="1"/>
  <c r="AP17" i="5" a="1"/>
  <c r="AP17" i="5" s="1"/>
  <c r="AO17" i="5"/>
  <c r="AO17" i="5" a="1"/>
  <c r="AN17" i="5" a="1"/>
  <c r="AN17" i="5" s="1"/>
  <c r="AM17" i="5" a="1"/>
  <c r="AM17" i="5" s="1"/>
  <c r="AL17" i="5" a="1"/>
  <c r="AL17" i="5" s="1"/>
  <c r="AK17" i="5"/>
  <c r="AK17" i="5" a="1"/>
  <c r="AJ17" i="5" a="1"/>
  <c r="AJ17" i="5" s="1"/>
  <c r="AI17" i="5" a="1"/>
  <c r="AI17" i="5" s="1"/>
  <c r="AH17" i="5" a="1"/>
  <c r="AH17" i="5" s="1"/>
  <c r="AG17" i="5" a="1"/>
  <c r="AG17" i="5" s="1"/>
  <c r="AF17" i="5" a="1"/>
  <c r="AF17" i="5" s="1"/>
  <c r="AE17" i="5" a="1"/>
  <c r="AE17" i="5" s="1"/>
  <c r="AD17" i="5"/>
  <c r="AD17" i="5" a="1"/>
  <c r="AC17" i="5" a="1"/>
  <c r="AC17" i="5" s="1"/>
  <c r="AB17" i="5"/>
  <c r="AB17" i="5" a="1"/>
  <c r="AA17" i="5" a="1"/>
  <c r="AA17" i="5" s="1"/>
  <c r="Z17" i="5" a="1"/>
  <c r="Z17" i="5" s="1"/>
  <c r="Y17" i="5"/>
  <c r="Y17" i="5" a="1"/>
  <c r="X17" i="5"/>
  <c r="X17" i="5" a="1"/>
  <c r="W17" i="5" a="1"/>
  <c r="W17" i="5" s="1"/>
  <c r="V17" i="5" a="1"/>
  <c r="V17" i="5" s="1"/>
  <c r="U17" i="5" a="1"/>
  <c r="U17" i="5" s="1"/>
  <c r="T17" i="5"/>
  <c r="T17" i="5" a="1"/>
  <c r="S17" i="5"/>
  <c r="S17" i="5" a="1"/>
  <c r="R17" i="5" a="1"/>
  <c r="R17" i="5" s="1"/>
  <c r="Q17" i="5" a="1"/>
  <c r="Q17" i="5" s="1"/>
  <c r="P17" i="5" a="1"/>
  <c r="P17" i="5" s="1"/>
  <c r="O17" i="5" a="1"/>
  <c r="O17" i="5" s="1"/>
  <c r="N17" i="5" a="1"/>
  <c r="N17" i="5" s="1"/>
  <c r="M17" i="5" a="1"/>
  <c r="M17" i="5" s="1"/>
  <c r="L17" i="5" a="1"/>
  <c r="L17" i="5" s="1"/>
  <c r="K17" i="5" a="1"/>
  <c r="K17" i="5" s="1"/>
  <c r="J17" i="5"/>
  <c r="J17" i="5" a="1"/>
  <c r="I17" i="5" a="1"/>
  <c r="I17" i="5" s="1"/>
  <c r="H17" i="5" a="1"/>
  <c r="H17" i="5" s="1"/>
  <c r="G17" i="5" a="1"/>
  <c r="G17" i="5" s="1"/>
  <c r="F17" i="5" a="1"/>
  <c r="F17" i="5" s="1"/>
  <c r="E17" i="5" a="1"/>
  <c r="E17" i="5" s="1"/>
  <c r="D17" i="5"/>
  <c r="D17" i="5" a="1"/>
  <c r="C17" i="5" a="1"/>
  <c r="C17" i="5" s="1"/>
  <c r="EF16" i="5" a="1"/>
  <c r="EF16" i="5" s="1"/>
  <c r="EE16" i="5"/>
  <c r="EE16" i="5" a="1"/>
  <c r="ED16" i="5" a="1"/>
  <c r="ED16" i="5" s="1"/>
  <c r="EC16" i="5" a="1"/>
  <c r="EC16" i="5" s="1"/>
  <c r="EB16" i="5" a="1"/>
  <c r="EB16" i="5" s="1"/>
  <c r="EA16" i="5" a="1"/>
  <c r="EA16" i="5" s="1"/>
  <c r="DZ16" i="5" a="1"/>
  <c r="DZ16" i="5" s="1"/>
  <c r="DY16" i="5" a="1"/>
  <c r="DY16" i="5" s="1"/>
  <c r="DX16" i="5"/>
  <c r="DX16" i="5" a="1"/>
  <c r="DW16" i="5" a="1"/>
  <c r="DW16" i="5" s="1"/>
  <c r="DV16" i="5"/>
  <c r="DV16" i="5" a="1"/>
  <c r="DU16" i="5" a="1"/>
  <c r="DU16" i="5" s="1"/>
  <c r="DT16" i="5" a="1"/>
  <c r="DT16" i="5" s="1"/>
  <c r="DS16" i="5" a="1"/>
  <c r="DS16" i="5" s="1"/>
  <c r="DR16" i="5" a="1"/>
  <c r="DR16" i="5" s="1"/>
  <c r="DQ16" i="5" a="1"/>
  <c r="DQ16" i="5" s="1"/>
  <c r="DP16" i="5" a="1"/>
  <c r="DP16" i="5" s="1"/>
  <c r="DO16" i="5" a="1"/>
  <c r="DO16" i="5" s="1"/>
  <c r="DN16" i="5"/>
  <c r="DN16" i="5" a="1"/>
  <c r="DM16" i="5" a="1"/>
  <c r="DM16" i="5" s="1"/>
  <c r="DL16" i="5" a="1"/>
  <c r="DL16" i="5" s="1"/>
  <c r="DK16" i="5" a="1"/>
  <c r="DK16" i="5" s="1"/>
  <c r="DJ16" i="5" a="1"/>
  <c r="DJ16" i="5" s="1"/>
  <c r="DI16" i="5"/>
  <c r="DI16" i="5" a="1"/>
  <c r="DH16" i="5" a="1"/>
  <c r="DH16" i="5" s="1"/>
  <c r="DG16" i="5" a="1"/>
  <c r="DG16" i="5" s="1"/>
  <c r="DF16" i="5" a="1"/>
  <c r="DF16" i="5" s="1"/>
  <c r="DE16" i="5" a="1"/>
  <c r="DE16" i="5" s="1"/>
  <c r="DD16" i="5" a="1"/>
  <c r="DD16" i="5" s="1"/>
  <c r="DC16" i="5"/>
  <c r="DC16" i="5" a="1"/>
  <c r="DB16" i="5" a="1"/>
  <c r="DB16" i="5" s="1"/>
  <c r="DA16" i="5" a="1"/>
  <c r="DA16" i="5" s="1"/>
  <c r="CZ16" i="5" a="1"/>
  <c r="CZ16" i="5" s="1"/>
  <c r="CY16" i="5"/>
  <c r="CY16" i="5" a="1"/>
  <c r="CX16" i="5" a="1"/>
  <c r="CX16" i="5" s="1"/>
  <c r="CW16" i="5" a="1"/>
  <c r="CW16" i="5" s="1"/>
  <c r="CV16" i="5" a="1"/>
  <c r="CV16" i="5" s="1"/>
  <c r="CU16" i="5" a="1"/>
  <c r="CU16" i="5" s="1"/>
  <c r="CT16" i="5"/>
  <c r="CT16" i="5" a="1"/>
  <c r="CS16" i="5" a="1"/>
  <c r="CS16" i="5" s="1"/>
  <c r="CR16" i="5" a="1"/>
  <c r="CR16" i="5" s="1"/>
  <c r="CQ16" i="5"/>
  <c r="CQ16" i="5" a="1"/>
  <c r="CP16" i="5" a="1"/>
  <c r="CP16" i="5" s="1"/>
  <c r="CO16" i="5" a="1"/>
  <c r="CO16" i="5" s="1"/>
  <c r="CN16" i="5" a="1"/>
  <c r="CN16" i="5" s="1"/>
  <c r="CM16" i="5" a="1"/>
  <c r="CM16" i="5" s="1"/>
  <c r="CL16" i="5" a="1"/>
  <c r="CL16" i="5" s="1"/>
  <c r="CK16" i="5"/>
  <c r="CK16" i="5" a="1"/>
  <c r="CJ16" i="5" a="1"/>
  <c r="CJ16" i="5" s="1"/>
  <c r="CI16" i="5" a="1"/>
  <c r="CI16" i="5" s="1"/>
  <c r="CH16" i="5" a="1"/>
  <c r="CH16" i="5" s="1"/>
  <c r="CG16" i="5" a="1"/>
  <c r="CG16" i="5" s="1"/>
  <c r="CF16" i="5" a="1"/>
  <c r="CF16" i="5" s="1"/>
  <c r="CE16" i="5" a="1"/>
  <c r="CE16" i="5" s="1"/>
  <c r="CD16" i="5"/>
  <c r="CD16" i="5" a="1"/>
  <c r="CC16" i="5" a="1"/>
  <c r="CC16" i="5" s="1"/>
  <c r="CB16" i="5"/>
  <c r="CB16" i="5" a="1"/>
  <c r="CA16" i="5" a="1"/>
  <c r="CA16" i="5" s="1"/>
  <c r="BZ16" i="5" a="1"/>
  <c r="BZ16" i="5" s="1"/>
  <c r="BY16" i="5" a="1"/>
  <c r="BY16" i="5" s="1"/>
  <c r="BX16" i="5" a="1"/>
  <c r="BX16" i="5" s="1"/>
  <c r="BW16" i="5" a="1"/>
  <c r="BW16" i="5" s="1"/>
  <c r="BV16" i="5" a="1"/>
  <c r="BV16" i="5" s="1"/>
  <c r="BU16" i="5"/>
  <c r="BU16" i="5" a="1"/>
  <c r="BT16" i="5"/>
  <c r="BT16" i="5" a="1"/>
  <c r="BS16" i="5"/>
  <c r="BS16" i="5" a="1"/>
  <c r="BR16" i="5" a="1"/>
  <c r="BR16" i="5" s="1"/>
  <c r="BQ16" i="5" a="1"/>
  <c r="BQ16" i="5" s="1"/>
  <c r="BP16" i="5" a="1"/>
  <c r="BP16" i="5" s="1"/>
  <c r="BO16" i="5" a="1"/>
  <c r="BO16" i="5" s="1"/>
  <c r="BN16" i="5" a="1"/>
  <c r="BN16" i="5" s="1"/>
  <c r="BM16" i="5" a="1"/>
  <c r="BM16" i="5" s="1"/>
  <c r="BL16" i="5"/>
  <c r="BL16" i="5" a="1"/>
  <c r="BK16" i="5"/>
  <c r="BK16" i="5" a="1"/>
  <c r="BJ16" i="5"/>
  <c r="BJ16" i="5" a="1"/>
  <c r="BI16" i="5" a="1"/>
  <c r="BI16" i="5" s="1"/>
  <c r="BH16" i="5" a="1"/>
  <c r="BH16" i="5" s="1"/>
  <c r="BG16" i="5" a="1"/>
  <c r="BG16" i="5" s="1"/>
  <c r="BF16" i="5" a="1"/>
  <c r="BF16" i="5" s="1"/>
  <c r="BE16" i="5" a="1"/>
  <c r="BE16" i="5" s="1"/>
  <c r="BD16" i="5" a="1"/>
  <c r="BD16" i="5" s="1"/>
  <c r="BC16" i="5" a="1"/>
  <c r="BC16" i="5" s="1"/>
  <c r="BB16" i="5"/>
  <c r="BB16" i="5" a="1"/>
  <c r="BA16" i="5" a="1"/>
  <c r="BA16" i="5" s="1"/>
  <c r="AZ16" i="5" a="1"/>
  <c r="AZ16" i="5" s="1"/>
  <c r="AY16" i="5" a="1"/>
  <c r="AY16" i="5" s="1"/>
  <c r="AX16" i="5" a="1"/>
  <c r="AX16" i="5" s="1"/>
  <c r="AW16" i="5" a="1"/>
  <c r="AW16" i="5" s="1"/>
  <c r="AV16" i="5" a="1"/>
  <c r="AV16" i="5" s="1"/>
  <c r="AU16" i="5" a="1"/>
  <c r="AU16" i="5" s="1"/>
  <c r="AT16" i="5" a="1"/>
  <c r="AT16" i="5" s="1"/>
  <c r="AS16" i="5" a="1"/>
  <c r="AS16" i="5" s="1"/>
  <c r="AR16" i="5" a="1"/>
  <c r="AR16" i="5" s="1"/>
  <c r="AQ16" i="5"/>
  <c r="AQ16" i="5" a="1"/>
  <c r="AP16" i="5" a="1"/>
  <c r="AP16" i="5" s="1"/>
  <c r="AO16" i="5" a="1"/>
  <c r="AO16" i="5" s="1"/>
  <c r="AN16" i="5" a="1"/>
  <c r="AN16" i="5" s="1"/>
  <c r="AM16" i="5" a="1"/>
  <c r="AM16" i="5" s="1"/>
  <c r="AL16" i="5" a="1"/>
  <c r="AL16" i="5" s="1"/>
  <c r="AK16" i="5" a="1"/>
  <c r="AK16" i="5" s="1"/>
  <c r="AJ16" i="5" a="1"/>
  <c r="AJ16" i="5" s="1"/>
  <c r="AI16" i="5" a="1"/>
  <c r="AI16" i="5" s="1"/>
  <c r="AH16" i="5"/>
  <c r="AH16" i="5" a="1"/>
  <c r="AG16" i="5" a="1"/>
  <c r="AG16" i="5" s="1"/>
  <c r="AF16" i="5" a="1"/>
  <c r="AF16" i="5" s="1"/>
  <c r="AE16" i="5"/>
  <c r="AE16" i="5" a="1"/>
  <c r="AD16" i="5" a="1"/>
  <c r="AD16" i="5" s="1"/>
  <c r="AC16" i="5" a="1"/>
  <c r="AC16" i="5" s="1"/>
  <c r="AB16" i="5" a="1"/>
  <c r="AB16" i="5" s="1"/>
  <c r="AA16" i="5" a="1"/>
  <c r="AA16" i="5" s="1"/>
  <c r="Z16" i="5" a="1"/>
  <c r="Z16" i="5" s="1"/>
  <c r="Y16" i="5"/>
  <c r="Y16" i="5" a="1"/>
  <c r="X16" i="5" a="1"/>
  <c r="X16" i="5" s="1"/>
  <c r="W16" i="5" a="1"/>
  <c r="W16" i="5" s="1"/>
  <c r="V16" i="5" a="1"/>
  <c r="V16" i="5" s="1"/>
  <c r="U16" i="5" a="1"/>
  <c r="U16" i="5" s="1"/>
  <c r="T16" i="5" a="1"/>
  <c r="T16" i="5" s="1"/>
  <c r="S16" i="5" a="1"/>
  <c r="S16" i="5" s="1"/>
  <c r="R16" i="5" a="1"/>
  <c r="R16" i="5" s="1"/>
  <c r="Q16" i="5" a="1"/>
  <c r="Q16" i="5" s="1"/>
  <c r="P16" i="5"/>
  <c r="P16" i="5" a="1"/>
  <c r="O16" i="5" a="1"/>
  <c r="O16" i="5" s="1"/>
  <c r="N16" i="5" a="1"/>
  <c r="N16" i="5" s="1"/>
  <c r="M16" i="5" a="1"/>
  <c r="M16" i="5" s="1"/>
  <c r="L16" i="5" a="1"/>
  <c r="L16" i="5" s="1"/>
  <c r="K16" i="5" a="1"/>
  <c r="K16" i="5" s="1"/>
  <c r="J16" i="5"/>
  <c r="J16" i="5" a="1"/>
  <c r="I16" i="5" a="1"/>
  <c r="I16" i="5" s="1"/>
  <c r="H16" i="5" a="1"/>
  <c r="H16" i="5" s="1"/>
  <c r="G16" i="5"/>
  <c r="G16" i="5" a="1"/>
  <c r="F16" i="5" a="1"/>
  <c r="F16" i="5" s="1"/>
  <c r="E16" i="5" a="1"/>
  <c r="E16" i="5" s="1"/>
  <c r="D16" i="5" a="1"/>
  <c r="D16" i="5" s="1"/>
  <c r="C16" i="5" a="1"/>
  <c r="C16" i="5" s="1"/>
  <c r="EF15" i="5" a="1"/>
  <c r="EF15" i="5" s="1"/>
  <c r="EE15" i="5"/>
  <c r="EE15" i="5" a="1"/>
  <c r="ED15" i="5" a="1"/>
  <c r="ED15" i="5" s="1"/>
  <c r="EC15" i="5" a="1"/>
  <c r="EC15" i="5" s="1"/>
  <c r="EB15" i="5"/>
  <c r="EB15" i="5" a="1"/>
  <c r="EA15" i="5" a="1"/>
  <c r="EA15" i="5" s="1"/>
  <c r="DZ15" i="5" a="1"/>
  <c r="DZ15" i="5" s="1"/>
  <c r="DY15" i="5" a="1"/>
  <c r="DY15" i="5" s="1"/>
  <c r="DX15" i="5" a="1"/>
  <c r="DX15" i="5" s="1"/>
  <c r="DW15" i="5" a="1"/>
  <c r="DW15" i="5" s="1"/>
  <c r="DV15" i="5" a="1"/>
  <c r="DV15" i="5" s="1"/>
  <c r="DU15" i="5"/>
  <c r="DU15" i="5" a="1"/>
  <c r="DT15" i="5" a="1"/>
  <c r="DT15" i="5" s="1"/>
  <c r="DS15" i="5" a="1"/>
  <c r="DS15" i="5" s="1"/>
  <c r="DR15" i="5" a="1"/>
  <c r="DR15" i="5" s="1"/>
  <c r="DQ15" i="5" a="1"/>
  <c r="DQ15" i="5" s="1"/>
  <c r="DP15" i="5" a="1"/>
  <c r="DP15" i="5" s="1"/>
  <c r="DO15" i="5" a="1"/>
  <c r="DO15" i="5" s="1"/>
  <c r="DN15" i="5" a="1"/>
  <c r="DN15" i="5" s="1"/>
  <c r="DM15" i="5" a="1"/>
  <c r="DM15" i="5" s="1"/>
  <c r="DL15" i="5" a="1"/>
  <c r="DL15" i="5" s="1"/>
  <c r="DK15" i="5" a="1"/>
  <c r="DK15" i="5" s="1"/>
  <c r="DJ15" i="5" a="1"/>
  <c r="DJ15" i="5" s="1"/>
  <c r="DI15" i="5"/>
  <c r="DI15" i="5" a="1"/>
  <c r="DH15" i="5" a="1"/>
  <c r="DH15" i="5" s="1"/>
  <c r="DG15" i="5" a="1"/>
  <c r="DG15" i="5" s="1"/>
  <c r="DF15" i="5" a="1"/>
  <c r="DF15" i="5" s="1"/>
  <c r="DE15" i="5" a="1"/>
  <c r="DE15" i="5" s="1"/>
  <c r="DD15" i="5" a="1"/>
  <c r="DD15" i="5" s="1"/>
  <c r="DC15" i="5" a="1"/>
  <c r="DC15" i="5" s="1"/>
  <c r="DB15" i="5" a="1"/>
  <c r="DB15" i="5" s="1"/>
  <c r="DA15" i="5" a="1"/>
  <c r="DA15" i="5" s="1"/>
  <c r="CZ15" i="5"/>
  <c r="CZ15" i="5" a="1"/>
  <c r="CY15" i="5" a="1"/>
  <c r="CY15" i="5" s="1"/>
  <c r="CX15" i="5" a="1"/>
  <c r="CX15" i="5" s="1"/>
  <c r="CW15" i="5"/>
  <c r="CW15" i="5" a="1"/>
  <c r="CV15" i="5" a="1"/>
  <c r="CV15" i="5" s="1"/>
  <c r="CU15" i="5" a="1"/>
  <c r="CU15" i="5" s="1"/>
  <c r="CT15" i="5" a="1"/>
  <c r="CT15" i="5" s="1"/>
  <c r="CS15" i="5" a="1"/>
  <c r="CS15" i="5" s="1"/>
  <c r="CR15" i="5" a="1"/>
  <c r="CR15" i="5" s="1"/>
  <c r="CQ15" i="5"/>
  <c r="CQ15" i="5" a="1"/>
  <c r="CP15" i="5" a="1"/>
  <c r="CP15" i="5" s="1"/>
  <c r="CO15" i="5" a="1"/>
  <c r="CO15" i="5" s="1"/>
  <c r="CN15" i="5" a="1"/>
  <c r="CN15" i="5" s="1"/>
  <c r="CM15" i="5" a="1"/>
  <c r="CM15" i="5" s="1"/>
  <c r="CL15" i="5" a="1"/>
  <c r="CL15" i="5" s="1"/>
  <c r="CK15" i="5" a="1"/>
  <c r="CK15" i="5" s="1"/>
  <c r="CJ15" i="5" a="1"/>
  <c r="CJ15" i="5" s="1"/>
  <c r="CI15" i="5" a="1"/>
  <c r="CI15" i="5" s="1"/>
  <c r="CH15" i="5"/>
  <c r="CH15" i="5" a="1"/>
  <c r="CG15" i="5" a="1"/>
  <c r="CG15" i="5" s="1"/>
  <c r="CF15" i="5" a="1"/>
  <c r="CF15" i="5" s="1"/>
  <c r="CE15" i="5" a="1"/>
  <c r="CE15" i="5" s="1"/>
  <c r="CD15" i="5" a="1"/>
  <c r="CD15" i="5" s="1"/>
  <c r="CC15" i="5"/>
  <c r="CC15" i="5" a="1"/>
  <c r="CB15" i="5" a="1"/>
  <c r="CB15" i="5" s="1"/>
  <c r="CA15" i="5" a="1"/>
  <c r="CA15" i="5" s="1"/>
  <c r="BZ15" i="5"/>
  <c r="BZ15" i="5" a="1"/>
  <c r="BY15" i="5" a="1"/>
  <c r="BY15" i="5" s="1"/>
  <c r="BX15" i="5" a="1"/>
  <c r="BX15" i="5" s="1"/>
  <c r="BW15" i="5" a="1"/>
  <c r="BW15" i="5" s="1"/>
  <c r="BV15" i="5" a="1"/>
  <c r="BV15" i="5" s="1"/>
  <c r="BU15" i="5" a="1"/>
  <c r="BU15" i="5" s="1"/>
  <c r="BT15" i="5" a="1"/>
  <c r="BT15" i="5" s="1"/>
  <c r="BS15" i="5" a="1"/>
  <c r="BS15" i="5" s="1"/>
  <c r="BR15" i="5"/>
  <c r="BR15" i="5" a="1"/>
  <c r="BQ15" i="5"/>
  <c r="BQ15" i="5" a="1"/>
  <c r="BP15" i="5" a="1"/>
  <c r="BP15" i="5" s="1"/>
  <c r="BO15" i="5" a="1"/>
  <c r="BO15" i="5" s="1"/>
  <c r="BN15" i="5"/>
  <c r="BN15" i="5" a="1"/>
  <c r="BM15" i="5" a="1"/>
  <c r="BM15" i="5" s="1"/>
  <c r="BL15" i="5" a="1"/>
  <c r="BL15" i="5" s="1"/>
  <c r="BK15" i="5" a="1"/>
  <c r="BK15" i="5" s="1"/>
  <c r="BJ15" i="5" a="1"/>
  <c r="BJ15" i="5" s="1"/>
  <c r="BI15" i="5"/>
  <c r="BI15" i="5" a="1"/>
  <c r="BH15" i="5" a="1"/>
  <c r="BH15" i="5" s="1"/>
  <c r="BG15" i="5" a="1"/>
  <c r="BG15" i="5" s="1"/>
  <c r="BF15" i="5" a="1"/>
  <c r="BF15" i="5" s="1"/>
  <c r="BE15" i="5"/>
  <c r="BE15" i="5" a="1"/>
  <c r="BD15" i="5" a="1"/>
  <c r="BD15" i="5" s="1"/>
  <c r="BC15" i="5" a="1"/>
  <c r="BC15" i="5" s="1"/>
  <c r="BB15" i="5" a="1"/>
  <c r="BB15" i="5" s="1"/>
  <c r="BA15" i="5" a="1"/>
  <c r="BA15" i="5" s="1"/>
  <c r="AZ15" i="5"/>
  <c r="AZ15" i="5" a="1"/>
  <c r="AY15" i="5" a="1"/>
  <c r="AY15" i="5" s="1"/>
  <c r="AX15" i="5" a="1"/>
  <c r="AX15" i="5" s="1"/>
  <c r="AW15" i="5"/>
  <c r="AW15" i="5" a="1"/>
  <c r="AV15" i="5"/>
  <c r="AV15" i="5" a="1"/>
  <c r="AU15" i="5" a="1"/>
  <c r="AU15" i="5" s="1"/>
  <c r="AT15" i="5" a="1"/>
  <c r="AT15" i="5" s="1"/>
  <c r="AS15" i="5" a="1"/>
  <c r="AS15" i="5" s="1"/>
  <c r="AR15" i="5"/>
  <c r="AR15" i="5" a="1"/>
  <c r="AQ15" i="5" a="1"/>
  <c r="AQ15" i="5" s="1"/>
  <c r="AP15" i="5" a="1"/>
  <c r="AP15" i="5" s="1"/>
  <c r="AO15" i="5" a="1"/>
  <c r="AO15" i="5" s="1"/>
  <c r="AN15" i="5" a="1"/>
  <c r="AN15" i="5" s="1"/>
  <c r="AM15" i="5"/>
  <c r="AM15" i="5" a="1"/>
  <c r="AL15" i="5" a="1"/>
  <c r="AL15" i="5" s="1"/>
  <c r="AK15" i="5" a="1"/>
  <c r="AK15" i="5" s="1"/>
  <c r="AJ15" i="5" a="1"/>
  <c r="AJ15" i="5" s="1"/>
  <c r="AI15" i="5" a="1"/>
  <c r="AI15" i="5" s="1"/>
  <c r="AH15" i="5" a="1"/>
  <c r="AH15" i="5" s="1"/>
  <c r="AG15" i="5" a="1"/>
  <c r="AG15" i="5" s="1"/>
  <c r="AF15" i="5" a="1"/>
  <c r="AF15" i="5" s="1"/>
  <c r="AE15" i="5" a="1"/>
  <c r="AE15" i="5" s="1"/>
  <c r="AD15" i="5" a="1"/>
  <c r="AD15" i="5" s="1"/>
  <c r="AC15" i="5"/>
  <c r="AC15" i="5" a="1"/>
  <c r="AB15" i="5" a="1"/>
  <c r="AB15" i="5" s="1"/>
  <c r="AA15" i="5" a="1"/>
  <c r="AA15" i="5" s="1"/>
  <c r="Z15" i="5"/>
  <c r="Z15" i="5" a="1"/>
  <c r="Y15" i="5" a="1"/>
  <c r="Y15" i="5" s="1"/>
  <c r="X15" i="5" a="1"/>
  <c r="X15" i="5" s="1"/>
  <c r="W15" i="5" a="1"/>
  <c r="W15" i="5" s="1"/>
  <c r="V15" i="5" a="1"/>
  <c r="V15" i="5" s="1"/>
  <c r="U15" i="5" a="1"/>
  <c r="U15" i="5" s="1"/>
  <c r="T15" i="5"/>
  <c r="T15" i="5" a="1"/>
  <c r="S15" i="5" a="1"/>
  <c r="S15" i="5" s="1"/>
  <c r="R15" i="5"/>
  <c r="R15" i="5" a="1"/>
  <c r="Q15" i="5" a="1"/>
  <c r="Q15" i="5" s="1"/>
  <c r="P15" i="5" a="1"/>
  <c r="P15" i="5" s="1"/>
  <c r="O15" i="5" a="1"/>
  <c r="O15" i="5" s="1"/>
  <c r="N15" i="5" a="1"/>
  <c r="N15" i="5" s="1"/>
  <c r="M15" i="5" a="1"/>
  <c r="M15" i="5" s="1"/>
  <c r="L15" i="5" a="1"/>
  <c r="L15" i="5" s="1"/>
  <c r="K15" i="5" a="1"/>
  <c r="K15" i="5" s="1"/>
  <c r="J15" i="5"/>
  <c r="J15" i="5" a="1"/>
  <c r="I15" i="5"/>
  <c r="I15" i="5" a="1"/>
  <c r="H15" i="5" a="1"/>
  <c r="H15" i="5" s="1"/>
  <c r="G15" i="5" a="1"/>
  <c r="G15" i="5" s="1"/>
  <c r="F15" i="5" a="1"/>
  <c r="F15" i="5" s="1"/>
  <c r="E15" i="5" a="1"/>
  <c r="E15" i="5" s="1"/>
  <c r="D15" i="5" a="1"/>
  <c r="D15" i="5" s="1"/>
  <c r="C15" i="5" a="1"/>
  <c r="C15" i="5" s="1"/>
  <c r="EF14" i="5" a="1"/>
  <c r="EF14" i="5" s="1"/>
  <c r="EE14" i="5"/>
  <c r="EE14" i="5" a="1"/>
  <c r="ED14" i="5" a="1"/>
  <c r="ED14" i="5" s="1"/>
  <c r="EC14" i="5" a="1"/>
  <c r="EC14" i="5" s="1"/>
  <c r="EB14" i="5" a="1"/>
  <c r="EB14" i="5" s="1"/>
  <c r="EA14" i="5" a="1"/>
  <c r="EA14" i="5" s="1"/>
  <c r="DZ14" i="5" a="1"/>
  <c r="DZ14" i="5" s="1"/>
  <c r="DY14" i="5" a="1"/>
  <c r="DY14" i="5" s="1"/>
  <c r="DX14" i="5" a="1"/>
  <c r="DX14" i="5" s="1"/>
  <c r="DW14" i="5" a="1"/>
  <c r="DW14" i="5" s="1"/>
  <c r="DV14" i="5"/>
  <c r="DV14" i="5" a="1"/>
  <c r="DU14" i="5" a="1"/>
  <c r="DU14" i="5" s="1"/>
  <c r="DT14" i="5" a="1"/>
  <c r="DT14" i="5" s="1"/>
  <c r="DS14" i="5" a="1"/>
  <c r="DS14" i="5" s="1"/>
  <c r="DR14" i="5" a="1"/>
  <c r="DR14" i="5" s="1"/>
  <c r="DQ14" i="5" a="1"/>
  <c r="DQ14" i="5" s="1"/>
  <c r="DP14" i="5" a="1"/>
  <c r="DP14" i="5" s="1"/>
  <c r="DO14" i="5" a="1"/>
  <c r="DO14" i="5" s="1"/>
  <c r="DN14" i="5"/>
  <c r="DN14" i="5" a="1"/>
  <c r="DM14" i="5" a="1"/>
  <c r="DM14" i="5" s="1"/>
  <c r="DL14" i="5" a="1"/>
  <c r="DL14" i="5" s="1"/>
  <c r="DK14" i="5" a="1"/>
  <c r="DK14" i="5" s="1"/>
  <c r="DJ14" i="5" a="1"/>
  <c r="DJ14" i="5" s="1"/>
  <c r="DI14" i="5" a="1"/>
  <c r="DI14" i="5" s="1"/>
  <c r="DH14" i="5" a="1"/>
  <c r="DH14" i="5" s="1"/>
  <c r="DG14" i="5" a="1"/>
  <c r="DG14" i="5" s="1"/>
  <c r="DF14" i="5" a="1"/>
  <c r="DF14" i="5" s="1"/>
  <c r="DE14" i="5"/>
  <c r="DE14" i="5" a="1"/>
  <c r="DD14" i="5" a="1"/>
  <c r="DD14" i="5" s="1"/>
  <c r="DC14" i="5"/>
  <c r="DC14" i="5" a="1"/>
  <c r="DB14" i="5" a="1"/>
  <c r="DB14" i="5" s="1"/>
  <c r="DA14" i="5" a="1"/>
  <c r="DA14" i="5" s="1"/>
  <c r="CZ14" i="5" a="1"/>
  <c r="CZ14" i="5" s="1"/>
  <c r="CY14" i="5"/>
  <c r="CY14" i="5" a="1"/>
  <c r="CX14" i="5" a="1"/>
  <c r="CX14" i="5" s="1"/>
  <c r="CW14" i="5"/>
  <c r="CW14" i="5" a="1"/>
  <c r="CV14" i="5" a="1"/>
  <c r="CV14" i="5" s="1"/>
  <c r="CU14" i="5" a="1"/>
  <c r="CU14" i="5" s="1"/>
  <c r="CT14" i="5" a="1"/>
  <c r="CT14" i="5" s="1"/>
  <c r="CS14" i="5" a="1"/>
  <c r="CS14" i="5" s="1"/>
  <c r="CR14" i="5" a="1"/>
  <c r="CR14" i="5" s="1"/>
  <c r="CQ14" i="5" a="1"/>
  <c r="CQ14" i="5" s="1"/>
  <c r="CP14" i="5" a="1"/>
  <c r="CP14" i="5" s="1"/>
  <c r="CO14" i="5"/>
  <c r="CO14" i="5" a="1"/>
  <c r="CN14" i="5"/>
  <c r="CN14" i="5" a="1"/>
  <c r="CM14" i="5" a="1"/>
  <c r="CM14" i="5" s="1"/>
  <c r="CL14" i="5" a="1"/>
  <c r="CL14" i="5" s="1"/>
  <c r="CK14" i="5" a="1"/>
  <c r="CK14" i="5" s="1"/>
  <c r="CJ14" i="5"/>
  <c r="CJ14" i="5" a="1"/>
  <c r="CI14" i="5" a="1"/>
  <c r="CI14" i="5" s="1"/>
  <c r="CH14" i="5" a="1"/>
  <c r="CH14" i="5" s="1"/>
  <c r="CG14" i="5" a="1"/>
  <c r="CG14" i="5" s="1"/>
  <c r="CF14" i="5"/>
  <c r="CF14" i="5" a="1"/>
  <c r="CE14" i="5" a="1"/>
  <c r="CE14" i="5" s="1"/>
  <c r="CD14" i="5" a="1"/>
  <c r="CD14" i="5" s="1"/>
  <c r="CC14" i="5" a="1"/>
  <c r="CC14" i="5" s="1"/>
  <c r="CB14" i="5" a="1"/>
  <c r="CB14" i="5" s="1"/>
  <c r="CA14" i="5" a="1"/>
  <c r="CA14" i="5" s="1"/>
  <c r="BZ14" i="5"/>
  <c r="BZ14" i="5" a="1"/>
  <c r="BY14" i="5" a="1"/>
  <c r="BY14" i="5" s="1"/>
  <c r="BX14" i="5" a="1"/>
  <c r="BX14" i="5" s="1"/>
  <c r="BW14" i="5"/>
  <c r="BW14" i="5" a="1"/>
  <c r="BV14" i="5" a="1"/>
  <c r="BV14" i="5" s="1"/>
  <c r="BU14" i="5" a="1"/>
  <c r="BU14" i="5" s="1"/>
  <c r="BT14" i="5"/>
  <c r="BT14" i="5" a="1"/>
  <c r="BS14" i="5" a="1"/>
  <c r="BS14" i="5" s="1"/>
  <c r="BR14" i="5" a="1"/>
  <c r="BR14" i="5" s="1"/>
  <c r="BQ14" i="5"/>
  <c r="BQ14" i="5" a="1"/>
  <c r="BP14" i="5" a="1"/>
  <c r="BP14" i="5" s="1"/>
  <c r="BO14" i="5"/>
  <c r="BO14" i="5" a="1"/>
  <c r="BN14" i="5" a="1"/>
  <c r="BN14" i="5" s="1"/>
  <c r="BM14" i="5" a="1"/>
  <c r="BM14" i="5" s="1"/>
  <c r="BL14" i="5" a="1"/>
  <c r="BL14" i="5" s="1"/>
  <c r="BK14" i="5" a="1"/>
  <c r="BK14" i="5" s="1"/>
  <c r="BJ14" i="5"/>
  <c r="BJ14" i="5" a="1"/>
  <c r="BI14" i="5" a="1"/>
  <c r="BI14" i="5" s="1"/>
  <c r="BH14" i="5"/>
  <c r="BH14" i="5" a="1"/>
  <c r="BG14" i="5" a="1"/>
  <c r="BG14" i="5" s="1"/>
  <c r="BF14" i="5"/>
  <c r="BF14" i="5" a="1"/>
  <c r="BE14" i="5" a="1"/>
  <c r="BE14" i="5" s="1"/>
  <c r="BD14" i="5" a="1"/>
  <c r="BD14" i="5" s="1"/>
  <c r="BC14" i="5" a="1"/>
  <c r="BC14" i="5" s="1"/>
  <c r="BB14" i="5" a="1"/>
  <c r="BB14" i="5" s="1"/>
  <c r="BA14" i="5"/>
  <c r="BA14" i="5" a="1"/>
  <c r="AZ14" i="5" a="1"/>
  <c r="AZ14" i="5" s="1"/>
  <c r="AY14" i="5"/>
  <c r="AY14" i="5" a="1"/>
  <c r="AX14" i="5"/>
  <c r="AX14" i="5" a="1"/>
  <c r="AW14" i="5" a="1"/>
  <c r="AW14" i="5" s="1"/>
  <c r="AV14" i="5" a="1"/>
  <c r="AV14" i="5" s="1"/>
  <c r="AU14" i="5" a="1"/>
  <c r="AU14" i="5" s="1"/>
  <c r="AT14" i="5" a="1"/>
  <c r="AT14" i="5" s="1"/>
  <c r="AS14" i="5" a="1"/>
  <c r="AS14" i="5" s="1"/>
  <c r="AR14" i="5"/>
  <c r="AR14" i="5" a="1"/>
  <c r="AQ14" i="5" a="1"/>
  <c r="AQ14" i="5" s="1"/>
  <c r="AP14" i="5"/>
  <c r="AP14" i="5" a="1"/>
  <c r="AO14" i="5" a="1"/>
  <c r="AO14" i="5" s="1"/>
  <c r="AN14" i="5" a="1"/>
  <c r="AN14" i="5" s="1"/>
  <c r="AM14" i="5" a="1"/>
  <c r="AM14" i="5" s="1"/>
  <c r="AL14" i="5" a="1"/>
  <c r="AL14" i="5" s="1"/>
  <c r="AK14" i="5" a="1"/>
  <c r="AK14" i="5" s="1"/>
  <c r="AJ14" i="5" a="1"/>
  <c r="AJ14" i="5" s="1"/>
  <c r="AI14" i="5" a="1"/>
  <c r="AI14" i="5" s="1"/>
  <c r="AH14" i="5"/>
  <c r="AH14" i="5" a="1"/>
  <c r="AG14" i="5" a="1"/>
  <c r="AG14" i="5" s="1"/>
  <c r="AF14" i="5"/>
  <c r="AF14" i="5" a="1"/>
  <c r="AE14" i="5" a="1"/>
  <c r="AE14" i="5" s="1"/>
  <c r="AD14" i="5" a="1"/>
  <c r="AD14" i="5" s="1"/>
  <c r="AC14" i="5" a="1"/>
  <c r="AC14" i="5" s="1"/>
  <c r="AB14" i="5" a="1"/>
  <c r="AB14" i="5" s="1"/>
  <c r="AA14" i="5" a="1"/>
  <c r="AA14" i="5" s="1"/>
  <c r="Z14" i="5" a="1"/>
  <c r="Z14" i="5" s="1"/>
  <c r="Y14" i="5" a="1"/>
  <c r="Y14" i="5" s="1"/>
  <c r="X14" i="5"/>
  <c r="X14" i="5" a="1"/>
  <c r="W14" i="5" a="1"/>
  <c r="W14" i="5" s="1"/>
  <c r="V14" i="5" a="1"/>
  <c r="V14" i="5" s="1"/>
  <c r="U14" i="5" a="1"/>
  <c r="U14" i="5" s="1"/>
  <c r="T14" i="5" a="1"/>
  <c r="T14" i="5" s="1"/>
  <c r="S14" i="5" a="1"/>
  <c r="S14" i="5" s="1"/>
  <c r="R14" i="5" a="1"/>
  <c r="R14" i="5" s="1"/>
  <c r="Q14" i="5" a="1"/>
  <c r="Q14" i="5" s="1"/>
  <c r="P14" i="5" a="1"/>
  <c r="P14" i="5" s="1"/>
  <c r="O14" i="5"/>
  <c r="O14" i="5" a="1"/>
  <c r="N14" i="5" a="1"/>
  <c r="N14" i="5" s="1"/>
  <c r="M14" i="5"/>
  <c r="M14" i="5" a="1"/>
  <c r="L14" i="5" a="1"/>
  <c r="L14" i="5" s="1"/>
  <c r="K14" i="5" a="1"/>
  <c r="K14" i="5" s="1"/>
  <c r="J14" i="5" a="1"/>
  <c r="J14" i="5" s="1"/>
  <c r="I14" i="5" a="1"/>
  <c r="I14" i="5" s="1"/>
  <c r="H14" i="5" a="1"/>
  <c r="H14" i="5" s="1"/>
  <c r="G14" i="5"/>
  <c r="G14" i="5" a="1"/>
  <c r="F14" i="5" a="1"/>
  <c r="F14" i="5" s="1"/>
  <c r="E14" i="5" a="1"/>
  <c r="E14" i="5" s="1"/>
  <c r="D14" i="5"/>
  <c r="D14" i="5" a="1"/>
  <c r="C14" i="5" a="1"/>
  <c r="C14" i="5" s="1"/>
  <c r="EF13" i="5" a="1"/>
  <c r="EF13" i="5" s="1"/>
  <c r="EE13" i="5" a="1"/>
  <c r="EE13" i="5" s="1"/>
  <c r="ED13" i="5" a="1"/>
  <c r="ED13" i="5" s="1"/>
  <c r="EC13" i="5" a="1"/>
  <c r="EC13" i="5" s="1"/>
  <c r="EB13" i="5"/>
  <c r="EB13" i="5" a="1"/>
  <c r="EA13" i="5" a="1"/>
  <c r="EA13" i="5" s="1"/>
  <c r="DZ13" i="5" a="1"/>
  <c r="DZ13" i="5" s="1"/>
  <c r="DY13" i="5"/>
  <c r="DY13" i="5" a="1"/>
  <c r="DX13" i="5" a="1"/>
  <c r="DX13" i="5" s="1"/>
  <c r="DW13" i="5" a="1"/>
  <c r="DW13" i="5" s="1"/>
  <c r="DV13" i="5" a="1"/>
  <c r="DV13" i="5" s="1"/>
  <c r="DU13" i="5" a="1"/>
  <c r="DU13" i="5" s="1"/>
  <c r="DT13" i="5"/>
  <c r="DT13" i="5" a="1"/>
  <c r="DS13" i="5" a="1"/>
  <c r="DS13" i="5" s="1"/>
  <c r="DR13" i="5" a="1"/>
  <c r="DR13" i="5" s="1"/>
  <c r="DQ13" i="5" a="1"/>
  <c r="DQ13" i="5" s="1"/>
  <c r="DP13" i="5" a="1"/>
  <c r="DP13" i="5" s="1"/>
  <c r="DO13" i="5" a="1"/>
  <c r="DO13" i="5" s="1"/>
  <c r="DN13" i="5" a="1"/>
  <c r="DN13" i="5" s="1"/>
  <c r="DM13" i="5" a="1"/>
  <c r="DM13" i="5" s="1"/>
  <c r="DL13" i="5"/>
  <c r="DL13" i="5" a="1"/>
  <c r="DK13" i="5"/>
  <c r="DK13" i="5" a="1"/>
  <c r="DJ13" i="5" a="1"/>
  <c r="DJ13" i="5" s="1"/>
  <c r="DI13" i="5" a="1"/>
  <c r="DI13" i="5" s="1"/>
  <c r="DH13" i="5" a="1"/>
  <c r="DH13" i="5" s="1"/>
  <c r="DG13" i="5" a="1"/>
  <c r="DG13" i="5" s="1"/>
  <c r="DF13" i="5"/>
  <c r="DF13" i="5" a="1"/>
  <c r="DE13" i="5" a="1"/>
  <c r="DE13" i="5" s="1"/>
  <c r="DD13" i="5" a="1"/>
  <c r="DD13" i="5" s="1"/>
  <c r="DC13" i="5"/>
  <c r="DC13" i="5" a="1"/>
  <c r="DB13" i="5" a="1"/>
  <c r="DB13" i="5" s="1"/>
  <c r="DA13" i="5" a="1"/>
  <c r="DA13" i="5" s="1"/>
  <c r="CZ13" i="5" a="1"/>
  <c r="CZ13" i="5" s="1"/>
  <c r="CY13" i="5" a="1"/>
  <c r="CY13" i="5" s="1"/>
  <c r="CX13" i="5" a="1"/>
  <c r="CX13" i="5" s="1"/>
  <c r="CW13" i="5" a="1"/>
  <c r="CW13" i="5" s="1"/>
  <c r="CV13" i="5"/>
  <c r="CV13" i="5" a="1"/>
  <c r="CU13" i="5" a="1"/>
  <c r="CU13" i="5" s="1"/>
  <c r="CT13" i="5"/>
  <c r="CT13" i="5" a="1"/>
  <c r="CS13" i="5" a="1"/>
  <c r="CS13" i="5" s="1"/>
  <c r="CR13" i="5"/>
  <c r="CR13" i="5" a="1"/>
  <c r="CQ13" i="5" a="1"/>
  <c r="CQ13" i="5" s="1"/>
  <c r="CP13" i="5" a="1"/>
  <c r="CP13" i="5" s="1"/>
  <c r="CO13" i="5" a="1"/>
  <c r="CO13" i="5" s="1"/>
  <c r="CN13" i="5" a="1"/>
  <c r="CN13" i="5" s="1"/>
  <c r="CM13" i="5"/>
  <c r="CM13" i="5" a="1"/>
  <c r="CL13" i="5"/>
  <c r="CL13" i="5" a="1"/>
  <c r="CK13" i="5" a="1"/>
  <c r="CK13" i="5" s="1"/>
  <c r="CJ13" i="5" a="1"/>
  <c r="CJ13" i="5" s="1"/>
  <c r="CI13" i="5" a="1"/>
  <c r="CI13" i="5" s="1"/>
  <c r="CH13" i="5"/>
  <c r="CH13" i="5" a="1"/>
  <c r="CG13" i="5" a="1"/>
  <c r="CG13" i="5" s="1"/>
  <c r="CF13" i="5" a="1"/>
  <c r="CF13" i="5" s="1"/>
  <c r="CE13" i="5" a="1"/>
  <c r="CE13" i="5" s="1"/>
  <c r="CD13" i="5"/>
  <c r="CD13" i="5" a="1"/>
  <c r="CC13" i="5"/>
  <c r="CC13" i="5" a="1"/>
  <c r="CB13" i="5" a="1"/>
  <c r="CB13" i="5" s="1"/>
  <c r="CA13" i="5" a="1"/>
  <c r="CA13" i="5" s="1"/>
  <c r="BZ13" i="5" a="1"/>
  <c r="BZ13" i="5" s="1"/>
  <c r="BY13" i="5"/>
  <c r="BY13" i="5" a="1"/>
  <c r="BX13" i="5" a="1"/>
  <c r="BX13" i="5" s="1"/>
  <c r="BW13" i="5" a="1"/>
  <c r="BW13" i="5" s="1"/>
  <c r="BV13" i="5" a="1"/>
  <c r="BV13" i="5" s="1"/>
  <c r="BU13" i="5"/>
  <c r="BU13" i="5" a="1"/>
  <c r="BT13" i="5" a="1"/>
  <c r="BT13" i="5" s="1"/>
  <c r="BS13" i="5" a="1"/>
  <c r="BS13" i="5" s="1"/>
  <c r="BR13" i="5" a="1"/>
  <c r="BR13" i="5" s="1"/>
  <c r="BQ13" i="5" a="1"/>
  <c r="BQ13" i="5" s="1"/>
  <c r="BP13" i="5" a="1"/>
  <c r="BP13" i="5" s="1"/>
  <c r="BO13" i="5"/>
  <c r="BO13" i="5" a="1"/>
  <c r="BN13" i="5" a="1"/>
  <c r="BN13" i="5" s="1"/>
  <c r="BM13" i="5" a="1"/>
  <c r="BM13" i="5" s="1"/>
  <c r="BL13" i="5"/>
  <c r="BL13" i="5" a="1"/>
  <c r="BK13" i="5" a="1"/>
  <c r="BK13" i="5" s="1"/>
  <c r="BJ13" i="5" a="1"/>
  <c r="BJ13" i="5" s="1"/>
  <c r="BI13" i="5" a="1"/>
  <c r="BI13" i="5" s="1"/>
  <c r="BH13" i="5" a="1"/>
  <c r="BH13" i="5" s="1"/>
  <c r="BG13" i="5" a="1"/>
  <c r="BG13" i="5" s="1"/>
  <c r="BF13" i="5"/>
  <c r="BF13" i="5" a="1"/>
  <c r="BE13" i="5" a="1"/>
  <c r="BE13" i="5" s="1"/>
  <c r="BD13" i="5"/>
  <c r="BD13" i="5" a="1"/>
  <c r="BC13" i="5" a="1"/>
  <c r="BC13" i="5" s="1"/>
  <c r="BB13" i="5" a="1"/>
  <c r="BB13" i="5" s="1"/>
  <c r="BA13" i="5" a="1"/>
  <c r="BA13" i="5" s="1"/>
  <c r="AZ13" i="5" a="1"/>
  <c r="AZ13" i="5" s="1"/>
  <c r="AY13" i="5" a="1"/>
  <c r="AY13" i="5" s="1"/>
  <c r="AX13" i="5" a="1"/>
  <c r="AX13" i="5" s="1"/>
  <c r="AW13" i="5" a="1"/>
  <c r="AW13" i="5" s="1"/>
  <c r="AV13" i="5"/>
  <c r="AV13" i="5" a="1"/>
  <c r="AU13" i="5" a="1"/>
  <c r="AU13" i="5" s="1"/>
  <c r="AT13" i="5" a="1"/>
  <c r="AT13" i="5" s="1"/>
  <c r="AS13" i="5" a="1"/>
  <c r="AS13" i="5" s="1"/>
  <c r="AR13" i="5"/>
  <c r="AR13" i="5" a="1"/>
  <c r="AQ13" i="5" a="1"/>
  <c r="AQ13" i="5" s="1"/>
  <c r="AP13" i="5" a="1"/>
  <c r="AP13" i="5" s="1"/>
  <c r="AO13" i="5" a="1"/>
  <c r="AO13" i="5" s="1"/>
  <c r="AN13" i="5" a="1"/>
  <c r="AN13" i="5" s="1"/>
  <c r="AM13" i="5" a="1"/>
  <c r="AM13" i="5" s="1"/>
  <c r="AL13" i="5"/>
  <c r="AL13" i="5" a="1"/>
  <c r="AK13" i="5" a="1"/>
  <c r="AK13" i="5" s="1"/>
  <c r="AJ13" i="5" a="1"/>
  <c r="AJ13" i="5" s="1"/>
  <c r="AI13" i="5"/>
  <c r="AI13" i="5" a="1"/>
  <c r="AH13" i="5" a="1"/>
  <c r="AH13" i="5" s="1"/>
  <c r="AG13" i="5" a="1"/>
  <c r="AG13" i="5" s="1"/>
  <c r="AF13" i="5" a="1"/>
  <c r="AF13" i="5" s="1"/>
  <c r="AE13" i="5" a="1"/>
  <c r="AE13" i="5" s="1"/>
  <c r="AD13" i="5"/>
  <c r="AD13" i="5" a="1"/>
  <c r="AC13" i="5" a="1"/>
  <c r="AC13" i="5" s="1"/>
  <c r="AB13" i="5" a="1"/>
  <c r="AB13" i="5" s="1"/>
  <c r="AA13" i="5"/>
  <c r="AA13" i="5" a="1"/>
  <c r="Z13" i="5"/>
  <c r="Z13" i="5" a="1"/>
  <c r="Y13" i="5" a="1"/>
  <c r="Y13" i="5" s="1"/>
  <c r="X13" i="5" a="1"/>
  <c r="X13" i="5" s="1"/>
  <c r="W13" i="5" a="1"/>
  <c r="W13" i="5" s="1"/>
  <c r="V13" i="5" a="1"/>
  <c r="V13" i="5" s="1"/>
  <c r="U13" i="5"/>
  <c r="U13" i="5" a="1"/>
  <c r="T13" i="5" a="1"/>
  <c r="T13" i="5" s="1"/>
  <c r="S13" i="5" a="1"/>
  <c r="S13" i="5" s="1"/>
  <c r="R13" i="5" a="1"/>
  <c r="R13" i="5" s="1"/>
  <c r="Q13" i="5"/>
  <c r="Q13" i="5" a="1"/>
  <c r="P13" i="5" a="1"/>
  <c r="P13" i="5" s="1"/>
  <c r="O13" i="5" a="1"/>
  <c r="O13" i="5" s="1"/>
  <c r="N13" i="5" a="1"/>
  <c r="N13" i="5" s="1"/>
  <c r="M13" i="5"/>
  <c r="M13" i="5" a="1"/>
  <c r="L13" i="5" a="1"/>
  <c r="L13" i="5" s="1"/>
  <c r="K13" i="5" a="1"/>
  <c r="K13" i="5" s="1"/>
  <c r="J13" i="5" a="1"/>
  <c r="J13" i="5" s="1"/>
  <c r="I13" i="5" a="1"/>
  <c r="I13" i="5" s="1"/>
  <c r="H13" i="5" a="1"/>
  <c r="H13" i="5" s="1"/>
  <c r="G13" i="5" a="1"/>
  <c r="G13" i="5" s="1"/>
  <c r="F13" i="5" a="1"/>
  <c r="F13" i="5" s="1"/>
  <c r="E13" i="5" a="1"/>
  <c r="E13" i="5" s="1"/>
  <c r="D13" i="5"/>
  <c r="D13" i="5" a="1"/>
  <c r="C13" i="5" a="1"/>
  <c r="C13" i="5" s="1"/>
  <c r="EF12" i="5" a="1"/>
  <c r="EF12" i="5" s="1"/>
  <c r="EE12" i="5" a="1"/>
  <c r="EE12" i="5" s="1"/>
  <c r="ED12" i="5" a="1"/>
  <c r="ED12" i="5" s="1"/>
  <c r="EC12" i="5" a="1"/>
  <c r="EC12" i="5" s="1"/>
  <c r="EB12" i="5"/>
  <c r="EB12" i="5" a="1"/>
  <c r="EA12" i="5" a="1"/>
  <c r="EA12" i="5" s="1"/>
  <c r="DZ12" i="5"/>
  <c r="DZ12" i="5" a="1"/>
  <c r="DY12" i="5" a="1"/>
  <c r="DY12" i="5" s="1"/>
  <c r="DX12" i="5" a="1"/>
  <c r="DX12" i="5" s="1"/>
  <c r="DW12" i="5" a="1"/>
  <c r="DW12" i="5" s="1"/>
  <c r="DV12" i="5" a="1"/>
  <c r="DV12" i="5" s="1"/>
  <c r="DU12" i="5" a="1"/>
  <c r="DU12" i="5" s="1"/>
  <c r="DT12" i="5" a="1"/>
  <c r="DT12" i="5" s="1"/>
  <c r="DS12" i="5" a="1"/>
  <c r="DS12" i="5" s="1"/>
  <c r="DR12" i="5"/>
  <c r="DR12" i="5" a="1"/>
  <c r="DQ12" i="5"/>
  <c r="DQ12" i="5" a="1"/>
  <c r="DP12" i="5" a="1"/>
  <c r="DP12" i="5" s="1"/>
  <c r="DO12" i="5" a="1"/>
  <c r="DO12" i="5" s="1"/>
  <c r="DN12" i="5" a="1"/>
  <c r="DN12" i="5" s="1"/>
  <c r="DM12" i="5" a="1"/>
  <c r="DM12" i="5" s="1"/>
  <c r="DL12" i="5" a="1"/>
  <c r="DL12" i="5" s="1"/>
  <c r="DK12" i="5" a="1"/>
  <c r="DK12" i="5" s="1"/>
  <c r="DJ12" i="5" a="1"/>
  <c r="DJ12" i="5" s="1"/>
  <c r="DI12" i="5"/>
  <c r="DI12" i="5" a="1"/>
  <c r="DH12" i="5" a="1"/>
  <c r="DH12" i="5" s="1"/>
  <c r="DG12" i="5" a="1"/>
  <c r="DG12" i="5" s="1"/>
  <c r="DF12" i="5"/>
  <c r="DF12" i="5" a="1"/>
  <c r="DE12" i="5" a="1"/>
  <c r="DE12" i="5" s="1"/>
  <c r="DD12" i="5" a="1"/>
  <c r="DD12" i="5" s="1"/>
  <c r="DC12" i="5" a="1"/>
  <c r="DC12" i="5" s="1"/>
  <c r="DB12" i="5" a="1"/>
  <c r="DB12" i="5" s="1"/>
  <c r="DA12" i="5" a="1"/>
  <c r="DA12" i="5" s="1"/>
  <c r="CZ12" i="5"/>
  <c r="CZ12" i="5" a="1"/>
  <c r="CY12" i="5" a="1"/>
  <c r="CY12" i="5" s="1"/>
  <c r="CX12" i="5" a="1"/>
  <c r="CX12" i="5" s="1"/>
  <c r="CW12" i="5" a="1"/>
  <c r="CW12" i="5" s="1"/>
  <c r="CV12" i="5"/>
  <c r="CV12" i="5" a="1"/>
  <c r="CU12" i="5" a="1"/>
  <c r="CU12" i="5" s="1"/>
  <c r="CT12" i="5" a="1"/>
  <c r="CT12" i="5" s="1"/>
  <c r="CS12" i="5" a="1"/>
  <c r="CS12" i="5" s="1"/>
  <c r="CR12" i="5"/>
  <c r="CR12" i="5" a="1"/>
  <c r="CQ12" i="5" a="1"/>
  <c r="CQ12" i="5" s="1"/>
  <c r="CP12" i="5" a="1"/>
  <c r="CP12" i="5" s="1"/>
  <c r="CO12" i="5" a="1"/>
  <c r="CO12" i="5" s="1"/>
  <c r="CN12" i="5" a="1"/>
  <c r="CN12" i="5" s="1"/>
  <c r="CM12" i="5" a="1"/>
  <c r="CM12" i="5" s="1"/>
  <c r="CL12" i="5"/>
  <c r="CL12" i="5" a="1"/>
  <c r="CK12" i="5" a="1"/>
  <c r="CK12" i="5" s="1"/>
  <c r="CJ12" i="5" a="1"/>
  <c r="CJ12" i="5" s="1"/>
  <c r="CI12" i="5"/>
  <c r="CI12" i="5" a="1"/>
  <c r="CH12" i="5" a="1"/>
  <c r="CH12" i="5" s="1"/>
  <c r="CG12" i="5" a="1"/>
  <c r="CG12" i="5" s="1"/>
  <c r="CF12" i="5"/>
  <c r="CF12" i="5" a="1"/>
  <c r="CE12" i="5" a="1"/>
  <c r="CE12" i="5" s="1"/>
  <c r="CD12" i="5" a="1"/>
  <c r="CD12" i="5" s="1"/>
  <c r="CC12" i="5"/>
  <c r="CC12" i="5" a="1"/>
  <c r="CB12" i="5" a="1"/>
  <c r="CB12" i="5" s="1"/>
  <c r="CA12" i="5"/>
  <c r="CA12" i="5" a="1"/>
  <c r="BZ12" i="5" a="1"/>
  <c r="BZ12" i="5" s="1"/>
  <c r="BY12" i="5" a="1"/>
  <c r="BY12" i="5" s="1"/>
  <c r="BX12" i="5" a="1"/>
  <c r="BX12" i="5" s="1"/>
  <c r="BW12" i="5"/>
  <c r="BW12" i="5" a="1"/>
  <c r="BV12" i="5" a="1"/>
  <c r="BV12" i="5" s="1"/>
  <c r="BU12" i="5" a="1"/>
  <c r="BU12" i="5" s="1"/>
  <c r="BT12" i="5" a="1"/>
  <c r="BT12" i="5" s="1"/>
  <c r="BS12" i="5"/>
  <c r="BS12" i="5" a="1"/>
  <c r="BR12" i="5"/>
  <c r="BR12" i="5" a="1"/>
  <c r="BQ12" i="5" a="1"/>
  <c r="BQ12" i="5" s="1"/>
  <c r="BP12" i="5" a="1"/>
  <c r="BP12" i="5" s="1"/>
  <c r="BO12" i="5" a="1"/>
  <c r="BO12" i="5" s="1"/>
  <c r="BN12" i="5"/>
  <c r="BN12" i="5" a="1"/>
  <c r="BM12" i="5" a="1"/>
  <c r="BM12" i="5" s="1"/>
  <c r="BL12" i="5" a="1"/>
  <c r="BL12" i="5" s="1"/>
  <c r="BK12" i="5" a="1"/>
  <c r="BK12" i="5" s="1"/>
  <c r="BJ12" i="5"/>
  <c r="BJ12" i="5" a="1"/>
  <c r="BI12" i="5" a="1"/>
  <c r="BI12" i="5" s="1"/>
  <c r="BH12" i="5" a="1"/>
  <c r="BH12" i="5" s="1"/>
  <c r="BG12" i="5" a="1"/>
  <c r="BG12" i="5" s="1"/>
  <c r="BF12" i="5" a="1"/>
  <c r="BF12" i="5" s="1"/>
  <c r="BE12" i="5"/>
  <c r="BE12" i="5" a="1"/>
  <c r="BD12" i="5" a="1"/>
  <c r="BD12" i="5" s="1"/>
  <c r="BC12" i="5" a="1"/>
  <c r="BC12" i="5" s="1"/>
  <c r="BB12" i="5" a="1"/>
  <c r="BB12" i="5" s="1"/>
  <c r="BA12" i="5" a="1"/>
  <c r="BA12" i="5" s="1"/>
  <c r="AZ12" i="5" a="1"/>
  <c r="AZ12" i="5" s="1"/>
  <c r="AY12" i="5" a="1"/>
  <c r="AY12" i="5" s="1"/>
  <c r="AX12" i="5" a="1"/>
  <c r="AX12" i="5" s="1"/>
  <c r="AW12" i="5" a="1"/>
  <c r="AW12" i="5" s="1"/>
  <c r="AV12" i="5"/>
  <c r="AV12" i="5" a="1"/>
  <c r="AU12" i="5" a="1"/>
  <c r="AU12" i="5" s="1"/>
  <c r="AT12" i="5" a="1"/>
  <c r="AT12" i="5" s="1"/>
  <c r="AS12" i="5" a="1"/>
  <c r="AS12" i="5" s="1"/>
  <c r="AR12" i="5"/>
  <c r="AR12" i="5" a="1"/>
  <c r="AQ12" i="5" a="1"/>
  <c r="AQ12" i="5" s="1"/>
  <c r="AP12" i="5" a="1"/>
  <c r="AP12" i="5" s="1"/>
  <c r="AO12" i="5"/>
  <c r="AO12" i="5" a="1"/>
  <c r="AN12" i="5" a="1"/>
  <c r="AN12" i="5" s="1"/>
  <c r="AM12" i="5"/>
  <c r="AM12" i="5" a="1"/>
  <c r="AL12" i="5" a="1"/>
  <c r="AL12" i="5" s="1"/>
  <c r="AK12" i="5" a="1"/>
  <c r="AK12" i="5" s="1"/>
  <c r="AJ12" i="5"/>
  <c r="AJ12" i="5" a="1"/>
  <c r="AI12" i="5" a="1"/>
  <c r="AI12" i="5" s="1"/>
  <c r="AH12" i="5" a="1"/>
  <c r="AH12" i="5" s="1"/>
  <c r="AG12" i="5" a="1"/>
  <c r="AG12" i="5" s="1"/>
  <c r="AF12" i="5" a="1"/>
  <c r="AF12" i="5" s="1"/>
  <c r="AE12" i="5"/>
  <c r="AE12" i="5" a="1"/>
  <c r="AD12" i="5" a="1"/>
  <c r="AD12" i="5" s="1"/>
  <c r="AC12" i="5" a="1"/>
  <c r="AC12" i="5" s="1"/>
  <c r="AB12" i="5" a="1"/>
  <c r="AB12" i="5" s="1"/>
  <c r="AA12" i="5"/>
  <c r="AA12" i="5" a="1"/>
  <c r="Z12" i="5" a="1"/>
  <c r="Z12" i="5" s="1"/>
  <c r="Y12" i="5" a="1"/>
  <c r="Y12" i="5" s="1"/>
  <c r="X12" i="5" a="1"/>
  <c r="X12" i="5" s="1"/>
  <c r="W12" i="5" a="1"/>
  <c r="W12" i="5" s="1"/>
  <c r="V12" i="5" a="1"/>
  <c r="V12" i="5" s="1"/>
  <c r="U12" i="5" a="1"/>
  <c r="U12" i="5" s="1"/>
  <c r="T12" i="5"/>
  <c r="T12" i="5" a="1"/>
  <c r="S12" i="5"/>
  <c r="S12" i="5" a="1"/>
  <c r="R12" i="5" a="1"/>
  <c r="R12" i="5" s="1"/>
  <c r="Q12" i="5" a="1"/>
  <c r="Q12" i="5" s="1"/>
  <c r="P12" i="5" a="1"/>
  <c r="P12" i="5" s="1"/>
  <c r="O12" i="5" a="1"/>
  <c r="O12" i="5" s="1"/>
  <c r="N12" i="5" a="1"/>
  <c r="N12" i="5" s="1"/>
  <c r="M12" i="5" a="1"/>
  <c r="M12" i="5" s="1"/>
  <c r="L12" i="5" a="1"/>
  <c r="L12" i="5" s="1"/>
  <c r="K12" i="5"/>
  <c r="K12" i="5" a="1"/>
  <c r="J12" i="5"/>
  <c r="J12" i="5" a="1"/>
  <c r="I12" i="5" a="1"/>
  <c r="I12" i="5" s="1"/>
  <c r="H12" i="5" a="1"/>
  <c r="H12" i="5" s="1"/>
  <c r="G12" i="5" a="1"/>
  <c r="G12" i="5" s="1"/>
  <c r="F12" i="5" a="1"/>
  <c r="F12" i="5" s="1"/>
  <c r="E12" i="5" a="1"/>
  <c r="E12" i="5" s="1"/>
  <c r="D12" i="5" a="1"/>
  <c r="D12" i="5" s="1"/>
  <c r="C12" i="5" a="1"/>
  <c r="C12" i="5" s="1"/>
  <c r="EB8" i="5"/>
  <c r="DT8" i="5"/>
  <c r="DM8" i="5"/>
  <c r="DL8" i="5"/>
  <c r="DD8" i="5"/>
  <c r="DC8" i="5"/>
  <c r="CV8" i="5"/>
  <c r="CN8" i="5"/>
  <c r="CM8" i="5"/>
  <c r="CL8" i="5"/>
  <c r="CJ8" i="5"/>
  <c r="CG8" i="5"/>
  <c r="CF8" i="5"/>
  <c r="BX8" i="5"/>
  <c r="BP8" i="5"/>
  <c r="BH8" i="5"/>
  <c r="BF8" i="5"/>
  <c r="AZ8" i="5"/>
  <c r="AR8" i="5"/>
  <c r="AK8" i="5"/>
  <c r="AJ8" i="5"/>
  <c r="AB8" i="5"/>
  <c r="AA8" i="5"/>
  <c r="U8" i="5"/>
  <c r="T8" i="5"/>
  <c r="L8" i="5"/>
  <c r="K8" i="5"/>
  <c r="I8" i="5"/>
  <c r="H8" i="5"/>
  <c r="D8" i="5"/>
  <c r="EB7" i="5"/>
  <c r="EA7" i="5"/>
  <c r="DZ7" i="5"/>
  <c r="DT7" i="5"/>
  <c r="DL7" i="5"/>
  <c r="DK7" i="5"/>
  <c r="DJ7" i="5"/>
  <c r="DE7" i="5"/>
  <c r="DD7" i="5"/>
  <c r="CV7" i="5"/>
  <c r="CN7" i="5"/>
  <c r="CF7" i="5"/>
  <c r="CE7" i="5"/>
  <c r="CD7" i="5"/>
  <c r="BX7" i="5"/>
  <c r="BP7" i="5"/>
  <c r="BO7" i="5"/>
  <c r="BN7" i="5"/>
  <c r="BM7" i="5"/>
  <c r="BL7" i="5"/>
  <c r="BH7" i="5"/>
  <c r="AZ7" i="5"/>
  <c r="AR7" i="5"/>
  <c r="AJ7" i="5"/>
  <c r="AE7" i="5"/>
  <c r="AD7" i="5"/>
  <c r="AB7" i="5"/>
  <c r="T7" i="5"/>
  <c r="S7" i="5"/>
  <c r="L7" i="5"/>
  <c r="K7" i="5"/>
  <c r="D7" i="5"/>
  <c r="EG6" i="5"/>
  <c r="EG6" i="5" a="1"/>
  <c r="EF6" i="5" a="1"/>
  <c r="EF6" i="5" s="1"/>
  <c r="EE6" i="5" a="1"/>
  <c r="EE6" i="5" s="1"/>
  <c r="ED6" i="5" a="1"/>
  <c r="ED6" i="5" s="1"/>
  <c r="EC6" i="5" a="1"/>
  <c r="EC6" i="5" s="1"/>
  <c r="EB6" i="5"/>
  <c r="EB6" i="5" a="1"/>
  <c r="EA6" i="5" a="1"/>
  <c r="EA6" i="5" s="1"/>
  <c r="EA8" i="5" s="1"/>
  <c r="DZ6" i="5" a="1"/>
  <c r="DZ6" i="5" s="1"/>
  <c r="DZ8" i="5" s="1"/>
  <c r="DY6" i="5" a="1"/>
  <c r="DY6" i="5" s="1"/>
  <c r="DX6" i="5" a="1"/>
  <c r="DX6" i="5" s="1"/>
  <c r="DW6" i="5" a="1"/>
  <c r="DW6" i="5" s="1"/>
  <c r="DV6" i="5" a="1"/>
  <c r="DV6" i="5" s="1"/>
  <c r="DU6" i="5" a="1"/>
  <c r="DU6" i="5" s="1"/>
  <c r="DU8" i="5" s="1"/>
  <c r="DT6" i="5"/>
  <c r="DT6" i="5" a="1"/>
  <c r="DS6" i="5" a="1"/>
  <c r="DS6" i="5" s="1"/>
  <c r="DR6" i="5" a="1"/>
  <c r="DR6" i="5" s="1"/>
  <c r="DQ6" i="5"/>
  <c r="DQ7" i="5" s="1"/>
  <c r="DQ6" i="5" a="1"/>
  <c r="DP6" i="5" a="1"/>
  <c r="DP6" i="5" s="1"/>
  <c r="DO6" i="5" a="1"/>
  <c r="DO6" i="5" s="1"/>
  <c r="DN6" i="5"/>
  <c r="DN7" i="5" s="1"/>
  <c r="DN6" i="5" a="1"/>
  <c r="DM6" i="5" a="1"/>
  <c r="DM6" i="5" s="1"/>
  <c r="DM7" i="5" s="1"/>
  <c r="DL6" i="5"/>
  <c r="DL6" i="5" a="1"/>
  <c r="DK6" i="5" a="1"/>
  <c r="DK6" i="5" s="1"/>
  <c r="DK8" i="5" s="1"/>
  <c r="DJ6" i="5" a="1"/>
  <c r="DJ6" i="5" s="1"/>
  <c r="DJ8" i="5" s="1"/>
  <c r="DI6" i="5" a="1"/>
  <c r="DI6" i="5" s="1"/>
  <c r="DI8" i="5" s="1"/>
  <c r="DH6" i="5" a="1"/>
  <c r="DH6" i="5" s="1"/>
  <c r="DG6" i="5"/>
  <c r="DG8" i="5" s="1"/>
  <c r="DG6" i="5" a="1"/>
  <c r="DF6" i="5" a="1"/>
  <c r="DF6" i="5" s="1"/>
  <c r="DE6" i="5" a="1"/>
  <c r="DE6" i="5" s="1"/>
  <c r="DE8" i="5" s="1"/>
  <c r="DD6" i="5"/>
  <c r="DD6" i="5" a="1"/>
  <c r="DC6" i="5" a="1"/>
  <c r="DC6" i="5" s="1"/>
  <c r="DC7" i="5" s="1"/>
  <c r="DB6" i="5" a="1"/>
  <c r="DB6" i="5" s="1"/>
  <c r="DB7" i="5" s="1"/>
  <c r="DA6" i="5" a="1"/>
  <c r="DA6" i="5" s="1"/>
  <c r="CZ6" i="5" a="1"/>
  <c r="CZ6" i="5" s="1"/>
  <c r="CY6" i="5" a="1"/>
  <c r="CY6" i="5" s="1"/>
  <c r="CX6" i="5" a="1"/>
  <c r="CX6" i="5" s="1"/>
  <c r="CW6" i="5" a="1"/>
  <c r="CW6" i="5" s="1"/>
  <c r="CV6" i="5"/>
  <c r="CV6" i="5" a="1"/>
  <c r="CU6" i="5" a="1"/>
  <c r="CU6" i="5" s="1"/>
  <c r="CT6" i="5" a="1"/>
  <c r="CT6" i="5" s="1"/>
  <c r="CS6" i="5" a="1"/>
  <c r="CS6" i="5" s="1"/>
  <c r="CR6" i="5" a="1"/>
  <c r="CR6" i="5" s="1"/>
  <c r="CQ6" i="5" a="1"/>
  <c r="CQ6" i="5" s="1"/>
  <c r="CP6" i="5" a="1"/>
  <c r="CP6" i="5" s="1"/>
  <c r="CP8" i="5" s="1"/>
  <c r="CO6" i="5" a="1"/>
  <c r="CO6" i="5" s="1"/>
  <c r="CO8" i="5" s="1"/>
  <c r="CN6" i="5"/>
  <c r="CN6" i="5" a="1"/>
  <c r="CM6" i="5" a="1"/>
  <c r="CM6" i="5" s="1"/>
  <c r="CM7" i="5" s="1"/>
  <c r="CL6" i="5" a="1"/>
  <c r="CL6" i="5" s="1"/>
  <c r="CL7" i="5" s="1"/>
  <c r="CK6" i="5" a="1"/>
  <c r="CK6" i="5" s="1"/>
  <c r="CJ6" i="5"/>
  <c r="CJ7" i="5" s="1"/>
  <c r="CJ6" i="5" a="1"/>
  <c r="CI6" i="5" a="1"/>
  <c r="CI6" i="5" s="1"/>
  <c r="CI7" i="5" s="1"/>
  <c r="CH6" i="5" a="1"/>
  <c r="CH6" i="5" s="1"/>
  <c r="CH7" i="5" s="1"/>
  <c r="CG6" i="5" a="1"/>
  <c r="CG6" i="5" s="1"/>
  <c r="CG7" i="5" s="1"/>
  <c r="CF6" i="5"/>
  <c r="CF6" i="5" a="1"/>
  <c r="CE6" i="5" a="1"/>
  <c r="CE6" i="5" s="1"/>
  <c r="CE8" i="5" s="1"/>
  <c r="CD6" i="5" a="1"/>
  <c r="CD6" i="5" s="1"/>
  <c r="CD8" i="5" s="1"/>
  <c r="CC6" i="5" a="1"/>
  <c r="CC6" i="5" s="1"/>
  <c r="CB6" i="5" a="1"/>
  <c r="CB6" i="5" s="1"/>
  <c r="CA6" i="5" a="1"/>
  <c r="CA6" i="5" s="1"/>
  <c r="BZ6" i="5" a="1"/>
  <c r="BZ6" i="5" s="1"/>
  <c r="BY6" i="5" a="1"/>
  <c r="BY6" i="5" s="1"/>
  <c r="BY8" i="5" s="1"/>
  <c r="BX6" i="5"/>
  <c r="BX6" i="5" a="1"/>
  <c r="BW6" i="5" a="1"/>
  <c r="BW6" i="5" s="1"/>
  <c r="BW8" i="5" s="1"/>
  <c r="BV6" i="5" a="1"/>
  <c r="BV6" i="5" s="1"/>
  <c r="BV7" i="5" s="1"/>
  <c r="BU6" i="5" a="1"/>
  <c r="BU6" i="5" s="1"/>
  <c r="BT6" i="5" a="1"/>
  <c r="BT6" i="5" s="1"/>
  <c r="BS6" i="5" a="1"/>
  <c r="BS6" i="5" s="1"/>
  <c r="BR6" i="5" a="1"/>
  <c r="BR6" i="5" s="1"/>
  <c r="BQ6" i="5" a="1"/>
  <c r="BQ6" i="5" s="1"/>
  <c r="BQ7" i="5" s="1"/>
  <c r="BP6" i="5"/>
  <c r="BP6" i="5" a="1"/>
  <c r="BO6" i="5" a="1"/>
  <c r="BO6" i="5" s="1"/>
  <c r="BO8" i="5" s="1"/>
  <c r="BN6" i="5" a="1"/>
  <c r="BN6" i="5" s="1"/>
  <c r="BN8" i="5" s="1"/>
  <c r="BM6" i="5" a="1"/>
  <c r="BM6" i="5" s="1"/>
  <c r="BM8" i="5" s="1"/>
  <c r="BL6" i="5" a="1"/>
  <c r="BL6" i="5" s="1"/>
  <c r="BL8" i="5" s="1"/>
  <c r="BK6" i="5" a="1"/>
  <c r="BK6" i="5" s="1"/>
  <c r="BJ6" i="5" a="1"/>
  <c r="BJ6" i="5" s="1"/>
  <c r="BI6" i="5" a="1"/>
  <c r="BI6" i="5" s="1"/>
  <c r="BI8" i="5" s="1"/>
  <c r="BH6" i="5"/>
  <c r="BH6" i="5" a="1"/>
  <c r="BG6" i="5" a="1"/>
  <c r="BG6" i="5" s="1"/>
  <c r="BG8" i="5" s="1"/>
  <c r="BF6" i="5" a="1"/>
  <c r="BF6" i="5" s="1"/>
  <c r="BF7" i="5" s="1"/>
  <c r="BE6" i="5" a="1"/>
  <c r="BE6" i="5" s="1"/>
  <c r="BE7" i="5" s="1"/>
  <c r="BD6" i="5" a="1"/>
  <c r="BD6" i="5" s="1"/>
  <c r="BD7" i="5" s="1"/>
  <c r="BC6" i="5" a="1"/>
  <c r="BC6" i="5" s="1"/>
  <c r="BC7" i="5" s="1"/>
  <c r="BB6" i="5" a="1"/>
  <c r="BB6" i="5" s="1"/>
  <c r="BA6" i="5" a="1"/>
  <c r="BA6" i="5" s="1"/>
  <c r="AZ6" i="5"/>
  <c r="AZ6" i="5" a="1"/>
  <c r="AY6" i="5" a="1"/>
  <c r="AY6" i="5" s="1"/>
  <c r="AX6" i="5" a="1"/>
  <c r="AX6" i="5" s="1"/>
  <c r="AW6" i="5" a="1"/>
  <c r="AW6" i="5" s="1"/>
  <c r="AV6" i="5" a="1"/>
  <c r="AV6" i="5" s="1"/>
  <c r="AU6" i="5" a="1"/>
  <c r="AU6" i="5" s="1"/>
  <c r="AT6" i="5" a="1"/>
  <c r="AT6" i="5" s="1"/>
  <c r="AS6" i="5" a="1"/>
  <c r="AS6" i="5" s="1"/>
  <c r="AS8" i="5" s="1"/>
  <c r="AR6" i="5"/>
  <c r="AR6" i="5" a="1"/>
  <c r="AQ6" i="5" a="1"/>
  <c r="AQ6" i="5" s="1"/>
  <c r="AQ8" i="5" s="1"/>
  <c r="AP6" i="5" a="1"/>
  <c r="AP6" i="5" s="1"/>
  <c r="AO6" i="5"/>
  <c r="AO6" i="5" a="1"/>
  <c r="AN6" i="5" a="1"/>
  <c r="AN6" i="5" s="1"/>
  <c r="AM6" i="5" a="1"/>
  <c r="AM6" i="5" s="1"/>
  <c r="AM7" i="5" s="1"/>
  <c r="AL6" i="5" a="1"/>
  <c r="AL6" i="5" s="1"/>
  <c r="AL7" i="5" s="1"/>
  <c r="AK6" i="5" a="1"/>
  <c r="AK6" i="5" s="1"/>
  <c r="AK7" i="5" s="1"/>
  <c r="AJ6" i="5"/>
  <c r="AJ6" i="5" a="1"/>
  <c r="AI6" i="5" a="1"/>
  <c r="AI6" i="5" s="1"/>
  <c r="AI8" i="5" s="1"/>
  <c r="AH6" i="5" a="1"/>
  <c r="AH6" i="5" s="1"/>
  <c r="AG6" i="5" a="1"/>
  <c r="AG6" i="5" s="1"/>
  <c r="AF6" i="5" a="1"/>
  <c r="AF6" i="5" s="1"/>
  <c r="AE6" i="5"/>
  <c r="AE8" i="5" s="1"/>
  <c r="AE6" i="5" a="1"/>
  <c r="AD6" i="5" a="1"/>
  <c r="AD6" i="5" s="1"/>
  <c r="AD8" i="5" s="1"/>
  <c r="AC6" i="5" a="1"/>
  <c r="AC6" i="5" s="1"/>
  <c r="AC8" i="5" s="1"/>
  <c r="AB6" i="5"/>
  <c r="AB6" i="5" a="1"/>
  <c r="AA6" i="5" a="1"/>
  <c r="AA6" i="5" s="1"/>
  <c r="AA7" i="5" s="1"/>
  <c r="Z6" i="5" a="1"/>
  <c r="Z6" i="5" s="1"/>
  <c r="Z7" i="5" s="1"/>
  <c r="Y6" i="5" a="1"/>
  <c r="Y6" i="5" s="1"/>
  <c r="X6" i="5" a="1"/>
  <c r="X6" i="5" s="1"/>
  <c r="W6" i="5" a="1"/>
  <c r="W6" i="5" s="1"/>
  <c r="V6" i="5" a="1"/>
  <c r="V6" i="5" s="1"/>
  <c r="U6" i="5" a="1"/>
  <c r="U6" i="5" s="1"/>
  <c r="U7" i="5" s="1"/>
  <c r="T6" i="5"/>
  <c r="T6" i="5" a="1"/>
  <c r="S6" i="5" a="1"/>
  <c r="S6" i="5" s="1"/>
  <c r="S8" i="5" s="1"/>
  <c r="R6" i="5" a="1"/>
  <c r="R6" i="5" s="1"/>
  <c r="Q6" i="5" a="1"/>
  <c r="Q6" i="5" s="1"/>
  <c r="P6" i="5" a="1"/>
  <c r="P6" i="5" s="1"/>
  <c r="O6" i="5" a="1"/>
  <c r="O6" i="5" s="1"/>
  <c r="N6" i="5" a="1"/>
  <c r="N6" i="5" s="1"/>
  <c r="M6" i="5" a="1"/>
  <c r="M6" i="5" s="1"/>
  <c r="M8" i="5" s="1"/>
  <c r="L6" i="5"/>
  <c r="L6" i="5" a="1"/>
  <c r="K6" i="5" a="1"/>
  <c r="K6" i="5" s="1"/>
  <c r="J6" i="5" a="1"/>
  <c r="J6" i="5" s="1"/>
  <c r="I6" i="5" a="1"/>
  <c r="I6" i="5" s="1"/>
  <c r="I7" i="5" s="1"/>
  <c r="H6" i="5" a="1"/>
  <c r="H6" i="5" s="1"/>
  <c r="H7" i="5" s="1"/>
  <c r="G6" i="5" a="1"/>
  <c r="G6" i="5" s="1"/>
  <c r="F6" i="5" a="1"/>
  <c r="F6" i="5" s="1"/>
  <c r="E6" i="5" a="1"/>
  <c r="E6" i="5" s="1"/>
  <c r="E7" i="5" s="1"/>
  <c r="D6" i="5"/>
  <c r="D6" i="5" a="1"/>
  <c r="C6" i="5" a="1"/>
  <c r="C6" i="5" s="1"/>
  <c r="C8" i="5" s="1"/>
  <c r="D24" i="4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E23" i="4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D23" i="4"/>
  <c r="D22" i="4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D21" i="4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AW20" i="4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D20" i="4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D19" i="4"/>
  <c r="E19" i="4" s="1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AX18" i="4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D18" i="4"/>
  <c r="E18" i="4" s="1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D17" i="4"/>
  <c r="E17" i="4" s="1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D16" i="4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D15" i="4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D14" i="4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D13" i="4"/>
  <c r="E13" i="4" s="1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R12" i="4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G12" i="4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F12" i="4"/>
  <c r="E12" i="4"/>
  <c r="D12" i="4"/>
  <c r="CB8" i="4"/>
  <c r="CA8" i="4"/>
  <c r="BZ8" i="4"/>
  <c r="BY8" i="4"/>
  <c r="BX8" i="4"/>
  <c r="BL8" i="4"/>
  <c r="BK8" i="4"/>
  <c r="BJ8" i="4"/>
  <c r="BI8" i="4"/>
  <c r="AV8" i="4"/>
  <c r="AU8" i="4"/>
  <c r="AT8" i="4"/>
  <c r="AS8" i="4"/>
  <c r="AR8" i="4"/>
  <c r="AF8" i="4"/>
  <c r="AE8" i="4"/>
  <c r="AD8" i="4"/>
  <c r="AC8" i="4"/>
  <c r="AB8" i="4"/>
  <c r="M8" i="4"/>
  <c r="DO7" i="4"/>
  <c r="DL7" i="4"/>
  <c r="CY7" i="4"/>
  <c r="CX7" i="4"/>
  <c r="CW7" i="4"/>
  <c r="CV7" i="4"/>
  <c r="CI7" i="4"/>
  <c r="CH7" i="4"/>
  <c r="CG7" i="4"/>
  <c r="BS7" i="4"/>
  <c r="BR7" i="4"/>
  <c r="BQ7" i="4"/>
  <c r="BP7" i="4"/>
  <c r="BC7" i="4"/>
  <c r="BB7" i="4"/>
  <c r="BA7" i="4"/>
  <c r="AZ7" i="4"/>
  <c r="W7" i="4"/>
  <c r="V7" i="4"/>
  <c r="U7" i="4"/>
  <c r="EG6" i="4" a="1"/>
  <c r="EG6" i="4" s="1"/>
  <c r="EF6" i="4" a="1"/>
  <c r="EF6" i="4" s="1"/>
  <c r="EE6" i="4" a="1"/>
  <c r="EE6" i="4" s="1"/>
  <c r="EE8" i="4" s="1"/>
  <c r="ED6" i="4" a="1"/>
  <c r="ED6" i="4" s="1"/>
  <c r="ED8" i="4" s="1"/>
  <c r="EC6" i="4" a="1"/>
  <c r="EC6" i="4" s="1"/>
  <c r="EC8" i="4" s="1"/>
  <c r="EB6" i="4" a="1"/>
  <c r="EB6" i="4" s="1"/>
  <c r="EB8" i="4" s="1"/>
  <c r="EA6" i="4" a="1"/>
  <c r="EA6" i="4" s="1"/>
  <c r="DZ6" i="4" a="1"/>
  <c r="DZ6" i="4" s="1"/>
  <c r="DY6" i="4" a="1"/>
  <c r="DY6" i="4" s="1"/>
  <c r="DX6" i="4" a="1"/>
  <c r="DX6" i="4" s="1"/>
  <c r="DX7" i="4" s="1"/>
  <c r="DW6" i="4" a="1"/>
  <c r="DW6" i="4" s="1"/>
  <c r="DW7" i="4" s="1"/>
  <c r="DV6" i="4" a="1"/>
  <c r="DV6" i="4" s="1"/>
  <c r="DV7" i="4" s="1"/>
  <c r="DU6" i="4" a="1"/>
  <c r="DU6" i="4" s="1"/>
  <c r="DU7" i="4" s="1"/>
  <c r="DT6" i="4" a="1"/>
  <c r="DT6" i="4" s="1"/>
  <c r="DT7" i="4" s="1"/>
  <c r="DS6" i="4" a="1"/>
  <c r="DS6" i="4" s="1"/>
  <c r="DR6" i="4" a="1"/>
  <c r="DR6" i="4" s="1"/>
  <c r="DQ6" i="4" a="1"/>
  <c r="DQ6" i="4" s="1"/>
  <c r="DP6" i="4" a="1"/>
  <c r="DP6" i="4" s="1"/>
  <c r="DO6" i="4" a="1"/>
  <c r="DO6" i="4" s="1"/>
  <c r="DO8" i="4" s="1"/>
  <c r="DN6" i="4" a="1"/>
  <c r="DN6" i="4" s="1"/>
  <c r="DN8" i="4" s="1"/>
  <c r="DM6" i="4" a="1"/>
  <c r="DM6" i="4" s="1"/>
  <c r="DM8" i="4" s="1"/>
  <c r="DL6" i="4" a="1"/>
  <c r="DL6" i="4" s="1"/>
  <c r="DL8" i="4" s="1"/>
  <c r="DK6" i="4" a="1"/>
  <c r="DK6" i="4" s="1"/>
  <c r="DJ6" i="4" a="1"/>
  <c r="DJ6" i="4" s="1"/>
  <c r="DI6" i="4" a="1"/>
  <c r="DI6" i="4" s="1"/>
  <c r="DH6" i="4" a="1"/>
  <c r="DH6" i="4" s="1"/>
  <c r="DH7" i="4" s="1"/>
  <c r="DG6" i="4" a="1"/>
  <c r="DG6" i="4" s="1"/>
  <c r="DG7" i="4" s="1"/>
  <c r="DF6" i="4" a="1"/>
  <c r="DF6" i="4" s="1"/>
  <c r="DF7" i="4" s="1"/>
  <c r="DE6" i="4" a="1"/>
  <c r="DE6" i="4" s="1"/>
  <c r="DE7" i="4" s="1"/>
  <c r="DD6" i="4" a="1"/>
  <c r="DD6" i="4" s="1"/>
  <c r="DD7" i="4" s="1"/>
  <c r="DC6" i="4" a="1"/>
  <c r="DC6" i="4" s="1"/>
  <c r="DB6" i="4"/>
  <c r="DB7" i="4" s="1"/>
  <c r="DB6" i="4" a="1"/>
  <c r="DA6" i="4" a="1"/>
  <c r="DA6" i="4" s="1"/>
  <c r="CZ6" i="4" a="1"/>
  <c r="CZ6" i="4" s="1"/>
  <c r="CY6" i="4" a="1"/>
  <c r="CY6" i="4" s="1"/>
  <c r="CY8" i="4" s="1"/>
  <c r="CX6" i="4" a="1"/>
  <c r="CX6" i="4" s="1"/>
  <c r="CX8" i="4" s="1"/>
  <c r="CW6" i="4" a="1"/>
  <c r="CW6" i="4" s="1"/>
  <c r="CW8" i="4" s="1"/>
  <c r="CV6" i="4" a="1"/>
  <c r="CV6" i="4" s="1"/>
  <c r="CV8" i="4" s="1"/>
  <c r="CU6" i="4" a="1"/>
  <c r="CU6" i="4" s="1"/>
  <c r="CT6" i="4" a="1"/>
  <c r="CT6" i="4" s="1"/>
  <c r="CS6" i="4" a="1"/>
  <c r="CS6" i="4" s="1"/>
  <c r="CR6" i="4" a="1"/>
  <c r="CR6" i="4" s="1"/>
  <c r="CR7" i="4" s="1"/>
  <c r="CQ6" i="4" a="1"/>
  <c r="CQ6" i="4" s="1"/>
  <c r="CQ7" i="4" s="1"/>
  <c r="CP6" i="4" a="1"/>
  <c r="CP6" i="4" s="1"/>
  <c r="CP7" i="4" s="1"/>
  <c r="CO6" i="4" a="1"/>
  <c r="CO6" i="4" s="1"/>
  <c r="CO7" i="4" s="1"/>
  <c r="CN6" i="4" a="1"/>
  <c r="CN6" i="4" s="1"/>
  <c r="CN7" i="4" s="1"/>
  <c r="CM6" i="4" a="1"/>
  <c r="CM6" i="4" s="1"/>
  <c r="CL6" i="4" a="1"/>
  <c r="CL6" i="4" s="1"/>
  <c r="CK6" i="4" a="1"/>
  <c r="CK6" i="4" s="1"/>
  <c r="CJ6" i="4" a="1"/>
  <c r="CJ6" i="4" s="1"/>
  <c r="CI6" i="4" a="1"/>
  <c r="CI6" i="4" s="1"/>
  <c r="CI8" i="4" s="1"/>
  <c r="CH6" i="4" a="1"/>
  <c r="CH6" i="4" s="1"/>
  <c r="CH8" i="4" s="1"/>
  <c r="CG6" i="4" a="1"/>
  <c r="CG6" i="4" s="1"/>
  <c r="CG8" i="4" s="1"/>
  <c r="CF6" i="4" a="1"/>
  <c r="CF6" i="4" s="1"/>
  <c r="CF8" i="4" s="1"/>
  <c r="CE6" i="4" a="1"/>
  <c r="CE6" i="4" s="1"/>
  <c r="CD6" i="4" a="1"/>
  <c r="CD6" i="4" s="1"/>
  <c r="CC6" i="4" a="1"/>
  <c r="CC6" i="4" s="1"/>
  <c r="CB6" i="4" a="1"/>
  <c r="CB6" i="4" s="1"/>
  <c r="CB7" i="4" s="1"/>
  <c r="CA6" i="4" a="1"/>
  <c r="CA6" i="4" s="1"/>
  <c r="CA7" i="4" s="1"/>
  <c r="BZ6" i="4" a="1"/>
  <c r="BZ6" i="4" s="1"/>
  <c r="BZ7" i="4" s="1"/>
  <c r="BY6" i="4" a="1"/>
  <c r="BY6" i="4" s="1"/>
  <c r="BY7" i="4" s="1"/>
  <c r="BX6" i="4" a="1"/>
  <c r="BX6" i="4" s="1"/>
  <c r="BX7" i="4" s="1"/>
  <c r="BW6" i="4" a="1"/>
  <c r="BW6" i="4" s="1"/>
  <c r="BV6" i="4" a="1"/>
  <c r="BV6" i="4" s="1"/>
  <c r="BU6" i="4" a="1"/>
  <c r="BU6" i="4" s="1"/>
  <c r="BT6" i="4" a="1"/>
  <c r="BT6" i="4" s="1"/>
  <c r="BS6" i="4" a="1"/>
  <c r="BS6" i="4" s="1"/>
  <c r="BS8" i="4" s="1"/>
  <c r="BR6" i="4" a="1"/>
  <c r="BR6" i="4" s="1"/>
  <c r="BR8" i="4" s="1"/>
  <c r="BQ6" i="4" a="1"/>
  <c r="BQ6" i="4" s="1"/>
  <c r="BQ8" i="4" s="1"/>
  <c r="BP6" i="4" a="1"/>
  <c r="BP6" i="4" s="1"/>
  <c r="BP8" i="4" s="1"/>
  <c r="BO6" i="4" a="1"/>
  <c r="BO6" i="4" s="1"/>
  <c r="BN6" i="4" a="1"/>
  <c r="BN6" i="4" s="1"/>
  <c r="BM6" i="4" a="1"/>
  <c r="BM6" i="4" s="1"/>
  <c r="BL6" i="4" a="1"/>
  <c r="BL6" i="4" s="1"/>
  <c r="BL7" i="4" s="1"/>
  <c r="BK6" i="4" a="1"/>
  <c r="BK6" i="4" s="1"/>
  <c r="BK7" i="4" s="1"/>
  <c r="BJ6" i="4" a="1"/>
  <c r="BJ6" i="4" s="1"/>
  <c r="BJ7" i="4" s="1"/>
  <c r="BI6" i="4" a="1"/>
  <c r="BI6" i="4" s="1"/>
  <c r="BI7" i="4" s="1"/>
  <c r="BH6" i="4" a="1"/>
  <c r="BH6" i="4" s="1"/>
  <c r="BH7" i="4" s="1"/>
  <c r="BG6" i="4"/>
  <c r="BG7" i="4" s="1"/>
  <c r="BG6" i="4" a="1"/>
  <c r="BF6" i="4" a="1"/>
  <c r="BF6" i="4" s="1"/>
  <c r="BE6" i="4" a="1"/>
  <c r="BE6" i="4" s="1"/>
  <c r="BD6" i="4" a="1"/>
  <c r="BD6" i="4" s="1"/>
  <c r="BC6" i="4" a="1"/>
  <c r="BC6" i="4" s="1"/>
  <c r="BC8" i="4" s="1"/>
  <c r="BB6" i="4" a="1"/>
  <c r="BB6" i="4" s="1"/>
  <c r="BB8" i="4" s="1"/>
  <c r="BA6" i="4" a="1"/>
  <c r="BA6" i="4" s="1"/>
  <c r="BA8" i="4" s="1"/>
  <c r="AZ6" i="4" a="1"/>
  <c r="AZ6" i="4" s="1"/>
  <c r="AZ8" i="4" s="1"/>
  <c r="AY6" i="4" a="1"/>
  <c r="AY6" i="4" s="1"/>
  <c r="AX6" i="4" a="1"/>
  <c r="AX6" i="4" s="1"/>
  <c r="AW6" i="4" a="1"/>
  <c r="AW6" i="4" s="1"/>
  <c r="AV6" i="4" a="1"/>
  <c r="AV6" i="4" s="1"/>
  <c r="AV7" i="4" s="1"/>
  <c r="AU6" i="4" a="1"/>
  <c r="AU6" i="4" s="1"/>
  <c r="AU7" i="4" s="1"/>
  <c r="AT6" i="4" a="1"/>
  <c r="AT6" i="4" s="1"/>
  <c r="AT7" i="4" s="1"/>
  <c r="AS6" i="4" a="1"/>
  <c r="AS6" i="4" s="1"/>
  <c r="AS7" i="4" s="1"/>
  <c r="AR6" i="4" a="1"/>
  <c r="AR6" i="4" s="1"/>
  <c r="AR7" i="4" s="1"/>
  <c r="AQ6" i="4" a="1"/>
  <c r="AQ6" i="4" s="1"/>
  <c r="AP6" i="4" a="1"/>
  <c r="AP6" i="4" s="1"/>
  <c r="AO6" i="4" a="1"/>
  <c r="AO6" i="4" s="1"/>
  <c r="AN6" i="4" a="1"/>
  <c r="AN6" i="4" s="1"/>
  <c r="AM6" i="4" a="1"/>
  <c r="AM6" i="4" s="1"/>
  <c r="AM8" i="4" s="1"/>
  <c r="AL6" i="4" a="1"/>
  <c r="AL6" i="4" s="1"/>
  <c r="AL8" i="4" s="1"/>
  <c r="AK6" i="4" a="1"/>
  <c r="AK6" i="4" s="1"/>
  <c r="AK8" i="4" s="1"/>
  <c r="AJ6" i="4" a="1"/>
  <c r="AJ6" i="4" s="1"/>
  <c r="AJ8" i="4" s="1"/>
  <c r="AI6" i="4" a="1"/>
  <c r="AI6" i="4" s="1"/>
  <c r="AH6" i="4" a="1"/>
  <c r="AH6" i="4" s="1"/>
  <c r="AG6" i="4" a="1"/>
  <c r="AG6" i="4" s="1"/>
  <c r="AF6" i="4" a="1"/>
  <c r="AF6" i="4" s="1"/>
  <c r="AF7" i="4" s="1"/>
  <c r="AE6" i="4" a="1"/>
  <c r="AE6" i="4" s="1"/>
  <c r="AE7" i="4" s="1"/>
  <c r="AD6" i="4" a="1"/>
  <c r="AD6" i="4" s="1"/>
  <c r="AD7" i="4" s="1"/>
  <c r="AC6" i="4" a="1"/>
  <c r="AC6" i="4" s="1"/>
  <c r="AC7" i="4" s="1"/>
  <c r="AB6" i="4" a="1"/>
  <c r="AB6" i="4" s="1"/>
  <c r="AB7" i="4" s="1"/>
  <c r="AA6" i="4" a="1"/>
  <c r="AA6" i="4" s="1"/>
  <c r="Z6" i="4" a="1"/>
  <c r="Z6" i="4" s="1"/>
  <c r="Y6" i="4"/>
  <c r="Y6" i="4" a="1"/>
  <c r="X6" i="4" a="1"/>
  <c r="X6" i="4" s="1"/>
  <c r="W6" i="4" a="1"/>
  <c r="W6" i="4" s="1"/>
  <c r="W8" i="4" s="1"/>
  <c r="V6" i="4" a="1"/>
  <c r="V6" i="4" s="1"/>
  <c r="V8" i="4" s="1"/>
  <c r="U6" i="4" a="1"/>
  <c r="U6" i="4" s="1"/>
  <c r="U8" i="4" s="1"/>
  <c r="T6" i="4" a="1"/>
  <c r="T6" i="4" s="1"/>
  <c r="S6" i="4" a="1"/>
  <c r="S6" i="4" s="1"/>
  <c r="R6" i="4" a="1"/>
  <c r="R6" i="4" s="1"/>
  <c r="Q6" i="4" a="1"/>
  <c r="Q6" i="4" s="1"/>
  <c r="P6" i="4" a="1"/>
  <c r="P6" i="4" s="1"/>
  <c r="P7" i="4" s="1"/>
  <c r="O6" i="4" a="1"/>
  <c r="O6" i="4" s="1"/>
  <c r="O7" i="4" s="1"/>
  <c r="N6" i="4" a="1"/>
  <c r="N6" i="4" s="1"/>
  <c r="N7" i="4" s="1"/>
  <c r="M6" i="4" a="1"/>
  <c r="M6" i="4" s="1"/>
  <c r="M7" i="4" s="1"/>
  <c r="L6" i="4" a="1"/>
  <c r="L6" i="4" s="1"/>
  <c r="K6" i="4" a="1"/>
  <c r="K6" i="4" s="1"/>
  <c r="J6" i="4" a="1"/>
  <c r="J6" i="4" s="1"/>
  <c r="I6" i="4" a="1"/>
  <c r="I6" i="4" s="1"/>
  <c r="H6" i="4" a="1"/>
  <c r="H6" i="4" s="1"/>
  <c r="G6" i="4" a="1"/>
  <c r="G6" i="4" s="1"/>
  <c r="G8" i="4" s="1"/>
  <c r="F6" i="4" a="1"/>
  <c r="F6" i="4" s="1"/>
  <c r="F8" i="4" s="1"/>
  <c r="E6" i="4" a="1"/>
  <c r="E6" i="4" s="1"/>
  <c r="E8" i="4" s="1"/>
  <c r="D6" i="4" a="1"/>
  <c r="D6" i="4" s="1"/>
  <c r="C6" i="4"/>
  <c r="C8" i="4" s="1"/>
  <c r="C6" i="4" a="1"/>
  <c r="EH24" i="3"/>
  <c r="EG24" i="3"/>
  <c r="EH23" i="3"/>
  <c r="EG23" i="3"/>
  <c r="EH22" i="3"/>
  <c r="EG22" i="3"/>
  <c r="EH21" i="3"/>
  <c r="EG21" i="3"/>
  <c r="EH20" i="3"/>
  <c r="EG20" i="3"/>
  <c r="EH19" i="3"/>
  <c r="EG19" i="3"/>
  <c r="EH18" i="3"/>
  <c r="EG18" i="3"/>
  <c r="EH17" i="3"/>
  <c r="EG17" i="3"/>
  <c r="EH16" i="3"/>
  <c r="EG16" i="3"/>
  <c r="EH15" i="3"/>
  <c r="EG15" i="3"/>
  <c r="EH14" i="3"/>
  <c r="EG14" i="3"/>
  <c r="EH13" i="3"/>
  <c r="EG13" i="3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EH12" i="3" s="1"/>
  <c r="DH8" i="3"/>
  <c r="DG8" i="3"/>
  <c r="CN8" i="3"/>
  <c r="CM8" i="3"/>
  <c r="CL8" i="3"/>
  <c r="BO8" i="3"/>
  <c r="BL8" i="3"/>
  <c r="AV8" i="3"/>
  <c r="AF8" i="3"/>
  <c r="AE8" i="3"/>
  <c r="AD8" i="3"/>
  <c r="EE7" i="3"/>
  <c r="ED7" i="3"/>
  <c r="DP7" i="3"/>
  <c r="DO7" i="3"/>
  <c r="DN7" i="3"/>
  <c r="CX7" i="3"/>
  <c r="CK7" i="3"/>
  <c r="CJ7" i="3"/>
  <c r="CI7" i="3"/>
  <c r="CH7" i="3"/>
  <c r="BT7" i="3"/>
  <c r="BS7" i="3"/>
  <c r="BR7" i="3"/>
  <c r="BO7" i="3"/>
  <c r="AO7" i="3"/>
  <c r="AN7" i="3"/>
  <c r="AM7" i="3"/>
  <c r="AL7" i="3"/>
  <c r="AK7" i="3"/>
  <c r="X7" i="3"/>
  <c r="W7" i="3"/>
  <c r="V7" i="3"/>
  <c r="K7" i="3"/>
  <c r="EG6" i="3" a="1"/>
  <c r="EG6" i="3" s="1"/>
  <c r="EF6" i="3" a="1"/>
  <c r="EF6" i="3" s="1"/>
  <c r="EE6" i="3" a="1"/>
  <c r="EE6" i="3" s="1"/>
  <c r="EE8" i="3" s="1"/>
  <c r="ED6" i="3" a="1"/>
  <c r="ED6" i="3" s="1"/>
  <c r="ED8" i="3" s="1"/>
  <c r="EC6" i="3" a="1"/>
  <c r="EC6" i="3" s="1"/>
  <c r="EB6" i="3"/>
  <c r="EB8" i="3" s="1"/>
  <c r="EB6" i="3" a="1"/>
  <c r="EA6" i="3" a="1"/>
  <c r="EA6" i="3" s="1"/>
  <c r="EA8" i="3" s="1"/>
  <c r="DZ6" i="3" a="1"/>
  <c r="DZ6" i="3" s="1"/>
  <c r="DY6" i="3" a="1"/>
  <c r="DY6" i="3" s="1"/>
  <c r="DX6" i="3" a="1"/>
  <c r="DX6" i="3" s="1"/>
  <c r="DX7" i="3" s="1"/>
  <c r="DW6" i="3" a="1"/>
  <c r="DW6" i="3" s="1"/>
  <c r="DW7" i="3" s="1"/>
  <c r="DV6" i="3" a="1"/>
  <c r="DV6" i="3" s="1"/>
  <c r="DV7" i="3" s="1"/>
  <c r="DU6" i="3" a="1"/>
  <c r="DU6" i="3" s="1"/>
  <c r="DT6" i="3" a="1"/>
  <c r="DT6" i="3" s="1"/>
  <c r="DS6" i="3" a="1"/>
  <c r="DS6" i="3" s="1"/>
  <c r="DR6" i="3" a="1"/>
  <c r="DR6" i="3" s="1"/>
  <c r="DQ6" i="3" a="1"/>
  <c r="DQ6" i="3" s="1"/>
  <c r="DP6" i="3" a="1"/>
  <c r="DP6" i="3" s="1"/>
  <c r="DP8" i="3" s="1"/>
  <c r="DO6" i="3" a="1"/>
  <c r="DO6" i="3" s="1"/>
  <c r="DO8" i="3" s="1"/>
  <c r="DN6" i="3" a="1"/>
  <c r="DN6" i="3" s="1"/>
  <c r="DN8" i="3" s="1"/>
  <c r="DM6" i="3" a="1"/>
  <c r="DM6" i="3" s="1"/>
  <c r="DL6" i="3" a="1"/>
  <c r="DL6" i="3" s="1"/>
  <c r="DK6" i="3" a="1"/>
  <c r="DK6" i="3" s="1"/>
  <c r="DJ6" i="3" a="1"/>
  <c r="DJ6" i="3" s="1"/>
  <c r="DI6" i="3"/>
  <c r="DI8" i="3" s="1"/>
  <c r="DI6" i="3" a="1"/>
  <c r="DH6" i="3" a="1"/>
  <c r="DH6" i="3" s="1"/>
  <c r="DH7" i="3" s="1"/>
  <c r="DG6" i="3" a="1"/>
  <c r="DG6" i="3" s="1"/>
  <c r="DG7" i="3" s="1"/>
  <c r="DF6" i="3" a="1"/>
  <c r="DF6" i="3" s="1"/>
  <c r="DF7" i="3" s="1"/>
  <c r="DE6" i="3" a="1"/>
  <c r="DE6" i="3" s="1"/>
  <c r="DD6" i="3" a="1"/>
  <c r="DD6" i="3" s="1"/>
  <c r="DC6" i="3" a="1"/>
  <c r="DC6" i="3" s="1"/>
  <c r="DC8" i="3" s="1"/>
  <c r="DB6" i="3" a="1"/>
  <c r="DB6" i="3" s="1"/>
  <c r="DA6" i="3" a="1"/>
  <c r="DA6" i="3" s="1"/>
  <c r="CZ6" i="3" a="1"/>
  <c r="CZ6" i="3" s="1"/>
  <c r="CY6" i="3" a="1"/>
  <c r="CY6" i="3" s="1"/>
  <c r="CX6" i="3" a="1"/>
  <c r="CX6" i="3" s="1"/>
  <c r="CX8" i="3" s="1"/>
  <c r="CW6" i="3" a="1"/>
  <c r="CW6" i="3" s="1"/>
  <c r="CV6" i="3" a="1"/>
  <c r="CV6" i="3" s="1"/>
  <c r="CU6" i="3" a="1"/>
  <c r="CU6" i="3" s="1"/>
  <c r="CT6" i="3" a="1"/>
  <c r="CT6" i="3" s="1"/>
  <c r="CS6" i="3" a="1"/>
  <c r="CS6" i="3" s="1"/>
  <c r="CR6" i="3" a="1"/>
  <c r="CR6" i="3" s="1"/>
  <c r="CQ6" i="3" a="1"/>
  <c r="CQ6" i="3" s="1"/>
  <c r="CP6" i="3" a="1"/>
  <c r="CP6" i="3" s="1"/>
  <c r="CP7" i="3" s="1"/>
  <c r="CO6" i="3"/>
  <c r="CO7" i="3" s="1"/>
  <c r="CO6" i="3" a="1"/>
  <c r="CN6" i="3" a="1"/>
  <c r="CN6" i="3" s="1"/>
  <c r="CN7" i="3" s="1"/>
  <c r="CM6" i="3" a="1"/>
  <c r="CM6" i="3" s="1"/>
  <c r="CM7" i="3" s="1"/>
  <c r="CL6" i="3" a="1"/>
  <c r="CL6" i="3" s="1"/>
  <c r="CL7" i="3" s="1"/>
  <c r="CK6" i="3" a="1"/>
  <c r="CK6" i="3" s="1"/>
  <c r="CK8" i="3" s="1"/>
  <c r="CJ6" i="3" a="1"/>
  <c r="CJ6" i="3" s="1"/>
  <c r="CJ8" i="3" s="1"/>
  <c r="CI6" i="3" a="1"/>
  <c r="CI6" i="3" s="1"/>
  <c r="CI8" i="3" s="1"/>
  <c r="CH6" i="3" a="1"/>
  <c r="CH6" i="3" s="1"/>
  <c r="CH8" i="3" s="1"/>
  <c r="CG6" i="3" a="1"/>
  <c r="CG6" i="3" s="1"/>
  <c r="CF6" i="3" a="1"/>
  <c r="CF6" i="3" s="1"/>
  <c r="CE6" i="3"/>
  <c r="CE6" i="3" a="1"/>
  <c r="CD6" i="3" a="1"/>
  <c r="CD6" i="3" s="1"/>
  <c r="CC6" i="3" a="1"/>
  <c r="CC6" i="3" s="1"/>
  <c r="CB6" i="3" a="1"/>
  <c r="CB6" i="3" s="1"/>
  <c r="CB7" i="3" s="1"/>
  <c r="CA6" i="3" a="1"/>
  <c r="CA6" i="3" s="1"/>
  <c r="CA7" i="3" s="1"/>
  <c r="BZ6" i="3" a="1"/>
  <c r="BZ6" i="3" s="1"/>
  <c r="BZ7" i="3" s="1"/>
  <c r="BY6" i="3" a="1"/>
  <c r="BY6" i="3" s="1"/>
  <c r="BX6" i="3" a="1"/>
  <c r="BX6" i="3" s="1"/>
  <c r="BW6" i="3" a="1"/>
  <c r="BW6" i="3" s="1"/>
  <c r="BV6" i="3" a="1"/>
  <c r="BV6" i="3" s="1"/>
  <c r="BU6" i="3" a="1"/>
  <c r="BU6" i="3" s="1"/>
  <c r="BT6" i="3" a="1"/>
  <c r="BT6" i="3" s="1"/>
  <c r="BT8" i="3" s="1"/>
  <c r="BS6" i="3" a="1"/>
  <c r="BS6" i="3" s="1"/>
  <c r="BS8" i="3" s="1"/>
  <c r="BR6" i="3" a="1"/>
  <c r="BR6" i="3" s="1"/>
  <c r="BR8" i="3" s="1"/>
  <c r="BQ6" i="3" a="1"/>
  <c r="BQ6" i="3" s="1"/>
  <c r="BP6" i="3" a="1"/>
  <c r="BP6" i="3" s="1"/>
  <c r="BP8" i="3" s="1"/>
  <c r="BO6" i="3" a="1"/>
  <c r="BO6" i="3" s="1"/>
  <c r="BN6" i="3" a="1"/>
  <c r="BN6" i="3" s="1"/>
  <c r="BM6" i="3" a="1"/>
  <c r="BM6" i="3" s="1"/>
  <c r="BL6" i="3" a="1"/>
  <c r="BL6" i="3" s="1"/>
  <c r="BL7" i="3" s="1"/>
  <c r="BK6" i="3" a="1"/>
  <c r="BK6" i="3" s="1"/>
  <c r="BK7" i="3" s="1"/>
  <c r="BJ6" i="3" a="1"/>
  <c r="BJ6" i="3" s="1"/>
  <c r="BJ7" i="3" s="1"/>
  <c r="BI6" i="3" a="1"/>
  <c r="BI6" i="3" s="1"/>
  <c r="BH6" i="3" a="1"/>
  <c r="BH6" i="3" s="1"/>
  <c r="BG6" i="3" a="1"/>
  <c r="BG6" i="3" s="1"/>
  <c r="BG8" i="3" s="1"/>
  <c r="BF6" i="3" a="1"/>
  <c r="BF6" i="3" s="1"/>
  <c r="BF8" i="3" s="1"/>
  <c r="BE6" i="3" a="1"/>
  <c r="BE6" i="3" s="1"/>
  <c r="BD6" i="3" a="1"/>
  <c r="BD6" i="3" s="1"/>
  <c r="BC6" i="3" a="1"/>
  <c r="BC6" i="3" s="1"/>
  <c r="BB6" i="3" a="1"/>
  <c r="BB6" i="3" s="1"/>
  <c r="BA6" i="3"/>
  <c r="BA6" i="3" a="1"/>
  <c r="AZ6" i="3" a="1"/>
  <c r="AZ6" i="3" s="1"/>
  <c r="AY6" i="3" a="1"/>
  <c r="AY6" i="3" s="1"/>
  <c r="AX6" i="3" a="1"/>
  <c r="AX6" i="3" s="1"/>
  <c r="AW6" i="3" a="1"/>
  <c r="AW6" i="3" s="1"/>
  <c r="AV6" i="3" a="1"/>
  <c r="AV6" i="3" s="1"/>
  <c r="AV7" i="3" s="1"/>
  <c r="AU6" i="3" a="1"/>
  <c r="AU6" i="3" s="1"/>
  <c r="AU7" i="3" s="1"/>
  <c r="AT6" i="3" a="1"/>
  <c r="AT6" i="3" s="1"/>
  <c r="AT7" i="3" s="1"/>
  <c r="AS6" i="3" a="1"/>
  <c r="AS6" i="3" s="1"/>
  <c r="AR6" i="3" a="1"/>
  <c r="AR6" i="3" s="1"/>
  <c r="AQ6" i="3" a="1"/>
  <c r="AQ6" i="3" s="1"/>
  <c r="AQ7" i="3" s="1"/>
  <c r="AP6" i="3" a="1"/>
  <c r="AP6" i="3" s="1"/>
  <c r="AP8" i="3" s="1"/>
  <c r="AO6" i="3" a="1"/>
  <c r="AO6" i="3" s="1"/>
  <c r="AO8" i="3" s="1"/>
  <c r="AN6" i="3" a="1"/>
  <c r="AN6" i="3" s="1"/>
  <c r="AN8" i="3" s="1"/>
  <c r="AM6" i="3" a="1"/>
  <c r="AM6" i="3" s="1"/>
  <c r="AM8" i="3" s="1"/>
  <c r="AL6" i="3" a="1"/>
  <c r="AL6" i="3" s="1"/>
  <c r="AL8" i="3" s="1"/>
  <c r="AK6" i="3" a="1"/>
  <c r="AK6" i="3" s="1"/>
  <c r="AK8" i="3" s="1"/>
  <c r="AJ6" i="3" a="1"/>
  <c r="AJ6" i="3" s="1"/>
  <c r="AI6" i="3" a="1"/>
  <c r="AI6" i="3" s="1"/>
  <c r="AH6" i="3"/>
  <c r="AH6" i="3" a="1"/>
  <c r="AG6" i="3" a="1"/>
  <c r="AG6" i="3" s="1"/>
  <c r="AF6" i="3" a="1"/>
  <c r="AF6" i="3" s="1"/>
  <c r="AF7" i="3" s="1"/>
  <c r="AE6" i="3" a="1"/>
  <c r="AE6" i="3" s="1"/>
  <c r="AE7" i="3" s="1"/>
  <c r="AD6" i="3" a="1"/>
  <c r="AD6" i="3" s="1"/>
  <c r="AD7" i="3" s="1"/>
  <c r="AC6" i="3" a="1"/>
  <c r="AC6" i="3" s="1"/>
  <c r="AB6" i="3" a="1"/>
  <c r="AB6" i="3" s="1"/>
  <c r="AA6" i="3" a="1"/>
  <c r="AA6" i="3" s="1"/>
  <c r="Z6" i="3" a="1"/>
  <c r="Z6" i="3" s="1"/>
  <c r="Y6" i="3" a="1"/>
  <c r="Y6" i="3" s="1"/>
  <c r="X6" i="3" a="1"/>
  <c r="X6" i="3" s="1"/>
  <c r="X8" i="3" s="1"/>
  <c r="W6" i="3" a="1"/>
  <c r="W6" i="3" s="1"/>
  <c r="W8" i="3" s="1"/>
  <c r="V6" i="3" a="1"/>
  <c r="V6" i="3" s="1"/>
  <c r="V8" i="3" s="1"/>
  <c r="U6" i="3" a="1"/>
  <c r="U6" i="3" s="1"/>
  <c r="U8" i="3" s="1"/>
  <c r="T6" i="3" a="1"/>
  <c r="T6" i="3" s="1"/>
  <c r="T7" i="3" s="1"/>
  <c r="S6" i="3" a="1"/>
  <c r="S6" i="3" s="1"/>
  <c r="S7" i="3" s="1"/>
  <c r="R6" i="3" a="1"/>
  <c r="R6" i="3" s="1"/>
  <c r="R8" i="3" s="1"/>
  <c r="Q6" i="3" a="1"/>
  <c r="Q6" i="3" s="1"/>
  <c r="P6" i="3" a="1"/>
  <c r="P6" i="3" s="1"/>
  <c r="O6" i="3" a="1"/>
  <c r="O6" i="3" s="1"/>
  <c r="N6" i="3" a="1"/>
  <c r="N6" i="3" s="1"/>
  <c r="M6" i="3" a="1"/>
  <c r="M6" i="3" s="1"/>
  <c r="L6" i="3" a="1"/>
  <c r="L6" i="3" s="1"/>
  <c r="K6" i="3" a="1"/>
  <c r="K6" i="3" s="1"/>
  <c r="K8" i="3" s="1"/>
  <c r="J6" i="3" a="1"/>
  <c r="J6" i="3" s="1"/>
  <c r="I6" i="3" a="1"/>
  <c r="I6" i="3" s="1"/>
  <c r="H6" i="3" a="1"/>
  <c r="H6" i="3" s="1"/>
  <c r="G6" i="3" a="1"/>
  <c r="G6" i="3" s="1"/>
  <c r="F6" i="3" a="1"/>
  <c r="F6" i="3" s="1"/>
  <c r="E6" i="3" a="1"/>
  <c r="E6" i="3" s="1"/>
  <c r="D6" i="3"/>
  <c r="D6" i="3" a="1"/>
  <c r="C6" i="3" a="1"/>
  <c r="C6" i="3" s="1"/>
  <c r="CL7" i="6" l="1"/>
  <c r="CL8" i="6"/>
  <c r="DD7" i="6"/>
  <c r="DD8" i="6"/>
  <c r="DF7" i="6"/>
  <c r="DF8" i="6"/>
  <c r="CU8" i="6"/>
  <c r="CU7" i="6"/>
  <c r="CV8" i="6"/>
  <c r="CV7" i="6"/>
  <c r="E8" i="6"/>
  <c r="E7" i="6"/>
  <c r="U8" i="6"/>
  <c r="U7" i="6"/>
  <c r="AK8" i="6"/>
  <c r="AK7" i="6"/>
  <c r="BA8" i="6"/>
  <c r="BA7" i="6"/>
  <c r="BQ8" i="6"/>
  <c r="BQ7" i="6"/>
  <c r="CG8" i="6"/>
  <c r="CG7" i="6"/>
  <c r="CW8" i="6"/>
  <c r="CW7" i="6"/>
  <c r="DM8" i="6"/>
  <c r="DM7" i="6"/>
  <c r="EC8" i="6"/>
  <c r="EC7" i="6"/>
  <c r="F8" i="6"/>
  <c r="F7" i="6"/>
  <c r="V8" i="6"/>
  <c r="V7" i="6"/>
  <c r="AL8" i="6"/>
  <c r="AL7" i="6"/>
  <c r="BB8" i="6"/>
  <c r="BB7" i="6"/>
  <c r="BR8" i="6"/>
  <c r="BR7" i="6"/>
  <c r="CH8" i="6"/>
  <c r="CH7" i="6"/>
  <c r="CX8" i="6"/>
  <c r="CX7" i="6"/>
  <c r="DN8" i="6"/>
  <c r="DN7" i="6"/>
  <c r="ED8" i="6"/>
  <c r="ED7" i="6"/>
  <c r="G8" i="6"/>
  <c r="G7" i="6"/>
  <c r="W8" i="6"/>
  <c r="W7" i="6"/>
  <c r="AM8" i="6"/>
  <c r="AM7" i="6"/>
  <c r="BC8" i="6"/>
  <c r="BC7" i="6"/>
  <c r="BS8" i="6"/>
  <c r="BS7" i="6"/>
  <c r="CI8" i="6"/>
  <c r="CI7" i="6"/>
  <c r="CY8" i="6"/>
  <c r="CY7" i="6"/>
  <c r="DO8" i="6"/>
  <c r="DO7" i="6"/>
  <c r="EE8" i="6"/>
  <c r="EE7" i="6"/>
  <c r="DB7" i="6"/>
  <c r="DB8" i="6"/>
  <c r="CN7" i="6"/>
  <c r="CN8" i="6"/>
  <c r="DK8" i="6"/>
  <c r="DK7" i="6"/>
  <c r="EB8" i="6"/>
  <c r="EB7" i="6"/>
  <c r="H8" i="6"/>
  <c r="H7" i="6"/>
  <c r="X8" i="6"/>
  <c r="X7" i="6"/>
  <c r="AN8" i="6"/>
  <c r="AN7" i="6"/>
  <c r="BD8" i="6"/>
  <c r="BD7" i="6"/>
  <c r="BT8" i="6"/>
  <c r="BT7" i="6"/>
  <c r="CJ8" i="6"/>
  <c r="CJ7" i="6"/>
  <c r="CZ8" i="6"/>
  <c r="CZ7" i="6"/>
  <c r="DP8" i="6"/>
  <c r="DP7" i="6"/>
  <c r="EF8" i="6"/>
  <c r="EF7" i="6"/>
  <c r="J7" i="6"/>
  <c r="J8" i="6"/>
  <c r="Z7" i="6"/>
  <c r="Z8" i="6"/>
  <c r="AP7" i="6"/>
  <c r="AP8" i="6"/>
  <c r="BF7" i="6"/>
  <c r="BF8" i="6"/>
  <c r="BV7" i="6"/>
  <c r="BV8" i="6"/>
  <c r="DR7" i="6"/>
  <c r="DR8" i="6"/>
  <c r="K7" i="6"/>
  <c r="K8" i="6"/>
  <c r="AA7" i="6"/>
  <c r="AA8" i="6"/>
  <c r="AQ7" i="6"/>
  <c r="AQ8" i="6"/>
  <c r="BG7" i="6"/>
  <c r="BG8" i="6"/>
  <c r="BW7" i="6"/>
  <c r="BW8" i="6"/>
  <c r="CM7" i="6"/>
  <c r="CM8" i="6"/>
  <c r="DC7" i="6"/>
  <c r="DC8" i="6"/>
  <c r="DS7" i="6"/>
  <c r="DS8" i="6"/>
  <c r="L7" i="6"/>
  <c r="L8" i="6"/>
  <c r="AB7" i="6"/>
  <c r="AB8" i="6"/>
  <c r="AR7" i="6"/>
  <c r="AR8" i="6"/>
  <c r="BH7" i="6"/>
  <c r="BH8" i="6"/>
  <c r="BX7" i="6"/>
  <c r="BX8" i="6"/>
  <c r="DT7" i="6"/>
  <c r="DT8" i="6"/>
  <c r="M7" i="6"/>
  <c r="M8" i="6"/>
  <c r="AC7" i="6"/>
  <c r="AC8" i="6"/>
  <c r="AS7" i="6"/>
  <c r="AS8" i="6"/>
  <c r="BI7" i="6"/>
  <c r="BI8" i="6"/>
  <c r="BY7" i="6"/>
  <c r="BY8" i="6"/>
  <c r="CO7" i="6"/>
  <c r="CO8" i="6"/>
  <c r="DE7" i="6"/>
  <c r="DE8" i="6"/>
  <c r="DU7" i="6"/>
  <c r="DU8" i="6"/>
  <c r="N7" i="6"/>
  <c r="N8" i="6"/>
  <c r="AD7" i="6"/>
  <c r="AD8" i="6"/>
  <c r="AT7" i="6"/>
  <c r="AT8" i="6"/>
  <c r="BJ7" i="6"/>
  <c r="BJ8" i="6"/>
  <c r="BZ7" i="6"/>
  <c r="BZ8" i="6"/>
  <c r="CP7" i="6"/>
  <c r="CP8" i="6"/>
  <c r="DV7" i="6"/>
  <c r="DV8" i="6"/>
  <c r="O7" i="6"/>
  <c r="O8" i="6"/>
  <c r="AE7" i="6"/>
  <c r="AE8" i="6"/>
  <c r="AU7" i="6"/>
  <c r="AU8" i="6"/>
  <c r="BK7" i="6"/>
  <c r="BK8" i="6"/>
  <c r="CA7" i="6"/>
  <c r="CA8" i="6"/>
  <c r="CQ7" i="6"/>
  <c r="CQ8" i="6"/>
  <c r="DG7" i="6"/>
  <c r="DG8" i="6"/>
  <c r="DW7" i="6"/>
  <c r="DW8" i="6"/>
  <c r="P7" i="6"/>
  <c r="P8" i="6"/>
  <c r="AF7" i="6"/>
  <c r="AF8" i="6"/>
  <c r="AV7" i="6"/>
  <c r="AV8" i="6"/>
  <c r="BL7" i="6"/>
  <c r="BL8" i="6"/>
  <c r="CB7" i="6"/>
  <c r="CB8" i="6"/>
  <c r="CR7" i="6"/>
  <c r="CR8" i="6"/>
  <c r="DH7" i="6"/>
  <c r="DH8" i="6"/>
  <c r="DX7" i="6"/>
  <c r="DX8" i="6"/>
  <c r="Q8" i="6"/>
  <c r="Q7" i="6"/>
  <c r="AG8" i="6"/>
  <c r="AG7" i="6"/>
  <c r="AW8" i="6"/>
  <c r="AW7" i="6"/>
  <c r="BM8" i="6"/>
  <c r="BM7" i="6"/>
  <c r="CC8" i="6"/>
  <c r="CC7" i="6"/>
  <c r="CS8" i="6"/>
  <c r="CS7" i="6"/>
  <c r="DI8" i="6"/>
  <c r="DI7" i="6"/>
  <c r="DY8" i="6"/>
  <c r="DY7" i="6"/>
  <c r="R8" i="6"/>
  <c r="R7" i="6"/>
  <c r="AH8" i="6"/>
  <c r="AH7" i="6"/>
  <c r="AX8" i="6"/>
  <c r="AX7" i="6"/>
  <c r="BN8" i="6"/>
  <c r="BN7" i="6"/>
  <c r="CD8" i="6"/>
  <c r="CD7" i="6"/>
  <c r="CT8" i="6"/>
  <c r="CT7" i="6"/>
  <c r="DJ8" i="6"/>
  <c r="DJ7" i="6"/>
  <c r="DZ8" i="6"/>
  <c r="DZ7" i="6"/>
  <c r="C8" i="6"/>
  <c r="C7" i="6"/>
  <c r="S8" i="6"/>
  <c r="S7" i="6"/>
  <c r="AI8" i="6"/>
  <c r="AI7" i="6"/>
  <c r="AY8" i="6"/>
  <c r="AY7" i="6"/>
  <c r="BO8" i="6"/>
  <c r="BO7" i="6"/>
  <c r="CE8" i="6"/>
  <c r="CE7" i="6"/>
  <c r="EA8" i="6"/>
  <c r="EA7" i="6"/>
  <c r="D8" i="6"/>
  <c r="D7" i="6"/>
  <c r="T8" i="6"/>
  <c r="T7" i="6"/>
  <c r="AJ8" i="6"/>
  <c r="AJ7" i="6"/>
  <c r="AZ8" i="6"/>
  <c r="AZ7" i="6"/>
  <c r="BP8" i="6"/>
  <c r="BP7" i="6"/>
  <c r="CF8" i="6"/>
  <c r="CF7" i="6"/>
  <c r="DL8" i="6"/>
  <c r="DL7" i="6"/>
  <c r="I8" i="6"/>
  <c r="I7" i="6"/>
  <c r="Y8" i="6"/>
  <c r="Y7" i="6"/>
  <c r="AO8" i="6"/>
  <c r="AO7" i="6"/>
  <c r="BE8" i="6"/>
  <c r="BE7" i="6"/>
  <c r="BU8" i="6"/>
  <c r="BU7" i="6"/>
  <c r="CK8" i="6"/>
  <c r="CK7" i="6"/>
  <c r="DA8" i="6"/>
  <c r="DA7" i="6"/>
  <c r="DQ8" i="6"/>
  <c r="DQ7" i="6"/>
  <c r="EG8" i="6"/>
  <c r="EG7" i="6"/>
  <c r="BT7" i="5"/>
  <c r="BT8" i="5"/>
  <c r="CX7" i="5"/>
  <c r="CX8" i="5"/>
  <c r="G7" i="5"/>
  <c r="G8" i="5"/>
  <c r="BJ8" i="5"/>
  <c r="BJ7" i="5"/>
  <c r="V7" i="5"/>
  <c r="V8" i="5"/>
  <c r="AW8" i="5"/>
  <c r="AW7" i="5"/>
  <c r="BK8" i="5"/>
  <c r="BK7" i="5"/>
  <c r="DO7" i="5"/>
  <c r="DO8" i="5"/>
  <c r="Y7" i="5"/>
  <c r="Y8" i="5"/>
  <c r="CB8" i="5"/>
  <c r="CB7" i="5"/>
  <c r="DP7" i="5"/>
  <c r="DP8" i="5"/>
  <c r="CC8" i="5"/>
  <c r="CC7" i="5"/>
  <c r="N8" i="5"/>
  <c r="N7" i="5"/>
  <c r="O8" i="5"/>
  <c r="O7" i="5"/>
  <c r="AP7" i="5"/>
  <c r="AP8" i="5"/>
  <c r="BR7" i="5"/>
  <c r="BR8" i="5"/>
  <c r="P8" i="5"/>
  <c r="P7" i="5"/>
  <c r="BS7" i="5"/>
  <c r="BS8" i="5"/>
  <c r="DH8" i="5"/>
  <c r="DH7" i="5"/>
  <c r="BU7" i="5"/>
  <c r="BU8" i="5"/>
  <c r="AF8" i="5"/>
  <c r="AF7" i="5"/>
  <c r="AG8" i="5"/>
  <c r="AG7" i="5"/>
  <c r="DX8" i="5"/>
  <c r="DX7" i="5"/>
  <c r="F7" i="5"/>
  <c r="F8" i="5"/>
  <c r="AH8" i="5"/>
  <c r="AH7" i="5"/>
  <c r="CK7" i="5"/>
  <c r="CK8" i="5"/>
  <c r="CY7" i="5"/>
  <c r="CY8" i="5"/>
  <c r="DY8" i="5"/>
  <c r="DY7" i="5"/>
  <c r="W7" i="5"/>
  <c r="W8" i="5"/>
  <c r="X7" i="5"/>
  <c r="X8" i="5"/>
  <c r="CA8" i="5"/>
  <c r="CA7" i="5"/>
  <c r="AN7" i="5"/>
  <c r="AN8" i="5"/>
  <c r="BB7" i="5"/>
  <c r="BB8" i="5"/>
  <c r="DF8" i="5"/>
  <c r="DF7" i="5"/>
  <c r="BZ8" i="5"/>
  <c r="BZ7" i="5"/>
  <c r="EG7" i="5"/>
  <c r="EG8" i="5"/>
  <c r="BE8" i="5"/>
  <c r="AU8" i="5"/>
  <c r="AU7" i="5"/>
  <c r="EC8" i="5"/>
  <c r="EC7" i="5"/>
  <c r="CW7" i="5"/>
  <c r="CW8" i="5"/>
  <c r="DR7" i="5"/>
  <c r="DR8" i="5"/>
  <c r="DS8" i="5"/>
  <c r="DS7" i="5"/>
  <c r="EE7" i="5"/>
  <c r="EE8" i="5"/>
  <c r="EF7" i="5"/>
  <c r="EF8" i="5"/>
  <c r="DG7" i="5"/>
  <c r="DI7" i="5"/>
  <c r="DA7" i="5"/>
  <c r="DA8" i="5"/>
  <c r="DW8" i="5"/>
  <c r="DW7" i="5"/>
  <c r="AV8" i="5"/>
  <c r="AV7" i="5"/>
  <c r="AQ7" i="5"/>
  <c r="Z8" i="5"/>
  <c r="Q8" i="5"/>
  <c r="Q7" i="5"/>
  <c r="CQ8" i="5"/>
  <c r="CQ7" i="5"/>
  <c r="M7" i="5"/>
  <c r="DN8" i="5"/>
  <c r="R8" i="5"/>
  <c r="R7" i="5"/>
  <c r="AX8" i="5"/>
  <c r="AX7" i="5"/>
  <c r="CR8" i="5"/>
  <c r="CR7" i="5"/>
  <c r="BG7" i="5"/>
  <c r="AY8" i="5"/>
  <c r="AY7" i="5"/>
  <c r="CS8" i="5"/>
  <c r="CS7" i="5"/>
  <c r="CT8" i="5"/>
  <c r="CT7" i="5"/>
  <c r="BI7" i="5"/>
  <c r="CO7" i="5"/>
  <c r="DQ8" i="5"/>
  <c r="CU8" i="5"/>
  <c r="CU7" i="5"/>
  <c r="CP7" i="5"/>
  <c r="E8" i="5"/>
  <c r="AL8" i="5"/>
  <c r="CH8" i="5"/>
  <c r="ED7" i="5"/>
  <c r="ED8" i="5"/>
  <c r="BC8" i="5"/>
  <c r="BD8" i="5"/>
  <c r="AT8" i="5"/>
  <c r="AT7" i="5"/>
  <c r="CZ7" i="5"/>
  <c r="CZ8" i="5"/>
  <c r="DV8" i="5"/>
  <c r="DV7" i="5"/>
  <c r="C7" i="5"/>
  <c r="AI7" i="5"/>
  <c r="BQ8" i="5"/>
  <c r="J7" i="5"/>
  <c r="J8" i="5"/>
  <c r="AO7" i="5"/>
  <c r="AO8" i="5"/>
  <c r="BA7" i="5"/>
  <c r="BA8" i="5"/>
  <c r="AM8" i="5"/>
  <c r="CI8" i="5"/>
  <c r="AS7" i="5"/>
  <c r="BW7" i="5"/>
  <c r="DU7" i="5"/>
  <c r="BY7" i="5"/>
  <c r="BV8" i="5"/>
  <c r="AC7" i="5"/>
  <c r="DB8" i="5"/>
  <c r="EG12" i="3"/>
  <c r="CE8" i="4"/>
  <c r="CE7" i="4"/>
  <c r="DJ8" i="4"/>
  <c r="DJ7" i="4"/>
  <c r="EA8" i="4"/>
  <c r="EA7" i="4"/>
  <c r="J7" i="4"/>
  <c r="J8" i="4"/>
  <c r="BE8" i="4"/>
  <c r="BE7" i="4"/>
  <c r="K7" i="4"/>
  <c r="K8" i="4"/>
  <c r="Z7" i="4"/>
  <c r="Z8" i="4"/>
  <c r="AP7" i="4"/>
  <c r="AP8" i="4"/>
  <c r="BF7" i="4"/>
  <c r="BF8" i="4"/>
  <c r="BU8" i="4"/>
  <c r="BU7" i="4"/>
  <c r="CK8" i="4"/>
  <c r="CK7" i="4"/>
  <c r="DA8" i="4"/>
  <c r="DA7" i="4"/>
  <c r="L7" i="4"/>
  <c r="L8" i="4"/>
  <c r="AA7" i="4"/>
  <c r="AA8" i="4"/>
  <c r="AQ7" i="4"/>
  <c r="AQ8" i="4"/>
  <c r="BV7" i="4"/>
  <c r="BV8" i="4"/>
  <c r="CL7" i="4"/>
  <c r="CL8" i="4"/>
  <c r="DQ8" i="4"/>
  <c r="DQ7" i="4"/>
  <c r="EG8" i="4"/>
  <c r="EG7" i="4"/>
  <c r="BW7" i="4"/>
  <c r="BW8" i="4"/>
  <c r="CM7" i="4"/>
  <c r="CM8" i="4"/>
  <c r="DR7" i="4"/>
  <c r="DR8" i="4"/>
  <c r="DC7" i="4"/>
  <c r="DC8" i="4"/>
  <c r="DS7" i="4"/>
  <c r="DS8" i="4"/>
  <c r="BO8" i="4"/>
  <c r="BO7" i="4"/>
  <c r="CU8" i="4"/>
  <c r="CU7" i="4"/>
  <c r="DZ8" i="4"/>
  <c r="DZ7" i="4"/>
  <c r="DK8" i="4"/>
  <c r="DK7" i="4"/>
  <c r="I8" i="4"/>
  <c r="I7" i="4"/>
  <c r="AO8" i="4"/>
  <c r="AO7" i="4"/>
  <c r="Q8" i="4"/>
  <c r="Q7" i="4"/>
  <c r="R8" i="4"/>
  <c r="R7" i="4"/>
  <c r="AG8" i="4"/>
  <c r="AG7" i="4"/>
  <c r="AW8" i="4"/>
  <c r="AW7" i="4"/>
  <c r="S8" i="4"/>
  <c r="S7" i="4"/>
  <c r="AH8" i="4"/>
  <c r="AH7" i="4"/>
  <c r="AX8" i="4"/>
  <c r="AX7" i="4"/>
  <c r="BM8" i="4"/>
  <c r="BM7" i="4"/>
  <c r="CC8" i="4"/>
  <c r="CC7" i="4"/>
  <c r="CS8" i="4"/>
  <c r="CS7" i="4"/>
  <c r="D8" i="4"/>
  <c r="D7" i="4"/>
  <c r="T8" i="4"/>
  <c r="T7" i="4"/>
  <c r="AI8" i="4"/>
  <c r="AI7" i="4"/>
  <c r="AY8" i="4"/>
  <c r="AY7" i="4"/>
  <c r="BN8" i="4"/>
  <c r="BN7" i="4"/>
  <c r="CD8" i="4"/>
  <c r="CD7" i="4"/>
  <c r="CT8" i="4"/>
  <c r="CT7" i="4"/>
  <c r="DI8" i="4"/>
  <c r="DI7" i="4"/>
  <c r="DY8" i="4"/>
  <c r="DY7" i="4"/>
  <c r="BT7" i="4"/>
  <c r="BT8" i="4"/>
  <c r="CR8" i="4"/>
  <c r="EC7" i="4"/>
  <c r="CJ7" i="4"/>
  <c r="CJ8" i="4"/>
  <c r="ED7" i="4"/>
  <c r="EE7" i="4"/>
  <c r="DP7" i="4"/>
  <c r="DP8" i="4"/>
  <c r="EB7" i="4"/>
  <c r="DD8" i="4"/>
  <c r="DF8" i="4"/>
  <c r="DH8" i="4"/>
  <c r="AM7" i="4"/>
  <c r="CN8" i="4"/>
  <c r="X7" i="4"/>
  <c r="X8" i="4"/>
  <c r="F7" i="4"/>
  <c r="DM7" i="4"/>
  <c r="P8" i="4"/>
  <c r="BG8" i="4"/>
  <c r="CO8" i="4"/>
  <c r="DW8" i="4"/>
  <c r="Y8" i="4"/>
  <c r="Y7" i="4"/>
  <c r="CQ8" i="4"/>
  <c r="DB8" i="4"/>
  <c r="AN7" i="4"/>
  <c r="AN8" i="4"/>
  <c r="DE8" i="4"/>
  <c r="H7" i="4"/>
  <c r="H8" i="4"/>
  <c r="DG8" i="4"/>
  <c r="EF7" i="4"/>
  <c r="EF8" i="4"/>
  <c r="BD7" i="4"/>
  <c r="BD8" i="4"/>
  <c r="AJ7" i="4"/>
  <c r="C7" i="4"/>
  <c r="AK7" i="4"/>
  <c r="DT8" i="4"/>
  <c r="CZ7" i="4"/>
  <c r="CZ8" i="4"/>
  <c r="AL7" i="4"/>
  <c r="N8" i="4"/>
  <c r="DU8" i="4"/>
  <c r="E7" i="4"/>
  <c r="O8" i="4"/>
  <c r="DV8" i="4"/>
  <c r="G7" i="4"/>
  <c r="CF7" i="4"/>
  <c r="DN7" i="4"/>
  <c r="BH8" i="4"/>
  <c r="CP8" i="4"/>
  <c r="DX8" i="4"/>
  <c r="DU7" i="3"/>
  <c r="DU8" i="3"/>
  <c r="BM7" i="3"/>
  <c r="BM8" i="3"/>
  <c r="AI8" i="3"/>
  <c r="AI7" i="3"/>
  <c r="BN7" i="3"/>
  <c r="BN8" i="3"/>
  <c r="E8" i="3"/>
  <c r="E7" i="3"/>
  <c r="CF8" i="3"/>
  <c r="CF7" i="3"/>
  <c r="DJ8" i="3"/>
  <c r="DJ7" i="3"/>
  <c r="DK7" i="3"/>
  <c r="DK8" i="3"/>
  <c r="Y8" i="3"/>
  <c r="Y7" i="3"/>
  <c r="Z7" i="3"/>
  <c r="Z8" i="3"/>
  <c r="AA7" i="3"/>
  <c r="AA8" i="3"/>
  <c r="BE8" i="3"/>
  <c r="BE7" i="3"/>
  <c r="EC8" i="3"/>
  <c r="EC7" i="3"/>
  <c r="AJ7" i="3"/>
  <c r="AJ8" i="3"/>
  <c r="CG8" i="3"/>
  <c r="CG7" i="3"/>
  <c r="BV7" i="3"/>
  <c r="BV8" i="3"/>
  <c r="AR7" i="3"/>
  <c r="AR8" i="3"/>
  <c r="BW7" i="3"/>
  <c r="BW8" i="3"/>
  <c r="DA8" i="3"/>
  <c r="DA7" i="3"/>
  <c r="AS7" i="3"/>
  <c r="AS8" i="3"/>
  <c r="BX7" i="3"/>
  <c r="BX8" i="3"/>
  <c r="DB8" i="3"/>
  <c r="DB7" i="3"/>
  <c r="DS7" i="3"/>
  <c r="DS8" i="3"/>
  <c r="Q7" i="3"/>
  <c r="Q8" i="3"/>
  <c r="DT7" i="3"/>
  <c r="DT8" i="3"/>
  <c r="C7" i="3"/>
  <c r="C8" i="3"/>
  <c r="AC7" i="3"/>
  <c r="AC8" i="3"/>
  <c r="BC8" i="3"/>
  <c r="BC7" i="3"/>
  <c r="BD8" i="3"/>
  <c r="BD7" i="3"/>
  <c r="BQ8" i="3"/>
  <c r="BQ7" i="3"/>
  <c r="CD8" i="3"/>
  <c r="CD7" i="3"/>
  <c r="CQ7" i="3"/>
  <c r="CQ8" i="3"/>
  <c r="DE7" i="3"/>
  <c r="DE8" i="3"/>
  <c r="DR7" i="3"/>
  <c r="DR8" i="3"/>
  <c r="CE7" i="3"/>
  <c r="CE8" i="3"/>
  <c r="CR7" i="3"/>
  <c r="CR8" i="3"/>
  <c r="BU8" i="3"/>
  <c r="BU7" i="3"/>
  <c r="CT7" i="3"/>
  <c r="CT8" i="3"/>
  <c r="S8" i="3"/>
  <c r="BH7" i="3"/>
  <c r="BH8" i="3"/>
  <c r="CU7" i="3"/>
  <c r="CU8" i="3"/>
  <c r="EG8" i="3"/>
  <c r="EG7" i="3"/>
  <c r="BF7" i="3"/>
  <c r="H8" i="3"/>
  <c r="H7" i="3"/>
  <c r="BI7" i="3"/>
  <c r="BI8" i="3"/>
  <c r="CV7" i="3"/>
  <c r="CV8" i="3"/>
  <c r="I8" i="3"/>
  <c r="I7" i="3"/>
  <c r="CW8" i="3"/>
  <c r="CW7" i="3"/>
  <c r="DC7" i="3"/>
  <c r="J7" i="3"/>
  <c r="J8" i="3"/>
  <c r="R7" i="3"/>
  <c r="DI7" i="3"/>
  <c r="CO8" i="3"/>
  <c r="BP7" i="3"/>
  <c r="AQ8" i="3"/>
  <c r="BY7" i="3"/>
  <c r="BY8" i="3"/>
  <c r="DL7" i="3"/>
  <c r="DL8" i="3"/>
  <c r="DY8" i="3"/>
  <c r="DY7" i="3"/>
  <c r="U7" i="3"/>
  <c r="EA7" i="3"/>
  <c r="AT8" i="3"/>
  <c r="CC7" i="3"/>
  <c r="CC8" i="3"/>
  <c r="DD7" i="3"/>
  <c r="DD8" i="3"/>
  <c r="DQ8" i="3"/>
  <c r="DQ7" i="3"/>
  <c r="D8" i="3"/>
  <c r="D7" i="3"/>
  <c r="AG8" i="3"/>
  <c r="AG7" i="3"/>
  <c r="CS8" i="3"/>
  <c r="CS7" i="3"/>
  <c r="F8" i="3"/>
  <c r="F7" i="3"/>
  <c r="EF8" i="3"/>
  <c r="EF7" i="3"/>
  <c r="AP7" i="3"/>
  <c r="G8" i="3"/>
  <c r="G7" i="3"/>
  <c r="AH7" i="3"/>
  <c r="AH8" i="3"/>
  <c r="T8" i="3"/>
  <c r="BG7" i="3"/>
  <c r="AW7" i="3"/>
  <c r="AW8" i="3"/>
  <c r="AX7" i="3"/>
  <c r="AX8" i="3"/>
  <c r="CY8" i="3"/>
  <c r="CY7" i="3"/>
  <c r="CP8" i="3"/>
  <c r="L7" i="3"/>
  <c r="L8" i="3"/>
  <c r="AY7" i="3"/>
  <c r="AY8" i="3"/>
  <c r="CZ8" i="3"/>
  <c r="CZ7" i="3"/>
  <c r="M7" i="3"/>
  <c r="M8" i="3"/>
  <c r="AZ7" i="3"/>
  <c r="AZ8" i="3"/>
  <c r="N7" i="3"/>
  <c r="N8" i="3"/>
  <c r="DM8" i="3"/>
  <c r="DM7" i="3"/>
  <c r="DZ7" i="3"/>
  <c r="DZ8" i="3"/>
  <c r="O7" i="3"/>
  <c r="O8" i="3"/>
  <c r="BA8" i="3"/>
  <c r="BA7" i="3"/>
  <c r="P7" i="3"/>
  <c r="P8" i="3"/>
  <c r="AB7" i="3"/>
  <c r="AB8" i="3"/>
  <c r="BB8" i="3"/>
  <c r="BB7" i="3"/>
  <c r="EB7" i="3"/>
  <c r="AU8" i="3"/>
  <c r="CA8" i="3"/>
  <c r="DV8" i="3"/>
  <c r="DX8" i="3"/>
  <c r="BJ8" i="3"/>
  <c r="BZ8" i="3"/>
  <c r="CB8" i="3"/>
  <c r="DW8" i="3"/>
  <c r="BK8" i="3"/>
  <c r="DF8" i="3"/>
  <c r="DX8" i="2" l="1"/>
  <c r="DW8" i="2"/>
  <c r="DV8" i="2"/>
  <c r="DU8" i="2"/>
  <c r="DF8" i="2"/>
  <c r="DD8" i="2"/>
  <c r="CT8" i="2"/>
  <c r="CR8" i="2"/>
  <c r="CL8" i="2"/>
  <c r="BZ8" i="2"/>
  <c r="BX8" i="2"/>
  <c r="BN8" i="2"/>
  <c r="BL8" i="2"/>
  <c r="AV8" i="2"/>
  <c r="AT8" i="2"/>
  <c r="AF8" i="2"/>
  <c r="AE8" i="2"/>
  <c r="AC8" i="2"/>
  <c r="AB8" i="2"/>
  <c r="O8" i="2"/>
  <c r="N8" i="2"/>
  <c r="EG7" i="2"/>
  <c r="DQ7" i="2"/>
  <c r="DM7" i="2"/>
  <c r="DL7" i="2"/>
  <c r="DK7" i="2"/>
  <c r="CS7" i="2"/>
  <c r="CI7" i="2"/>
  <c r="CH7" i="2"/>
  <c r="CC7" i="2"/>
  <c r="BP7" i="2"/>
  <c r="BC7" i="2"/>
  <c r="BB7" i="2"/>
  <c r="AM7" i="2"/>
  <c r="AL7" i="2"/>
  <c r="U7" i="2"/>
  <c r="S7" i="2"/>
  <c r="Q7" i="2"/>
  <c r="E7" i="2"/>
  <c r="D7" i="2"/>
  <c r="EG6" i="2" a="1"/>
  <c r="EG6" i="2"/>
  <c r="EG8" i="2" s="1"/>
  <c r="EF6" i="2" a="1"/>
  <c r="EF6" i="2" s="1"/>
  <c r="EE6" i="2" a="1"/>
  <c r="EE6" i="2" s="1"/>
  <c r="EE8" i="2" s="1"/>
  <c r="ED6" i="2" a="1"/>
  <c r="ED6" i="2" s="1"/>
  <c r="ED8" i="2" s="1"/>
  <c r="EC6" i="2" a="1"/>
  <c r="EC6" i="2"/>
  <c r="EC8" i="2" s="1"/>
  <c r="EB6" i="2" a="1"/>
  <c r="EB6" i="2"/>
  <c r="EB8" i="2" s="1"/>
  <c r="EA6" i="2" a="1"/>
  <c r="EA6" i="2" s="1"/>
  <c r="DZ6" i="2" a="1"/>
  <c r="DZ6" i="2"/>
  <c r="DZ7" i="2" s="1"/>
  <c r="DY6" i="2" a="1"/>
  <c r="DY6" i="2"/>
  <c r="DY8" i="2" s="1"/>
  <c r="DX6" i="2" a="1"/>
  <c r="DX6" i="2" s="1"/>
  <c r="DX7" i="2" s="1"/>
  <c r="DW6" i="2" a="1"/>
  <c r="DW6" i="2" s="1"/>
  <c r="DW7" i="2" s="1"/>
  <c r="DV6" i="2" a="1"/>
  <c r="DV6" i="2" s="1"/>
  <c r="DV7" i="2" s="1"/>
  <c r="DU6" i="2" a="1"/>
  <c r="DU6" i="2"/>
  <c r="DU7" i="2" s="1"/>
  <c r="DT6" i="2" a="1"/>
  <c r="DT6" i="2"/>
  <c r="DT7" i="2" s="1"/>
  <c r="DS6" i="2" a="1"/>
  <c r="DS6" i="2"/>
  <c r="DR6" i="2" a="1"/>
  <c r="DR6" i="2"/>
  <c r="DR7" i="2" s="1"/>
  <c r="DQ6" i="2" a="1"/>
  <c r="DQ6" i="2"/>
  <c r="DQ8" i="2" s="1"/>
  <c r="DP6" i="2" a="1"/>
  <c r="DP6" i="2" s="1"/>
  <c r="DO6" i="2" a="1"/>
  <c r="DO6" i="2" s="1"/>
  <c r="DO8" i="2" s="1"/>
  <c r="DN6" i="2" a="1"/>
  <c r="DN6" i="2" s="1"/>
  <c r="DN8" i="2" s="1"/>
  <c r="DM6" i="2" a="1"/>
  <c r="DM6" i="2"/>
  <c r="DM8" i="2" s="1"/>
  <c r="DL6" i="2" a="1"/>
  <c r="DL6" i="2"/>
  <c r="DL8" i="2" s="1"/>
  <c r="DK6" i="2" a="1"/>
  <c r="DK6" i="2"/>
  <c r="DK8" i="2" s="1"/>
  <c r="DJ6" i="2" a="1"/>
  <c r="DJ6" i="2"/>
  <c r="DJ7" i="2" s="1"/>
  <c r="DI6" i="2" a="1"/>
  <c r="DI6" i="2"/>
  <c r="DI8" i="2" s="1"/>
  <c r="DH6" i="2" a="1"/>
  <c r="DH6" i="2" s="1"/>
  <c r="DH7" i="2" s="1"/>
  <c r="DG6" i="2" a="1"/>
  <c r="DG6" i="2" s="1"/>
  <c r="DF6" i="2" a="1"/>
  <c r="DF6" i="2" s="1"/>
  <c r="DF7" i="2" s="1"/>
  <c r="DE6" i="2" a="1"/>
  <c r="DE6" i="2"/>
  <c r="DE7" i="2" s="1"/>
  <c r="DD6" i="2" a="1"/>
  <c r="DD6" i="2"/>
  <c r="DD7" i="2" s="1"/>
  <c r="DC6" i="2" a="1"/>
  <c r="DC6" i="2"/>
  <c r="DB6" i="2" a="1"/>
  <c r="DB6" i="2" s="1"/>
  <c r="DA6" i="2" a="1"/>
  <c r="DA6" i="2"/>
  <c r="DA8" i="2" s="1"/>
  <c r="CZ6" i="2" a="1"/>
  <c r="CZ6" i="2" s="1"/>
  <c r="CY6" i="2" a="1"/>
  <c r="CY6" i="2" s="1"/>
  <c r="CY8" i="2" s="1"/>
  <c r="CX6" i="2" a="1"/>
  <c r="CX6" i="2" s="1"/>
  <c r="CX8" i="2" s="1"/>
  <c r="CW6" i="2" a="1"/>
  <c r="CW6" i="2"/>
  <c r="CV6" i="2" a="1"/>
  <c r="CV6" i="2"/>
  <c r="CV8" i="2" s="1"/>
  <c r="CU6" i="2" a="1"/>
  <c r="CU6" i="2"/>
  <c r="CU8" i="2" s="1"/>
  <c r="CT6" i="2" a="1"/>
  <c r="CT6" i="2"/>
  <c r="CT7" i="2" s="1"/>
  <c r="CS6" i="2" a="1"/>
  <c r="CS6" i="2"/>
  <c r="CS8" i="2" s="1"/>
  <c r="CR6" i="2" a="1"/>
  <c r="CR6" i="2" s="1"/>
  <c r="CR7" i="2" s="1"/>
  <c r="CQ6" i="2" a="1"/>
  <c r="CQ6" i="2" s="1"/>
  <c r="CQ7" i="2" s="1"/>
  <c r="CP6" i="2" a="1"/>
  <c r="CP6" i="2" s="1"/>
  <c r="CP7" i="2" s="1"/>
  <c r="CO6" i="2" a="1"/>
  <c r="CO6" i="2"/>
  <c r="CO7" i="2" s="1"/>
  <c r="CN6" i="2" a="1"/>
  <c r="CN6" i="2"/>
  <c r="CN7" i="2" s="1"/>
  <c r="CM6" i="2" a="1"/>
  <c r="CM6" i="2" s="1"/>
  <c r="CL6" i="2" a="1"/>
  <c r="CL6" i="2"/>
  <c r="CL7" i="2" s="1"/>
  <c r="CK6" i="2" a="1"/>
  <c r="CK6" i="2" s="1"/>
  <c r="CJ6" i="2" a="1"/>
  <c r="CJ6" i="2" s="1"/>
  <c r="CI6" i="2" a="1"/>
  <c r="CI6" i="2" s="1"/>
  <c r="CI8" i="2" s="1"/>
  <c r="CH6" i="2" a="1"/>
  <c r="CH6" i="2" s="1"/>
  <c r="CH8" i="2" s="1"/>
  <c r="CG6" i="2" a="1"/>
  <c r="CG6" i="2"/>
  <c r="CG8" i="2" s="1"/>
  <c r="CF6" i="2" a="1"/>
  <c r="CF6" i="2"/>
  <c r="CF8" i="2" s="1"/>
  <c r="CE6" i="2" a="1"/>
  <c r="CE6" i="2"/>
  <c r="CE8" i="2" s="1"/>
  <c r="CD6" i="2" a="1"/>
  <c r="CD6" i="2"/>
  <c r="CC6" i="2" a="1"/>
  <c r="CC6" i="2"/>
  <c r="CC8" i="2" s="1"/>
  <c r="CB6" i="2" a="1"/>
  <c r="CB6" i="2" s="1"/>
  <c r="CB7" i="2" s="1"/>
  <c r="CA6" i="2" a="1"/>
  <c r="CA6" i="2" s="1"/>
  <c r="CA7" i="2" s="1"/>
  <c r="BZ6" i="2" a="1"/>
  <c r="BZ6" i="2" s="1"/>
  <c r="BZ7" i="2" s="1"/>
  <c r="BY6" i="2" a="1"/>
  <c r="BY6" i="2"/>
  <c r="BY7" i="2" s="1"/>
  <c r="BX6" i="2" a="1"/>
  <c r="BX6" i="2"/>
  <c r="BX7" i="2" s="1"/>
  <c r="BW6" i="2" a="1"/>
  <c r="BW6" i="2"/>
  <c r="BV6" i="2" a="1"/>
  <c r="BV6" i="2"/>
  <c r="BV7" i="2" s="1"/>
  <c r="BU6" i="2" a="1"/>
  <c r="BU6" i="2"/>
  <c r="BU8" i="2" s="1"/>
  <c r="BT6" i="2" a="1"/>
  <c r="BT6" i="2" s="1"/>
  <c r="BS6" i="2" a="1"/>
  <c r="BS6" i="2" s="1"/>
  <c r="BS8" i="2" s="1"/>
  <c r="BR6" i="2" a="1"/>
  <c r="BR6" i="2" s="1"/>
  <c r="BR8" i="2" s="1"/>
  <c r="BQ6" i="2" a="1"/>
  <c r="BQ6" i="2"/>
  <c r="BQ8" i="2" s="1"/>
  <c r="BP6" i="2" a="1"/>
  <c r="BP6" i="2"/>
  <c r="BP8" i="2" s="1"/>
  <c r="BO6" i="2" a="1"/>
  <c r="BO6" i="2"/>
  <c r="BO8" i="2" s="1"/>
  <c r="BN6" i="2" a="1"/>
  <c r="BN6" i="2"/>
  <c r="BN7" i="2" s="1"/>
  <c r="BM6" i="2" a="1"/>
  <c r="BM6" i="2"/>
  <c r="BM8" i="2" s="1"/>
  <c r="BL6" i="2" a="1"/>
  <c r="BL6" i="2" s="1"/>
  <c r="BL7" i="2" s="1"/>
  <c r="BK6" i="2" a="1"/>
  <c r="BK6" i="2" s="1"/>
  <c r="BK7" i="2" s="1"/>
  <c r="BJ6" i="2" a="1"/>
  <c r="BJ6" i="2" s="1"/>
  <c r="BJ7" i="2" s="1"/>
  <c r="BI6" i="2" a="1"/>
  <c r="BI6" i="2"/>
  <c r="BI7" i="2" s="1"/>
  <c r="BH6" i="2" a="1"/>
  <c r="BH6" i="2"/>
  <c r="BH7" i="2" s="1"/>
  <c r="BG6" i="2" a="1"/>
  <c r="BG6" i="2" s="1"/>
  <c r="BF6" i="2" a="1"/>
  <c r="BF6" i="2"/>
  <c r="BF7" i="2" s="1"/>
  <c r="BE6" i="2" a="1"/>
  <c r="BE6" i="2" s="1"/>
  <c r="BD6" i="2" a="1"/>
  <c r="BD6" i="2" s="1"/>
  <c r="BC6" i="2" a="1"/>
  <c r="BC6" i="2" s="1"/>
  <c r="BC8" i="2" s="1"/>
  <c r="BB6" i="2" a="1"/>
  <c r="BB6" i="2" s="1"/>
  <c r="BB8" i="2" s="1"/>
  <c r="BA6" i="2" a="1"/>
  <c r="BA6" i="2"/>
  <c r="BA8" i="2" s="1"/>
  <c r="AZ6" i="2" a="1"/>
  <c r="AZ6" i="2"/>
  <c r="AY6" i="2" a="1"/>
  <c r="AY6" i="2"/>
  <c r="AY8" i="2" s="1"/>
  <c r="AX6" i="2" a="1"/>
  <c r="AX6" i="2"/>
  <c r="AX7" i="2" s="1"/>
  <c r="AW6" i="2" a="1"/>
  <c r="AW6" i="2"/>
  <c r="AW8" i="2" s="1"/>
  <c r="AV6" i="2" a="1"/>
  <c r="AV6" i="2" s="1"/>
  <c r="AV7" i="2" s="1"/>
  <c r="AU6" i="2" a="1"/>
  <c r="AU6" i="2" s="1"/>
  <c r="AU7" i="2" s="1"/>
  <c r="AT6" i="2" a="1"/>
  <c r="AT6" i="2" s="1"/>
  <c r="AT7" i="2" s="1"/>
  <c r="AS6" i="2" a="1"/>
  <c r="AS6" i="2"/>
  <c r="AS7" i="2" s="1"/>
  <c r="AR6" i="2" a="1"/>
  <c r="AR6" i="2"/>
  <c r="AR7" i="2" s="1"/>
  <c r="AQ6" i="2" a="1"/>
  <c r="AQ6" i="2"/>
  <c r="AP6" i="2" a="1"/>
  <c r="AP6" i="2" s="1"/>
  <c r="AO6" i="2" a="1"/>
  <c r="AO6" i="2"/>
  <c r="AO8" i="2" s="1"/>
  <c r="AN6" i="2" a="1"/>
  <c r="AN6" i="2" s="1"/>
  <c r="AM6" i="2" a="1"/>
  <c r="AM6" i="2" s="1"/>
  <c r="AM8" i="2" s="1"/>
  <c r="AL6" i="2" a="1"/>
  <c r="AL6" i="2" s="1"/>
  <c r="AL8" i="2" s="1"/>
  <c r="AK6" i="2" a="1"/>
  <c r="AK6" i="2"/>
  <c r="AK8" i="2" s="1"/>
  <c r="AJ6" i="2" a="1"/>
  <c r="AJ6" i="2"/>
  <c r="AJ8" i="2" s="1"/>
  <c r="AI6" i="2" a="1"/>
  <c r="AI6" i="2"/>
  <c r="AI8" i="2" s="1"/>
  <c r="AH6" i="2" a="1"/>
  <c r="AH6" i="2"/>
  <c r="AH7" i="2" s="1"/>
  <c r="AG6" i="2" a="1"/>
  <c r="AG6" i="2"/>
  <c r="AF6" i="2" a="1"/>
  <c r="AF6" i="2" s="1"/>
  <c r="AF7" i="2" s="1"/>
  <c r="AE6" i="2" a="1"/>
  <c r="AE6" i="2" s="1"/>
  <c r="AE7" i="2" s="1"/>
  <c r="AD6" i="2" a="1"/>
  <c r="AD6" i="2" s="1"/>
  <c r="AD7" i="2" s="1"/>
  <c r="AC6" i="2" a="1"/>
  <c r="AC6" i="2"/>
  <c r="AC7" i="2" s="1"/>
  <c r="AB6" i="2" a="1"/>
  <c r="AB6" i="2"/>
  <c r="AB7" i="2" s="1"/>
  <c r="AA6" i="2" a="1"/>
  <c r="AA6" i="2" s="1"/>
  <c r="Z6" i="2" a="1"/>
  <c r="Z6" i="2"/>
  <c r="Z7" i="2" s="1"/>
  <c r="Y6" i="2" a="1"/>
  <c r="Y6" i="2"/>
  <c r="Y8" i="2" s="1"/>
  <c r="X6" i="2" a="1"/>
  <c r="X6" i="2" s="1"/>
  <c r="W6" i="2" a="1"/>
  <c r="W6" i="2" s="1"/>
  <c r="W8" i="2" s="1"/>
  <c r="V6" i="2" a="1"/>
  <c r="V6" i="2" s="1"/>
  <c r="U6" i="2" a="1"/>
  <c r="U6" i="2"/>
  <c r="U8" i="2" s="1"/>
  <c r="T6" i="2" a="1"/>
  <c r="T6" i="2"/>
  <c r="T8" i="2" s="1"/>
  <c r="S6" i="2" a="1"/>
  <c r="S6" i="2"/>
  <c r="S8" i="2" s="1"/>
  <c r="R6" i="2" a="1"/>
  <c r="R6" i="2"/>
  <c r="R7" i="2" s="1"/>
  <c r="Q6" i="2" a="1"/>
  <c r="Q6" i="2"/>
  <c r="Q8" i="2" s="1"/>
  <c r="P6" i="2" a="1"/>
  <c r="P6" i="2" s="1"/>
  <c r="P7" i="2" s="1"/>
  <c r="O6" i="2" a="1"/>
  <c r="O6" i="2" s="1"/>
  <c r="O7" i="2" s="1"/>
  <c r="N6" i="2" a="1"/>
  <c r="N6" i="2" s="1"/>
  <c r="N7" i="2" s="1"/>
  <c r="M6" i="2" a="1"/>
  <c r="M6" i="2"/>
  <c r="M7" i="2" s="1"/>
  <c r="L6" i="2" a="1"/>
  <c r="L6" i="2" s="1"/>
  <c r="K6" i="2" a="1"/>
  <c r="K6" i="2"/>
  <c r="J6" i="2" a="1"/>
  <c r="J6" i="2" s="1"/>
  <c r="I6" i="2" a="1"/>
  <c r="I6" i="2"/>
  <c r="I8" i="2" s="1"/>
  <c r="H6" i="2" a="1"/>
  <c r="H6" i="2" s="1"/>
  <c r="G6" i="2" a="1"/>
  <c r="G6" i="2" s="1"/>
  <c r="G8" i="2" s="1"/>
  <c r="F6" i="2" a="1"/>
  <c r="F6" i="2" s="1"/>
  <c r="F8" i="2" s="1"/>
  <c r="E6" i="2" a="1"/>
  <c r="E6" i="2"/>
  <c r="E8" i="2" s="1"/>
  <c r="D6" i="2" a="1"/>
  <c r="D6" i="2"/>
  <c r="D8" i="2" s="1"/>
  <c r="C6" i="2" a="1"/>
  <c r="C6" i="2"/>
  <c r="BE8" i="2" l="1"/>
  <c r="BE7" i="2"/>
  <c r="BT8" i="2"/>
  <c r="BT7" i="2"/>
  <c r="CD7" i="2"/>
  <c r="CD8" i="2"/>
  <c r="J7" i="2"/>
  <c r="J8" i="2"/>
  <c r="AP7" i="2"/>
  <c r="AP8" i="2"/>
  <c r="AZ8" i="2"/>
  <c r="AZ7" i="2"/>
  <c r="AG8" i="2"/>
  <c r="AG7" i="2"/>
  <c r="L7" i="2"/>
  <c r="L8" i="2"/>
  <c r="V8" i="2"/>
  <c r="V7" i="2"/>
  <c r="DB7" i="2"/>
  <c r="DB8" i="2"/>
  <c r="C8" i="2"/>
  <c r="C7" i="2"/>
  <c r="AA7" i="2"/>
  <c r="AA8" i="2"/>
  <c r="CK8" i="2"/>
  <c r="CK7" i="2"/>
  <c r="BG7" i="2"/>
  <c r="BG8" i="2"/>
  <c r="DG7" i="2"/>
  <c r="DG8" i="2"/>
  <c r="EA8" i="2"/>
  <c r="EA7" i="2"/>
  <c r="CM7" i="2"/>
  <c r="CM8" i="2"/>
  <c r="CW8" i="2"/>
  <c r="CW7" i="2"/>
  <c r="AQ7" i="2"/>
  <c r="AQ8" i="2"/>
  <c r="X8" i="2"/>
  <c r="X7" i="2"/>
  <c r="BA7" i="2"/>
  <c r="DY7" i="2"/>
  <c r="DS7" i="2"/>
  <c r="DS8" i="2"/>
  <c r="T7" i="2"/>
  <c r="AD8" i="2"/>
  <c r="CZ8" i="2"/>
  <c r="CZ7" i="2"/>
  <c r="EB7" i="2"/>
  <c r="BW7" i="2"/>
  <c r="BW8" i="2"/>
  <c r="CU7" i="2"/>
  <c r="EC7" i="2"/>
  <c r="BV8" i="2"/>
  <c r="DE8" i="2"/>
  <c r="BD8" i="2"/>
  <c r="BD7" i="2"/>
  <c r="W7" i="2"/>
  <c r="BM7" i="2"/>
  <c r="CV7" i="2"/>
  <c r="ED7" i="2"/>
  <c r="AH8" i="2"/>
  <c r="Y7" i="2"/>
  <c r="BO7" i="2"/>
  <c r="EE7" i="2"/>
  <c r="BY8" i="2"/>
  <c r="BJ8" i="2"/>
  <c r="BK8" i="2"/>
  <c r="H8" i="2"/>
  <c r="H7" i="2"/>
  <c r="EF8" i="2"/>
  <c r="EF7" i="2"/>
  <c r="CX7" i="2"/>
  <c r="AR8" i="2"/>
  <c r="DH8" i="2"/>
  <c r="DC7" i="2"/>
  <c r="DC8" i="2"/>
  <c r="AI7" i="2"/>
  <c r="BQ7" i="2"/>
  <c r="CY7" i="2"/>
  <c r="AS8" i="2"/>
  <c r="CA8" i="2"/>
  <c r="DJ8" i="2"/>
  <c r="CJ8" i="2"/>
  <c r="CJ7" i="2"/>
  <c r="AJ7" i="2"/>
  <c r="BR7" i="2"/>
  <c r="DA7" i="2"/>
  <c r="CB8" i="2"/>
  <c r="DR8" i="2"/>
  <c r="AK7" i="2"/>
  <c r="BS7" i="2"/>
  <c r="DI7" i="2"/>
  <c r="M8" i="2"/>
  <c r="AU8" i="2"/>
  <c r="DT8" i="2"/>
  <c r="AN8" i="2"/>
  <c r="AN7" i="2"/>
  <c r="BU7" i="2"/>
  <c r="K7" i="2"/>
  <c r="K8" i="2"/>
  <c r="AX8" i="2"/>
  <c r="CN8" i="2"/>
  <c r="DP8" i="2"/>
  <c r="DP7" i="2"/>
  <c r="F7" i="2"/>
  <c r="AO7" i="2"/>
  <c r="CE7" i="2"/>
  <c r="P8" i="2"/>
  <c r="BF8" i="2"/>
  <c r="CO8" i="2"/>
  <c r="G7" i="2"/>
  <c r="AW7" i="2"/>
  <c r="CF7" i="2"/>
  <c r="DN7" i="2"/>
  <c r="R8" i="2"/>
  <c r="BH8" i="2"/>
  <c r="CP8" i="2"/>
  <c r="I7" i="2"/>
  <c r="AY7" i="2"/>
  <c r="CG7" i="2"/>
  <c r="DO7" i="2"/>
  <c r="Z8" i="2"/>
  <c r="BI8" i="2"/>
  <c r="CQ8" i="2"/>
  <c r="DZ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<sst xmlns="http://schemas.openxmlformats.org/spreadsheetml/2006/main" count="1436" uniqueCount="166">
  <si>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</si>
  <si>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</si>
  <si>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</si>
  <si>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</si>
  <si>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</si>
  <si>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</si>
  <si>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</si>
  <si>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</si>
  <si>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</si>
  <si>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</si>
  <si>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</si>
  <si>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</si>
  <si>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</si>
  <si>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</si>
  <si>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</si>
  <si>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</si>
  <si>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</si>
  <si>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</si>
  <si>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</si>
  <si>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</si>
  <si>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</si>
  <si>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</si>
  <si>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</si>
  <si>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</si>
  <si>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</si>
  <si>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</si>
  <si>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</si>
  <si>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</si>
  <si>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</si>
  <si>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</si>
  <si>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</si>
  <si>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</si>
  <si>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</si>
  <si>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</si>
  <si>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</si>
  <si>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</si>
  <si>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</si>
  <si>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</si>
  <si>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</si>
  <si>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</si>
  <si>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</si>
  <si>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</si>
  <si>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</si>
  <si>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</si>
  <si>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</si>
  <si>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</si>
  <si>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</si>
  <si>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</si>
  <si>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</si>
  <si>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</si>
  <si>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</si>
  <si>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</si>
  <si>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</si>
  <si>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</si>
  <si>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</si>
  <si>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</si>
  <si>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</si>
  <si>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</si>
  <si>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</si>
  <si>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</si>
  <si>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</si>
  <si>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</si>
  <si>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</si>
  <si>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</si>
  <si>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</si>
  <si>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</si>
  <si>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</si>
  <si>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</si>
  <si>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</si>
  <si>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</si>
  <si>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</si>
  <si>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</si>
  <si>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</si>
  <si>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</si>
  <si>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</si>
  <si>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</si>
  <si>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</si>
  <si>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</si>
  <si>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</si>
  <si>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</si>
  <si>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</si>
  <si>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</si>
  <si>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</si>
  <si>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</si>
  <si>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</si>
  <si>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</si>
  <si>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</si>
  <si>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</si>
  <si>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</si>
  <si>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</si>
  <si>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</si>
  <si>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</si>
  <si>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</si>
  <si>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</si>
  <si>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</si>
  <si>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</si>
  <si>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</si>
  <si>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</si>
  <si>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</si>
  <si>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</si>
  <si>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</si>
  <si>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</si>
  <si>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</si>
  <si>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</si>
  <si>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</si>
  <si>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</si>
  <si>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</si>
  <si>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</si>
  <si>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</si>
  <si>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</si>
  <si>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</si>
  <si>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</si>
  <si>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</si>
  <si>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</si>
  <si>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</si>
  <si>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</si>
  <si>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</si>
  <si>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</si>
  <si>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</si>
  <si>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</si>
  <si>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</si>
  <si>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</si>
  <si>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</si>
  <si>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</si>
  <si>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</si>
  <si>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</si>
  <si>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</si>
  <si>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</si>
  <si>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</si>
  <si>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</si>
  <si>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</si>
  <si>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</si>
  <si>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</si>
  <si>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</si>
  <si>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</si>
  <si>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bm</t>
  </si>
  <si>
    <t>size</t>
  </si>
  <si>
    <t>mom</t>
  </si>
  <si>
    <t>選絕對值最大</t>
  </si>
  <si>
    <t>投資組合</t>
  </si>
  <si>
    <t>公司數</t>
  </si>
  <si>
    <t>等第</t>
  </si>
  <si>
    <t>分數</t>
  </si>
  <si>
    <t>2025/02</t>
  </si>
  <si>
    <t>SUM</t>
  </si>
  <si>
    <t>勝率</t>
  </si>
  <si>
    <t>大盤</t>
  </si>
  <si>
    <t>TWII</t>
  </si>
  <si>
    <t>XGB</t>
  </si>
  <si>
    <t>家數</t>
    <phoneticPr fontId="1" type="noConversion"/>
  </si>
  <si>
    <t>10等分</t>
    <phoneticPr fontId="1" type="noConversion"/>
  </si>
  <si>
    <t>20等分</t>
    <phoneticPr fontId="1" type="noConversion"/>
  </si>
  <si>
    <t>50等分</t>
    <phoneticPr fontId="1" type="noConversion"/>
  </si>
  <si>
    <t>100等分</t>
    <phoneticPr fontId="1" type="noConversion"/>
  </si>
  <si>
    <t>107等分</t>
    <phoneticPr fontId="1" type="noConversion"/>
  </si>
  <si>
    <t>120等分</t>
    <phoneticPr fontId="1" type="noConversion"/>
  </si>
  <si>
    <t>137等分</t>
    <phoneticPr fontId="1" type="noConversion"/>
  </si>
  <si>
    <t>160等分</t>
    <phoneticPr fontId="1" type="noConversion"/>
  </si>
  <si>
    <t>192等分</t>
    <phoneticPr fontId="1" type="noConversion"/>
  </si>
  <si>
    <t>241等分</t>
    <phoneticPr fontId="1" type="noConversion"/>
  </si>
  <si>
    <t>321等分</t>
    <phoneticPr fontId="1" type="noConversion"/>
  </si>
  <si>
    <t>482等分</t>
    <phoneticPr fontId="1" type="noConversion"/>
  </si>
  <si>
    <t>964等分</t>
    <phoneticPr fontId="1" type="noConversion"/>
  </si>
  <si>
    <t>平均值</t>
    <phoneticPr fontId="1" type="noConversion"/>
  </si>
  <si>
    <t>標準差</t>
    <phoneticPr fontId="1" type="noConversion"/>
  </si>
  <si>
    <t>夏普比率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</si>
</sst>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0"/>
    <numFmt numFmtId="177" formatCode="0.000"/>
    <numFmt numFmtId="178" formatCode="0.000000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176" fontId="2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vertical="center"/>
    </xf>
    <xf numFmtId="0" fontId="2" fillId="2" borderId="0" xfId="0" applyFont="1" applyFill="1"/>
    <xf numFmtId="0" fontId="2" fillId="3" borderId="1" xfId="0" applyFont="1" applyFill="1" applyBorder="1"/>
    <xf numFmtId="0" fontId="0" fillId="4" borderId="1" xfId="0" applyFill="1" applyBorder="1"/>
    <xf numFmtId="0" fontId="0" fillId="4" borderId="0" xfId="0" applyFill="1"/>
    <xf numFmtId="177" fontId="0" fillId="3" borderId="0" xfId="0" applyNumberFormat="1" applyFill="1"/>
    <xf numFmtId="0" fontId="0" fillId="0" borderId="1" xfId="0" applyBorder="1" applyAlignment="1">
      <alignment horizontal="center"/>
    </xf>
    <xf numFmtId="0" fontId="0" fillId="0" borderId="3" xfId="0" applyBorder="1"/>
    <xf numFmtId="177" fontId="0" fillId="5" borderId="0" xfId="0" applyNumberFormat="1" applyFill="1"/>
    <xf numFmtId="0" fontId="2" fillId="6" borderId="1" xfId="0" applyFont="1" applyFill="1" applyBorder="1"/>
    <xf numFmtId="0" fontId="0" fillId="0" borderId="4" xfId="0" applyBorder="1"/>
    <xf numFmtId="178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預測</a:t>
            </a:r>
            <a:r>
              <a:rPr lang="en-US" altLang="zh-TW"/>
              <a:t>(</a:t>
            </a:r>
            <a:r>
              <a:rPr lang="pt-PT" altLang="zh-TW"/>
              <a:t>XGB)</a:t>
            </a:r>
            <a:r>
              <a:rPr lang="zh-TW" altLang="en-US"/>
              <a:t>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'預測(XGB)累積報酬'!$B$12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'預測(XGB)累積報酬'!$C$11:$EF$11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'預測(XGB)累積報酬'!$C$12:$EF$12</c:f>
              <c:numCache>
                <c:formatCode>General</c:formatCode>
                <c:ptCount val="134"/>
                <c:pt idx="0">
                  <c:v>4.7013508994228799E-2</c:v>
                </c:pt>
                <c:pt idx="1">
                  <c:v>0.1617021380394523</c:v>
                </c:pt>
                <c:pt idx="2">
                  <c:v>0.16845616639781022</c:v>
                </c:pt>
                <c:pt idx="3">
                  <c:v>0.18832499134571656</c:v>
                </c:pt>
                <c:pt idx="4">
                  <c:v>0.18042064459978821</c:v>
                </c:pt>
                <c:pt idx="5">
                  <c:v>0.17106126083803255</c:v>
                </c:pt>
                <c:pt idx="6">
                  <c:v>0.13475732398898055</c:v>
                </c:pt>
                <c:pt idx="7">
                  <c:v>0.10534920114999069</c:v>
                </c:pt>
                <c:pt idx="8">
                  <c:v>0.1163376050028128</c:v>
                </c:pt>
                <c:pt idx="9">
                  <c:v>0.11861483578377607</c:v>
                </c:pt>
                <c:pt idx="10">
                  <c:v>0.14550400961698301</c:v>
                </c:pt>
                <c:pt idx="11">
                  <c:v>9.34299019416239E-2</c:v>
                </c:pt>
                <c:pt idx="12">
                  <c:v>0.11067064099667648</c:v>
                </c:pt>
                <c:pt idx="13">
                  <c:v>0.11041631288851937</c:v>
                </c:pt>
                <c:pt idx="14">
                  <c:v>0.14420909700942711</c:v>
                </c:pt>
                <c:pt idx="15">
                  <c:v>0.15087198080466396</c:v>
                </c:pt>
                <c:pt idx="16">
                  <c:v>0.13439958606273192</c:v>
                </c:pt>
                <c:pt idx="17">
                  <c:v>0.12665978599371891</c:v>
                </c:pt>
                <c:pt idx="18">
                  <c:v>0.14702700654684991</c:v>
                </c:pt>
                <c:pt idx="19">
                  <c:v>0.15653796020049815</c:v>
                </c:pt>
                <c:pt idx="20">
                  <c:v>0.12812029734233502</c:v>
                </c:pt>
                <c:pt idx="21">
                  <c:v>0.15519418776688212</c:v>
                </c:pt>
                <c:pt idx="22">
                  <c:v>0.1757925812945734</c:v>
                </c:pt>
                <c:pt idx="23">
                  <c:v>0.18095848890437691</c:v>
                </c:pt>
                <c:pt idx="24">
                  <c:v>0.16944594319215117</c:v>
                </c:pt>
                <c:pt idx="25">
                  <c:v>0.1657345247768178</c:v>
                </c:pt>
                <c:pt idx="26">
                  <c:v>0.20084928884046421</c:v>
                </c:pt>
                <c:pt idx="27">
                  <c:v>0.19145704550878445</c:v>
                </c:pt>
                <c:pt idx="28">
                  <c:v>0.13314008243768558</c:v>
                </c:pt>
                <c:pt idx="29">
                  <c:v>8.1127979660917893E-2</c:v>
                </c:pt>
                <c:pt idx="30">
                  <c:v>7.7313049240108053E-2</c:v>
                </c:pt>
                <c:pt idx="31">
                  <c:v>5.6212390317646507E-2</c:v>
                </c:pt>
                <c:pt idx="32">
                  <c:v>6.5006182809908081E-2</c:v>
                </c:pt>
                <c:pt idx="33">
                  <c:v>4.3943920116234506E-2</c:v>
                </c:pt>
                <c:pt idx="34">
                  <c:v>2.7468551892098826E-2</c:v>
                </c:pt>
                <c:pt idx="35">
                  <c:v>-2.033193805997846E-2</c:v>
                </c:pt>
                <c:pt idx="36">
                  <c:v>-3.6251860536911408E-3</c:v>
                </c:pt>
                <c:pt idx="37">
                  <c:v>-6.0758476013329676E-2</c:v>
                </c:pt>
                <c:pt idx="38">
                  <c:v>-6.2987269053002726E-2</c:v>
                </c:pt>
                <c:pt idx="39">
                  <c:v>-2.9268924271153574E-2</c:v>
                </c:pt>
                <c:pt idx="40">
                  <c:v>-2.1646987882569767E-2</c:v>
                </c:pt>
                <c:pt idx="41">
                  <c:v>-1.4142559793809701E-2</c:v>
                </c:pt>
                <c:pt idx="42">
                  <c:v>-3.411883270418091E-2</c:v>
                </c:pt>
                <c:pt idx="43">
                  <c:v>-2.0283927996509729E-2</c:v>
                </c:pt>
                <c:pt idx="44">
                  <c:v>4.2473068436570116E-4</c:v>
                </c:pt>
                <c:pt idx="45">
                  <c:v>-4.0935354060659311E-2</c:v>
                </c:pt>
                <c:pt idx="46">
                  <c:v>-4.0313877042643234E-2</c:v>
                </c:pt>
                <c:pt idx="47">
                  <c:v>-8.5009889015541087E-2</c:v>
                </c:pt>
                <c:pt idx="48">
                  <c:v>-6.7518567356533554E-2</c:v>
                </c:pt>
                <c:pt idx="49">
                  <c:v>-6.9818593428191203E-2</c:v>
                </c:pt>
                <c:pt idx="50">
                  <c:v>-6.4880705244949405E-2</c:v>
                </c:pt>
                <c:pt idx="51">
                  <c:v>-5.9095310330674222E-2</c:v>
                </c:pt>
                <c:pt idx="52">
                  <c:v>-3.2404344038336683E-2</c:v>
                </c:pt>
                <c:pt idx="53">
                  <c:v>-1.8773787096684053E-2</c:v>
                </c:pt>
                <c:pt idx="54">
                  <c:v>-6.4372332081751124E-2</c:v>
                </c:pt>
                <c:pt idx="55">
                  <c:v>-8.7973392030354189E-2</c:v>
                </c:pt>
                <c:pt idx="56">
                  <c:v>-7.7969333376402522E-2</c:v>
                </c:pt>
                <c:pt idx="57">
                  <c:v>-0.10289147866527597</c:v>
                </c:pt>
                <c:pt idx="58">
                  <c:v>-5.2870225634285208E-2</c:v>
                </c:pt>
                <c:pt idx="59">
                  <c:v>-5.3666218954203024E-2</c:v>
                </c:pt>
                <c:pt idx="60">
                  <c:v>-7.3741870957481123E-2</c:v>
                </c:pt>
                <c:pt idx="61">
                  <c:v>-6.2681502246441742E-2</c:v>
                </c:pt>
                <c:pt idx="62">
                  <c:v>-9.2853410783431262E-2</c:v>
                </c:pt>
                <c:pt idx="63">
                  <c:v>-0.11235594899355093</c:v>
                </c:pt>
                <c:pt idx="64">
                  <c:v>-9.5442179994220083E-2</c:v>
                </c:pt>
                <c:pt idx="65">
                  <c:v>-0.10595116529951418</c:v>
                </c:pt>
                <c:pt idx="66">
                  <c:v>-9.2054415680767485E-2</c:v>
                </c:pt>
                <c:pt idx="67">
                  <c:v>-2.3360800533654261E-2</c:v>
                </c:pt>
                <c:pt idx="68">
                  <c:v>-4.4975071492582806E-3</c:v>
                </c:pt>
                <c:pt idx="69">
                  <c:v>-2.5785604381357002E-2</c:v>
                </c:pt>
                <c:pt idx="70">
                  <c:v>-1.7004087241260527E-2</c:v>
                </c:pt>
                <c:pt idx="71">
                  <c:v>6.0583684919304735E-3</c:v>
                </c:pt>
                <c:pt idx="72">
                  <c:v>-2.3425400227599046E-2</c:v>
                </c:pt>
                <c:pt idx="73">
                  <c:v>-1.1948238223648957E-2</c:v>
                </c:pt>
                <c:pt idx="74">
                  <c:v>-5.776422445647926E-2</c:v>
                </c:pt>
                <c:pt idx="75">
                  <c:v>-1.2407278765206288E-2</c:v>
                </c:pt>
                <c:pt idx="76">
                  <c:v>2.1732787881965313E-3</c:v>
                </c:pt>
                <c:pt idx="77">
                  <c:v>7.4649154860375835E-2</c:v>
                </c:pt>
                <c:pt idx="78">
                  <c:v>0.14021576748806572</c:v>
                </c:pt>
                <c:pt idx="79">
                  <c:v>0.18447425605200701</c:v>
                </c:pt>
                <c:pt idx="80">
                  <c:v>0.3384812689417489</c:v>
                </c:pt>
                <c:pt idx="81">
                  <c:v>0.34650254345567894</c:v>
                </c:pt>
                <c:pt idx="82">
                  <c:v>0.34681119195303106</c:v>
                </c:pt>
                <c:pt idx="83">
                  <c:v>0.41010856433099097</c:v>
                </c:pt>
                <c:pt idx="84">
                  <c:v>0.38576706627937712</c:v>
                </c:pt>
                <c:pt idx="85">
                  <c:v>0.37032188580068826</c:v>
                </c:pt>
                <c:pt idx="86">
                  <c:v>0.38312502995552306</c:v>
                </c:pt>
                <c:pt idx="87">
                  <c:v>0.5011406376251335</c:v>
                </c:pt>
                <c:pt idx="88">
                  <c:v>0.52749458846330288</c:v>
                </c:pt>
                <c:pt idx="89">
                  <c:v>0.44902938445249652</c:v>
                </c:pt>
                <c:pt idx="90">
                  <c:v>0.47384916970770913</c:v>
                </c:pt>
                <c:pt idx="91">
                  <c:v>0.42855014824021537</c:v>
                </c:pt>
                <c:pt idx="92">
                  <c:v>0.39197795333028185</c:v>
                </c:pt>
                <c:pt idx="93">
                  <c:v>0.38986007489962943</c:v>
                </c:pt>
                <c:pt idx="94">
                  <c:v>0.3753504244611599</c:v>
                </c:pt>
                <c:pt idx="95">
                  <c:v>0.37617446048469083</c:v>
                </c:pt>
                <c:pt idx="96">
                  <c:v>0.34055074482249564</c:v>
                </c:pt>
                <c:pt idx="97">
                  <c:v>0.33243811844695864</c:v>
                </c:pt>
                <c:pt idx="98">
                  <c:v>0.32689019370242639</c:v>
                </c:pt>
                <c:pt idx="99">
                  <c:v>0.37343765216689501</c:v>
                </c:pt>
                <c:pt idx="100">
                  <c:v>0.3794205943783856</c:v>
                </c:pt>
                <c:pt idx="101">
                  <c:v>0.30162826703888501</c:v>
                </c:pt>
                <c:pt idx="102">
                  <c:v>0.29602448296852446</c:v>
                </c:pt>
                <c:pt idx="103">
                  <c:v>0.3190063589226515</c:v>
                </c:pt>
                <c:pt idx="104">
                  <c:v>0.31450499513011004</c:v>
                </c:pt>
                <c:pt idx="105">
                  <c:v>0.2896160170728696</c:v>
                </c:pt>
                <c:pt idx="106">
                  <c:v>0.26487837265777459</c:v>
                </c:pt>
                <c:pt idx="107">
                  <c:v>0.20939263857570162</c:v>
                </c:pt>
                <c:pt idx="108">
                  <c:v>0.21034034751501854</c:v>
                </c:pt>
                <c:pt idx="109">
                  <c:v>0.21416302948645111</c:v>
                </c:pt>
                <c:pt idx="110">
                  <c:v>0.18418377492895141</c:v>
                </c:pt>
                <c:pt idx="111">
                  <c:v>0.16906556680285939</c:v>
                </c:pt>
                <c:pt idx="112">
                  <c:v>0.18501151992987575</c:v>
                </c:pt>
                <c:pt idx="113">
                  <c:v>0.20368135326367881</c:v>
                </c:pt>
                <c:pt idx="114">
                  <c:v>0.20852170250875873</c:v>
                </c:pt>
                <c:pt idx="115">
                  <c:v>0.23043843410352119</c:v>
                </c:pt>
                <c:pt idx="116">
                  <c:v>0.26099537620501201</c:v>
                </c:pt>
                <c:pt idx="117">
                  <c:v>0.21504182819009399</c:v>
                </c:pt>
                <c:pt idx="118">
                  <c:v>0.24890394854314252</c:v>
                </c:pt>
                <c:pt idx="119">
                  <c:v>0.23183896909302434</c:v>
                </c:pt>
                <c:pt idx="120">
                  <c:v>0.16218841702332462</c:v>
                </c:pt>
                <c:pt idx="121">
                  <c:v>0.20748630041772514</c:v>
                </c:pt>
                <c:pt idx="122">
                  <c:v>0.19373365233134268</c:v>
                </c:pt>
                <c:pt idx="123">
                  <c:v>0.14518282785381198</c:v>
                </c:pt>
                <c:pt idx="124">
                  <c:v>0.18890839207384941</c:v>
                </c:pt>
                <c:pt idx="125">
                  <c:v>0.17080925529551602</c:v>
                </c:pt>
                <c:pt idx="126">
                  <c:v>0.10808103320074609</c:v>
                </c:pt>
                <c:pt idx="127">
                  <c:v>8.8042143077156979E-2</c:v>
                </c:pt>
                <c:pt idx="128">
                  <c:v>3.6944510539625691E-2</c:v>
                </c:pt>
                <c:pt idx="129">
                  <c:v>3.1158539979245083E-2</c:v>
                </c:pt>
                <c:pt idx="130">
                  <c:v>4.6042458108764284E-2</c:v>
                </c:pt>
                <c:pt idx="131">
                  <c:v>0.10655061091724843</c:v>
                </c:pt>
                <c:pt idx="132">
                  <c:v>0.13305750307839609</c:v>
                </c:pt>
                <c:pt idx="133">
                  <c:v>9.3824155039600426E-2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93-477C-8E42-2CBD9687F44C}"/>
            </c:ext>
          </c:extLst>
        </c:ser>
        <c:ser>
          <c:idx val="1"/>
          <c:order val="1"/>
          <c:tx>
            <c:strRef>
              <c:f>'預測(XGB)累積報酬'!$B$13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'預測(XGB)累積報酬'!$C$11:$EF$11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'預測(XGB)累積報酬'!$C$13:$EF$13</c:f>
              <c:numCache>
                <c:formatCode>General</c:formatCode>
                <c:ptCount val="134"/>
                <c:pt idx="0">
                  <c:v>4.2506117601795589E-2</c:v>
                </c:pt>
                <c:pt idx="1">
                  <c:v>0.16625114639456789</c:v>
                </c:pt>
                <c:pt idx="2">
                  <c:v>0.20074776588592094</c:v>
                </c:pt>
                <c:pt idx="3">
                  <c:v>0.23566992176857543</c:v>
                </c:pt>
                <c:pt idx="4">
                  <c:v>0.25057790152587883</c:v>
                </c:pt>
                <c:pt idx="5">
                  <c:v>0.23464751695653371</c:v>
                </c:pt>
                <c:pt idx="6">
                  <c:v>0.20196465397181138</c:v>
                </c:pt>
                <c:pt idx="7">
                  <c:v>0.15806542689439926</c:v>
                </c:pt>
                <c:pt idx="8">
                  <c:v>0.20339641713661827</c:v>
                </c:pt>
                <c:pt idx="9">
                  <c:v>0.23253208617406373</c:v>
                </c:pt>
                <c:pt idx="10">
                  <c:v>0.23581184440006844</c:v>
                </c:pt>
                <c:pt idx="11">
                  <c:v>0.19265989217630158</c:v>
                </c:pt>
                <c:pt idx="12">
                  <c:v>0.23244918380293403</c:v>
                </c:pt>
                <c:pt idx="13">
                  <c:v>0.22617153614220109</c:v>
                </c:pt>
                <c:pt idx="14">
                  <c:v>0.27038980037017113</c:v>
                </c:pt>
                <c:pt idx="15">
                  <c:v>0.28454974485620765</c:v>
                </c:pt>
                <c:pt idx="16">
                  <c:v>0.27230607364729464</c:v>
                </c:pt>
                <c:pt idx="17">
                  <c:v>0.25020205322812239</c:v>
                </c:pt>
                <c:pt idx="18">
                  <c:v>0.3043631282698166</c:v>
                </c:pt>
                <c:pt idx="19">
                  <c:v>0.30657976817287053</c:v>
                </c:pt>
                <c:pt idx="20">
                  <c:v>0.27561086410138763</c:v>
                </c:pt>
                <c:pt idx="21">
                  <c:v>0.32888775882733123</c:v>
                </c:pt>
                <c:pt idx="22">
                  <c:v>0.32220440010078577</c:v>
                </c:pt>
                <c:pt idx="23">
                  <c:v>0.34278816126991402</c:v>
                </c:pt>
                <c:pt idx="24">
                  <c:v>0.32634754181958964</c:v>
                </c:pt>
                <c:pt idx="25">
                  <c:v>0.3103114431343687</c:v>
                </c:pt>
                <c:pt idx="26">
                  <c:v>0.33218299929574624</c:v>
                </c:pt>
                <c:pt idx="27">
                  <c:v>0.31063930951047086</c:v>
                </c:pt>
                <c:pt idx="28">
                  <c:v>0.2449199274828604</c:v>
                </c:pt>
                <c:pt idx="29">
                  <c:v>0.17163876665454922</c:v>
                </c:pt>
                <c:pt idx="30">
                  <c:v>0.18154397438162331</c:v>
                </c:pt>
                <c:pt idx="31">
                  <c:v>0.14966845945170726</c:v>
                </c:pt>
                <c:pt idx="32">
                  <c:v>0.16831450583167329</c:v>
                </c:pt>
                <c:pt idx="33">
                  <c:v>0.14842818180049558</c:v>
                </c:pt>
                <c:pt idx="34">
                  <c:v>0.1100687915176235</c:v>
                </c:pt>
                <c:pt idx="35">
                  <c:v>6.0809906723073431E-2</c:v>
                </c:pt>
                <c:pt idx="36">
                  <c:v>4.637580060898442E-2</c:v>
                </c:pt>
                <c:pt idx="37">
                  <c:v>-2.4869419453370296E-2</c:v>
                </c:pt>
                <c:pt idx="38">
                  <c:v>-3.4180607352785233E-2</c:v>
                </c:pt>
                <c:pt idx="39">
                  <c:v>2.5370233009212484E-2</c:v>
                </c:pt>
                <c:pt idx="40">
                  <c:v>3.1419521778112164E-2</c:v>
                </c:pt>
                <c:pt idx="41">
                  <c:v>2.2168789294835976E-2</c:v>
                </c:pt>
                <c:pt idx="42">
                  <c:v>-1.236174246761354E-3</c:v>
                </c:pt>
                <c:pt idx="43">
                  <c:v>3.9226913607678389E-2</c:v>
                </c:pt>
                <c:pt idx="44">
                  <c:v>8.0203040083657251E-2</c:v>
                </c:pt>
                <c:pt idx="45">
                  <c:v>7.0727567444104175E-2</c:v>
                </c:pt>
                <c:pt idx="46">
                  <c:v>7.4807581027167572E-2</c:v>
                </c:pt>
                <c:pt idx="47">
                  <c:v>4.2007748891311779E-2</c:v>
                </c:pt>
                <c:pt idx="48">
                  <c:v>5.6269952798450477E-2</c:v>
                </c:pt>
                <c:pt idx="49">
                  <c:v>4.8166485328951084E-2</c:v>
                </c:pt>
                <c:pt idx="50">
                  <c:v>5.4707422936012114E-2</c:v>
                </c:pt>
                <c:pt idx="51">
                  <c:v>8.0753768468908166E-2</c:v>
                </c:pt>
                <c:pt idx="52">
                  <c:v>9.9864635743750291E-2</c:v>
                </c:pt>
                <c:pt idx="53">
                  <c:v>0.10320906412743162</c:v>
                </c:pt>
                <c:pt idx="54">
                  <c:v>5.7160807539953125E-2</c:v>
                </c:pt>
                <c:pt idx="55">
                  <c:v>3.0857910749735616E-2</c:v>
                </c:pt>
                <c:pt idx="56">
                  <c:v>3.9188976365583314E-2</c:v>
                </c:pt>
                <c:pt idx="57">
                  <c:v>5.2447217782199823E-3</c:v>
                </c:pt>
                <c:pt idx="58">
                  <c:v>5.7653854234921365E-2</c:v>
                </c:pt>
                <c:pt idx="59">
                  <c:v>4.0806768244656497E-2</c:v>
                </c:pt>
                <c:pt idx="60">
                  <c:v>1.5680994881464457E-2</c:v>
                </c:pt>
                <c:pt idx="61">
                  <c:v>2.9300173241079738E-2</c:v>
                </c:pt>
                <c:pt idx="62">
                  <c:v>2.0963058564690169E-3</c:v>
                </c:pt>
                <c:pt idx="63">
                  <c:v>6.9539089148822342E-3</c:v>
                </c:pt>
                <c:pt idx="64">
                  <c:v>1.0360623423150674E-2</c:v>
                </c:pt>
                <c:pt idx="65">
                  <c:v>1.9793319117802192E-2</c:v>
                </c:pt>
                <c:pt idx="66">
                  <c:v>6.1446382907227967E-2</c:v>
                </c:pt>
                <c:pt idx="67">
                  <c:v>0.14127783973056091</c:v>
                </c:pt>
                <c:pt idx="68">
                  <c:v>0.14869731157078059</c:v>
                </c:pt>
                <c:pt idx="69">
                  <c:v>0.1150295418128614</c:v>
                </c:pt>
                <c:pt idx="70">
                  <c:v>0.13273609684941517</c:v>
                </c:pt>
                <c:pt idx="71">
                  <c:v>0.1533896937256238</c:v>
                </c:pt>
                <c:pt idx="72">
                  <c:v>0.1551529315363008</c:v>
                </c:pt>
                <c:pt idx="73">
                  <c:v>0.17623099906032738</c:v>
                </c:pt>
                <c:pt idx="74">
                  <c:v>0.14540323939595418</c:v>
                </c:pt>
                <c:pt idx="75">
                  <c:v>0.22154136245500439</c:v>
                </c:pt>
                <c:pt idx="76">
                  <c:v>0.24555403624712907</c:v>
                </c:pt>
                <c:pt idx="77">
                  <c:v>0.36598100797916427</c:v>
                </c:pt>
                <c:pt idx="78">
                  <c:v>0.48609918171739747</c:v>
                </c:pt>
                <c:pt idx="79">
                  <c:v>0.54135522973882821</c:v>
                </c:pt>
                <c:pt idx="80">
                  <c:v>0.72518306619443695</c:v>
                </c:pt>
                <c:pt idx="81">
                  <c:v>0.71313939917937763</c:v>
                </c:pt>
                <c:pt idx="82">
                  <c:v>0.72069966785575179</c:v>
                </c:pt>
                <c:pt idx="83">
                  <c:v>0.77903427968295891</c:v>
                </c:pt>
                <c:pt idx="84">
                  <c:v>0.77113874524705073</c:v>
                </c:pt>
                <c:pt idx="85">
                  <c:v>0.77424483321900195</c:v>
                </c:pt>
                <c:pt idx="86">
                  <c:v>0.80629010245546595</c:v>
                </c:pt>
                <c:pt idx="87">
                  <c:v>0.88774346855764674</c:v>
                </c:pt>
                <c:pt idx="88">
                  <c:v>0.90175420333052536</c:v>
                </c:pt>
                <c:pt idx="89">
                  <c:v>0.80076003668233109</c:v>
                </c:pt>
                <c:pt idx="90">
                  <c:v>0.83609438076298848</c:v>
                </c:pt>
                <c:pt idx="91">
                  <c:v>0.76636784048525408</c:v>
                </c:pt>
                <c:pt idx="92">
                  <c:v>0.72818289028909433</c:v>
                </c:pt>
                <c:pt idx="93">
                  <c:v>0.71990310929144585</c:v>
                </c:pt>
                <c:pt idx="94">
                  <c:v>0.7238507599544064</c:v>
                </c:pt>
                <c:pt idx="95">
                  <c:v>0.71577996063802773</c:v>
                </c:pt>
                <c:pt idx="96">
                  <c:v>0.67861855835571649</c:v>
                </c:pt>
                <c:pt idx="97">
                  <c:v>0.68157187052897439</c:v>
                </c:pt>
                <c:pt idx="98">
                  <c:v>0.67559483967272826</c:v>
                </c:pt>
                <c:pt idx="99">
                  <c:v>0.68058213522384137</c:v>
                </c:pt>
                <c:pt idx="100">
                  <c:v>0.69370087533885405</c:v>
                </c:pt>
                <c:pt idx="101">
                  <c:v>0.63647665498536887</c:v>
                </c:pt>
                <c:pt idx="102">
                  <c:v>0.64206033191119027</c:v>
                </c:pt>
                <c:pt idx="103">
                  <c:v>0.68382190162797485</c:v>
                </c:pt>
                <c:pt idx="104">
                  <c:v>0.6696720348006806</c:v>
                </c:pt>
                <c:pt idx="105">
                  <c:v>0.65897443419994484</c:v>
                </c:pt>
                <c:pt idx="106">
                  <c:v>0.63653243777070878</c:v>
                </c:pt>
                <c:pt idx="107">
                  <c:v>0.55341025070267835</c:v>
                </c:pt>
                <c:pt idx="108">
                  <c:v>0.55504090787556826</c:v>
                </c:pt>
                <c:pt idx="109">
                  <c:v>0.54374513999365315</c:v>
                </c:pt>
                <c:pt idx="110">
                  <c:v>0.51417472035922496</c:v>
                </c:pt>
                <c:pt idx="111">
                  <c:v>0.50819113572241215</c:v>
                </c:pt>
                <c:pt idx="112">
                  <c:v>0.49578206150378451</c:v>
                </c:pt>
                <c:pt idx="113">
                  <c:v>0.51783275218187275</c:v>
                </c:pt>
                <c:pt idx="114">
                  <c:v>0.52449162123031667</c:v>
                </c:pt>
                <c:pt idx="115">
                  <c:v>0.54142685613092101</c:v>
                </c:pt>
                <c:pt idx="116">
                  <c:v>0.57929032121571378</c:v>
                </c:pt>
                <c:pt idx="117">
                  <c:v>0.53429317055366454</c:v>
                </c:pt>
                <c:pt idx="118">
                  <c:v>0.56825963280562719</c:v>
                </c:pt>
                <c:pt idx="119">
                  <c:v>0.55309108265966611</c:v>
                </c:pt>
                <c:pt idx="120">
                  <c:v>0.48449423001927522</c:v>
                </c:pt>
                <c:pt idx="121">
                  <c:v>0.51992053106694003</c:v>
                </c:pt>
                <c:pt idx="122">
                  <c:v>0.50121536742979522</c:v>
                </c:pt>
                <c:pt idx="123">
                  <c:v>0.42159522340560668</c:v>
                </c:pt>
                <c:pt idx="124">
                  <c:v>0.46601301302995701</c:v>
                </c:pt>
                <c:pt idx="125">
                  <c:v>0.44278340348099088</c:v>
                </c:pt>
                <c:pt idx="126">
                  <c:v>0.43327877867711345</c:v>
                </c:pt>
                <c:pt idx="127">
                  <c:v>0.40299352720217219</c:v>
                </c:pt>
                <c:pt idx="128">
                  <c:v>0.34087485002614232</c:v>
                </c:pt>
                <c:pt idx="129">
                  <c:v>0.34067364380721715</c:v>
                </c:pt>
                <c:pt idx="130">
                  <c:v>0.36265849633874159</c:v>
                </c:pt>
                <c:pt idx="131">
                  <c:v>0.42834058999797653</c:v>
                </c:pt>
                <c:pt idx="132">
                  <c:v>0.46957497399388815</c:v>
                </c:pt>
                <c:pt idx="133">
                  <c:v>0.40299775863033194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93-477C-8E42-2CBD9687F44C}"/>
            </c:ext>
          </c:extLst>
        </c:ser>
        <c:ser>
          <c:idx val="2"/>
          <c:order val="2"/>
          <c:tx>
            <c:strRef>
              <c:f>'預測(XGB)累積報酬'!$B$14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'預測(XGB)累積報酬'!$C$11:$EF$11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'預測(XGB)累積報酬'!$C$14:$EF$14</c:f>
              <c:numCache>
                <c:formatCode>General</c:formatCode>
                <c:ptCount val="134"/>
                <c:pt idx="0">
                  <c:v>-3.7017512404591897E-2</c:v>
                </c:pt>
                <c:pt idx="1">
                  <c:v>0.18529093613603412</c:v>
                </c:pt>
                <c:pt idx="2">
                  <c:v>0.23281687940329013</c:v>
                </c:pt>
                <c:pt idx="3">
                  <c:v>0.28127102220314998</c:v>
                </c:pt>
                <c:pt idx="4">
                  <c:v>0.32229093870107545</c:v>
                </c:pt>
                <c:pt idx="5">
                  <c:v>0.31461661442939665</c:v>
                </c:pt>
                <c:pt idx="6">
                  <c:v>0.27082925460625434</c:v>
                </c:pt>
                <c:pt idx="7">
                  <c:v>0.16573486782354613</c:v>
                </c:pt>
                <c:pt idx="8">
                  <c:v>0.29991357153759962</c:v>
                </c:pt>
                <c:pt idx="9">
                  <c:v>0.2950663743498928</c:v>
                </c:pt>
                <c:pt idx="10">
                  <c:v>0.27604465988490884</c:v>
                </c:pt>
                <c:pt idx="11">
                  <c:v>0.19328567519080969</c:v>
                </c:pt>
                <c:pt idx="12">
                  <c:v>0.23292798326034408</c:v>
                </c:pt>
                <c:pt idx="13">
                  <c:v>0.2394694042184945</c:v>
                </c:pt>
                <c:pt idx="14">
                  <c:v>0.36357327538994322</c:v>
                </c:pt>
                <c:pt idx="15">
                  <c:v>0.34942147908441862</c:v>
                </c:pt>
                <c:pt idx="16">
                  <c:v>0.38795557861043634</c:v>
                </c:pt>
                <c:pt idx="17">
                  <c:v>0.37059484737587667</c:v>
                </c:pt>
                <c:pt idx="18">
                  <c:v>0.47486151201152427</c:v>
                </c:pt>
                <c:pt idx="19">
                  <c:v>0.42244021185263919</c:v>
                </c:pt>
                <c:pt idx="20">
                  <c:v>0.37464520911911914</c:v>
                </c:pt>
                <c:pt idx="21">
                  <c:v>0.4282269176333024</c:v>
                </c:pt>
                <c:pt idx="22">
                  <c:v>0.37303592622108067</c:v>
                </c:pt>
                <c:pt idx="23">
                  <c:v>0.39428812732453156</c:v>
                </c:pt>
                <c:pt idx="24">
                  <c:v>0.39166072755771758</c:v>
                </c:pt>
                <c:pt idx="25">
                  <c:v>0.31667781478559737</c:v>
                </c:pt>
                <c:pt idx="26">
                  <c:v>0.30316054598210401</c:v>
                </c:pt>
                <c:pt idx="27">
                  <c:v>0.2638326537920741</c:v>
                </c:pt>
                <c:pt idx="28">
                  <c:v>0.25981374696919363</c:v>
                </c:pt>
                <c:pt idx="29">
                  <c:v>0.16373365151256</c:v>
                </c:pt>
                <c:pt idx="30">
                  <c:v>0.18906294652351305</c:v>
                </c:pt>
                <c:pt idx="31">
                  <c:v>0.12565256679050096</c:v>
                </c:pt>
                <c:pt idx="32">
                  <c:v>9.0189922891889041E-2</c:v>
                </c:pt>
                <c:pt idx="33">
                  <c:v>-6.1050538168951757E-3</c:v>
                </c:pt>
                <c:pt idx="34">
                  <c:v>-8.3580392839349205E-2</c:v>
                </c:pt>
                <c:pt idx="35">
                  <c:v>-0.13481057580747871</c:v>
                </c:pt>
                <c:pt idx="36">
                  <c:v>-0.17727443174485252</c:v>
                </c:pt>
                <c:pt idx="37">
                  <c:v>-0.28759811370108501</c:v>
                </c:pt>
                <c:pt idx="38">
                  <c:v>-0.34850381916649498</c:v>
                </c:pt>
                <c:pt idx="39">
                  <c:v>-0.27852729401441079</c:v>
                </c:pt>
                <c:pt idx="40">
                  <c:v>-0.27815932627665085</c:v>
                </c:pt>
                <c:pt idx="41">
                  <c:v>-0.29633014929553608</c:v>
                </c:pt>
                <c:pt idx="42">
                  <c:v>-0.28966081090584667</c:v>
                </c:pt>
                <c:pt idx="43">
                  <c:v>-0.25515423122070219</c:v>
                </c:pt>
                <c:pt idx="44">
                  <c:v>-0.21516258221739834</c:v>
                </c:pt>
                <c:pt idx="45">
                  <c:v>-0.23384546765101552</c:v>
                </c:pt>
                <c:pt idx="46">
                  <c:v>-0.25220839915697302</c:v>
                </c:pt>
                <c:pt idx="47">
                  <c:v>-0.27157861253246357</c:v>
                </c:pt>
                <c:pt idx="48">
                  <c:v>-0.26988804070745653</c:v>
                </c:pt>
                <c:pt idx="49">
                  <c:v>-0.32323660987961261</c:v>
                </c:pt>
                <c:pt idx="50">
                  <c:v>-0.3056149643353695</c:v>
                </c:pt>
                <c:pt idx="51">
                  <c:v>-0.20371662407691149</c:v>
                </c:pt>
                <c:pt idx="52">
                  <c:v>-0.23222230757621759</c:v>
                </c:pt>
                <c:pt idx="53">
                  <c:v>-0.18889452590881217</c:v>
                </c:pt>
                <c:pt idx="54">
                  <c:v>-0.21301154440541425</c:v>
                </c:pt>
                <c:pt idx="55">
                  <c:v>-0.21825443230729738</c:v>
                </c:pt>
                <c:pt idx="56">
                  <c:v>-0.20775782440615384</c:v>
                </c:pt>
                <c:pt idx="57">
                  <c:v>-0.30150790864587607</c:v>
                </c:pt>
                <c:pt idx="58">
                  <c:v>-0.25132269575502231</c:v>
                </c:pt>
                <c:pt idx="59">
                  <c:v>-0.27133991942625552</c:v>
                </c:pt>
                <c:pt idx="60">
                  <c:v>-0.23810253744792459</c:v>
                </c:pt>
                <c:pt idx="61">
                  <c:v>-0.2275307029380626</c:v>
                </c:pt>
                <c:pt idx="62">
                  <c:v>-0.2489057496001211</c:v>
                </c:pt>
                <c:pt idx="63">
                  <c:v>-0.20232910540370538</c:v>
                </c:pt>
                <c:pt idx="64">
                  <c:v>-0.18742552643045651</c:v>
                </c:pt>
                <c:pt idx="65">
                  <c:v>-0.17175179293749737</c:v>
                </c:pt>
                <c:pt idx="66">
                  <c:v>-0.1559082690675466</c:v>
                </c:pt>
                <c:pt idx="67">
                  <c:v>-5.5855845992160189E-2</c:v>
                </c:pt>
                <c:pt idx="68">
                  <c:v>-9.7349801136738079E-2</c:v>
                </c:pt>
                <c:pt idx="69">
                  <c:v>-8.2061873233365251E-2</c:v>
                </c:pt>
                <c:pt idx="70">
                  <c:v>-9.0916708591396111E-2</c:v>
                </c:pt>
                <c:pt idx="71">
                  <c:v>-6.5189526574968709E-2</c:v>
                </c:pt>
                <c:pt idx="72">
                  <c:v>-5.268157831737539E-2</c:v>
                </c:pt>
                <c:pt idx="73">
                  <c:v>2.2891818045776835E-3</c:v>
                </c:pt>
                <c:pt idx="74">
                  <c:v>-7.8110586779183533E-2</c:v>
                </c:pt>
                <c:pt idx="75">
                  <c:v>-1.8076529950401266E-2</c:v>
                </c:pt>
                <c:pt idx="76">
                  <c:v>1.5378628287754381E-2</c:v>
                </c:pt>
                <c:pt idx="77">
                  <c:v>0.17984412960966117</c:v>
                </c:pt>
                <c:pt idx="78">
                  <c:v>0.30044028819884366</c:v>
                </c:pt>
                <c:pt idx="79">
                  <c:v>0.34836212911142822</c:v>
                </c:pt>
                <c:pt idx="80">
                  <c:v>0.51891743159997872</c:v>
                </c:pt>
                <c:pt idx="81">
                  <c:v>0.47604002152466179</c:v>
                </c:pt>
                <c:pt idx="82">
                  <c:v>0.61496669804260184</c:v>
                </c:pt>
                <c:pt idx="83">
                  <c:v>0.67962809032081895</c:v>
                </c:pt>
                <c:pt idx="84">
                  <c:v>0.67579873418613379</c:v>
                </c:pt>
                <c:pt idx="85">
                  <c:v>0.70446658913030835</c:v>
                </c:pt>
                <c:pt idx="86">
                  <c:v>0.71848295352095448</c:v>
                </c:pt>
                <c:pt idx="87">
                  <c:v>0.78075290839979095</c:v>
                </c:pt>
                <c:pt idx="88">
                  <c:v>0.77565580152204361</c:v>
                </c:pt>
                <c:pt idx="89">
                  <c:v>0.60106012683698629</c:v>
                </c:pt>
                <c:pt idx="90">
                  <c:v>0.67982388555531037</c:v>
                </c:pt>
                <c:pt idx="91">
                  <c:v>0.58001455407355751</c:v>
                </c:pt>
                <c:pt idx="92">
                  <c:v>0.52680292598188294</c:v>
                </c:pt>
                <c:pt idx="93">
                  <c:v>0.4708937883573816</c:v>
                </c:pt>
                <c:pt idx="94">
                  <c:v>0.46707767501386166</c:v>
                </c:pt>
                <c:pt idx="95">
                  <c:v>0.44797709846317679</c:v>
                </c:pt>
                <c:pt idx="96">
                  <c:v>0.4918942011603914</c:v>
                </c:pt>
                <c:pt idx="97">
                  <c:v>0.46914848602213605</c:v>
                </c:pt>
                <c:pt idx="98">
                  <c:v>0.47254686848560684</c:v>
                </c:pt>
                <c:pt idx="99">
                  <c:v>0.49679112497310257</c:v>
                </c:pt>
                <c:pt idx="100">
                  <c:v>0.52555024526457683</c:v>
                </c:pt>
                <c:pt idx="101">
                  <c:v>0.46148668191419345</c:v>
                </c:pt>
                <c:pt idx="102">
                  <c:v>0.48579097108477792</c:v>
                </c:pt>
                <c:pt idx="103">
                  <c:v>0.50935204427296876</c:v>
                </c:pt>
                <c:pt idx="104">
                  <c:v>0.46635350229276867</c:v>
                </c:pt>
                <c:pt idx="105">
                  <c:v>0.4831120520851851</c:v>
                </c:pt>
                <c:pt idx="106">
                  <c:v>0.42058512807872606</c:v>
                </c:pt>
                <c:pt idx="107">
                  <c:v>0.21902228861161405</c:v>
                </c:pt>
                <c:pt idx="108">
                  <c:v>0.20757573221829684</c:v>
                </c:pt>
                <c:pt idx="109">
                  <c:v>0.20280089497538523</c:v>
                </c:pt>
                <c:pt idx="110">
                  <c:v>0.16214176033981359</c:v>
                </c:pt>
                <c:pt idx="111">
                  <c:v>0.14624416852704369</c:v>
                </c:pt>
                <c:pt idx="112">
                  <c:v>0.12717310540938778</c:v>
                </c:pt>
                <c:pt idx="113">
                  <c:v>0.16792797724128683</c:v>
                </c:pt>
                <c:pt idx="114">
                  <c:v>0.16242370814763632</c:v>
                </c:pt>
                <c:pt idx="115">
                  <c:v>0.19272254139795286</c:v>
                </c:pt>
                <c:pt idx="116">
                  <c:v>0.29531473076118664</c:v>
                </c:pt>
                <c:pt idx="117">
                  <c:v>0.29169687248945997</c:v>
                </c:pt>
                <c:pt idx="118">
                  <c:v>0.34771615847565041</c:v>
                </c:pt>
                <c:pt idx="119">
                  <c:v>0.33992173666656511</c:v>
                </c:pt>
                <c:pt idx="120">
                  <c:v>0.28386991673800144</c:v>
                </c:pt>
                <c:pt idx="121">
                  <c:v>0.32838687033545672</c:v>
                </c:pt>
                <c:pt idx="122">
                  <c:v>0.3733018189544387</c:v>
                </c:pt>
                <c:pt idx="123">
                  <c:v>0.26503946442433141</c:v>
                </c:pt>
                <c:pt idx="124">
                  <c:v>0.36338383144210912</c:v>
                </c:pt>
                <c:pt idx="125">
                  <c:v>0.33569413408171045</c:v>
                </c:pt>
                <c:pt idx="126">
                  <c:v>0.28803314747936926</c:v>
                </c:pt>
                <c:pt idx="127">
                  <c:v>0.26633555822325244</c:v>
                </c:pt>
                <c:pt idx="128">
                  <c:v>0.15881007502572864</c:v>
                </c:pt>
                <c:pt idx="129">
                  <c:v>0.18391959564399318</c:v>
                </c:pt>
                <c:pt idx="130">
                  <c:v>0.22717961317330082</c:v>
                </c:pt>
                <c:pt idx="131">
                  <c:v>0.32980932235948779</c:v>
                </c:pt>
                <c:pt idx="132">
                  <c:v>0.32641006884141527</c:v>
                </c:pt>
                <c:pt idx="133">
                  <c:v>0.25645364834285722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93-477C-8E42-2CBD9687F44C}"/>
            </c:ext>
          </c:extLst>
        </c:ser>
        <c:ser>
          <c:idx val="3"/>
          <c:order val="3"/>
          <c:tx>
            <c:strRef>
              <c:f>'預測(XGB)累積報酬'!$B$15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'預測(XGB)累積報酬'!$C$11:$EF$11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'預測(XGB)累積報酬'!$C$15:$EF$15</c:f>
              <c:numCache>
                <c:formatCode>General</c:formatCode>
                <c:ptCount val="134"/>
                <c:pt idx="0">
                  <c:v>-9.6503141994516081E-2</c:v>
                </c:pt>
                <c:pt idx="1">
                  <c:v>0.2762060736154095</c:v>
                </c:pt>
                <c:pt idx="2">
                  <c:v>0.286404499887493</c:v>
                </c:pt>
                <c:pt idx="3">
                  <c:v>0.3949667932606829</c:v>
                </c:pt>
                <c:pt idx="4">
                  <c:v>0.45560372193221721</c:v>
                </c:pt>
                <c:pt idx="5">
                  <c:v>0.40544589742862414</c:v>
                </c:pt>
                <c:pt idx="6">
                  <c:v>0.34701445314875862</c:v>
                </c:pt>
                <c:pt idx="7">
                  <c:v>0.28248976303900308</c:v>
                </c:pt>
                <c:pt idx="8">
                  <c:v>0.56908439077537376</c:v>
                </c:pt>
                <c:pt idx="9">
                  <c:v>0.53652588561818915</c:v>
                </c:pt>
                <c:pt idx="10">
                  <c:v>0.53439286918190143</c:v>
                </c:pt>
                <c:pt idx="11">
                  <c:v>0.41352471502092036</c:v>
                </c:pt>
                <c:pt idx="12">
                  <c:v>0.45962820827404571</c:v>
                </c:pt>
                <c:pt idx="13">
                  <c:v>0.48152477811926975</c:v>
                </c:pt>
                <c:pt idx="14">
                  <c:v>0.63706162022708224</c:v>
                </c:pt>
                <c:pt idx="15">
                  <c:v>0.65381705651770039</c:v>
                </c:pt>
                <c:pt idx="16">
                  <c:v>0.61078312274436908</c:v>
                </c:pt>
                <c:pt idx="17">
                  <c:v>0.56144445008385402</c:v>
                </c:pt>
                <c:pt idx="18">
                  <c:v>0.69841251175112284</c:v>
                </c:pt>
                <c:pt idx="19">
                  <c:v>0.5882855054202869</c:v>
                </c:pt>
                <c:pt idx="20">
                  <c:v>0.5376140811752963</c:v>
                </c:pt>
                <c:pt idx="21">
                  <c:v>0.61605049362088371</c:v>
                </c:pt>
                <c:pt idx="22">
                  <c:v>0.5640216955637416</c:v>
                </c:pt>
                <c:pt idx="23">
                  <c:v>0.54036527687807079</c:v>
                </c:pt>
                <c:pt idx="24">
                  <c:v>0.58695140080386377</c:v>
                </c:pt>
                <c:pt idx="25">
                  <c:v>0.51295544901968015</c:v>
                </c:pt>
                <c:pt idx="26">
                  <c:v>0.52943641522786822</c:v>
                </c:pt>
                <c:pt idx="27">
                  <c:v>0.48974593410015993</c:v>
                </c:pt>
                <c:pt idx="28">
                  <c:v>0.53703241034586346</c:v>
                </c:pt>
                <c:pt idx="29">
                  <c:v>0.39930612316820907</c:v>
                </c:pt>
                <c:pt idx="30">
                  <c:v>0.44363066738328488</c:v>
                </c:pt>
                <c:pt idx="31">
                  <c:v>0.45813135430921659</c:v>
                </c:pt>
                <c:pt idx="32">
                  <c:v>0.43328209717668559</c:v>
                </c:pt>
                <c:pt idx="33">
                  <c:v>0.42909766254435244</c:v>
                </c:pt>
                <c:pt idx="34">
                  <c:v>0.35973621135243605</c:v>
                </c:pt>
                <c:pt idx="35">
                  <c:v>0.3273760375557746</c:v>
                </c:pt>
                <c:pt idx="36">
                  <c:v>0.25874483046615604</c:v>
                </c:pt>
                <c:pt idx="37">
                  <c:v>0.19800989866546853</c:v>
                </c:pt>
                <c:pt idx="38">
                  <c:v>0.13464008620200144</c:v>
                </c:pt>
                <c:pt idx="39">
                  <c:v>0.21292578009475566</c:v>
                </c:pt>
                <c:pt idx="40">
                  <c:v>0.25029290689087735</c:v>
                </c:pt>
                <c:pt idx="41">
                  <c:v>0.22574208719259864</c:v>
                </c:pt>
                <c:pt idx="42">
                  <c:v>0.27447530854670044</c:v>
                </c:pt>
                <c:pt idx="43">
                  <c:v>0.339730299199129</c:v>
                </c:pt>
                <c:pt idx="44">
                  <c:v>0.37967356028859534</c:v>
                </c:pt>
                <c:pt idx="45">
                  <c:v>0.33244674196115648</c:v>
                </c:pt>
                <c:pt idx="46">
                  <c:v>0.3481066812157374</c:v>
                </c:pt>
                <c:pt idx="47">
                  <c:v>0.26674611526096925</c:v>
                </c:pt>
                <c:pt idx="48">
                  <c:v>0.29575177456146107</c:v>
                </c:pt>
                <c:pt idx="49">
                  <c:v>0.20442849449295758</c:v>
                </c:pt>
                <c:pt idx="50">
                  <c:v>0.21504200930061054</c:v>
                </c:pt>
                <c:pt idx="51">
                  <c:v>0.32383110911673324</c:v>
                </c:pt>
                <c:pt idx="52">
                  <c:v>0.29289441749438316</c:v>
                </c:pt>
                <c:pt idx="53">
                  <c:v>0.34593769139917924</c:v>
                </c:pt>
                <c:pt idx="54">
                  <c:v>0.29972057741615699</c:v>
                </c:pt>
                <c:pt idx="55">
                  <c:v>0.24274255319524535</c:v>
                </c:pt>
                <c:pt idx="56">
                  <c:v>0.25651870359766621</c:v>
                </c:pt>
                <c:pt idx="57">
                  <c:v>0.20180947743992617</c:v>
                </c:pt>
                <c:pt idx="58">
                  <c:v>0.27039613655489581</c:v>
                </c:pt>
                <c:pt idx="59">
                  <c:v>0.25913110946745055</c:v>
                </c:pt>
                <c:pt idx="60">
                  <c:v>0.33200052835003946</c:v>
                </c:pt>
                <c:pt idx="61">
                  <c:v>0.33207842975378565</c:v>
                </c:pt>
                <c:pt idx="62">
                  <c:v>0.26948003518124086</c:v>
                </c:pt>
                <c:pt idx="63">
                  <c:v>0.33553407040682276</c:v>
                </c:pt>
                <c:pt idx="64">
                  <c:v>0.35212351393298164</c:v>
                </c:pt>
                <c:pt idx="65">
                  <c:v>0.36630773464078642</c:v>
                </c:pt>
                <c:pt idx="66">
                  <c:v>0.3791106659311142</c:v>
                </c:pt>
                <c:pt idx="67">
                  <c:v>0.50287280236756926</c:v>
                </c:pt>
                <c:pt idx="68">
                  <c:v>0.48604902491728297</c:v>
                </c:pt>
                <c:pt idx="69">
                  <c:v>0.449415358721723</c:v>
                </c:pt>
                <c:pt idx="70">
                  <c:v>0.46889177851751646</c:v>
                </c:pt>
                <c:pt idx="71">
                  <c:v>0.52780674627006519</c:v>
                </c:pt>
                <c:pt idx="72">
                  <c:v>0.49186085614066144</c:v>
                </c:pt>
                <c:pt idx="73">
                  <c:v>0.52049675120639294</c:v>
                </c:pt>
                <c:pt idx="74">
                  <c:v>0.42715835874255609</c:v>
                </c:pt>
                <c:pt idx="75">
                  <c:v>0.53006482771990338</c:v>
                </c:pt>
                <c:pt idx="76">
                  <c:v>0.56002883694498085</c:v>
                </c:pt>
                <c:pt idx="77">
                  <c:v>0.69112023972904224</c:v>
                </c:pt>
                <c:pt idx="78">
                  <c:v>0.86477194545116221</c:v>
                </c:pt>
                <c:pt idx="79">
                  <c:v>0.95386646512698237</c:v>
                </c:pt>
                <c:pt idx="80">
                  <c:v>1.027234585175433</c:v>
                </c:pt>
                <c:pt idx="81">
                  <c:v>0.98588515530746546</c:v>
                </c:pt>
                <c:pt idx="82">
                  <c:v>1.2116163825725927</c:v>
                </c:pt>
                <c:pt idx="83">
                  <c:v>1.2745023408562941</c:v>
                </c:pt>
                <c:pt idx="84">
                  <c:v>1.2051654961210572</c:v>
                </c:pt>
                <c:pt idx="85">
                  <c:v>1.2922098521937753</c:v>
                </c:pt>
                <c:pt idx="86">
                  <c:v>1.3488824979658747</c:v>
                </c:pt>
                <c:pt idx="87">
                  <c:v>1.380304472959123</c:v>
                </c:pt>
                <c:pt idx="88">
                  <c:v>1.3336779371665244</c:v>
                </c:pt>
                <c:pt idx="89">
                  <c:v>1.190528120195284</c:v>
                </c:pt>
                <c:pt idx="90">
                  <c:v>1.297507364394852</c:v>
                </c:pt>
                <c:pt idx="91">
                  <c:v>1.1699715289619024</c:v>
                </c:pt>
                <c:pt idx="92">
                  <c:v>1.1325935181967735</c:v>
                </c:pt>
                <c:pt idx="93">
                  <c:v>1.0843564479086092</c:v>
                </c:pt>
                <c:pt idx="94">
                  <c:v>1.1012674346128648</c:v>
                </c:pt>
                <c:pt idx="95">
                  <c:v>1.0938728596374101</c:v>
                </c:pt>
                <c:pt idx="96">
                  <c:v>1.1570515195521829</c:v>
                </c:pt>
                <c:pt idx="97">
                  <c:v>1.1631933664569918</c:v>
                </c:pt>
                <c:pt idx="98">
                  <c:v>1.175678026637432</c:v>
                </c:pt>
                <c:pt idx="99">
                  <c:v>1.1935469184542116</c:v>
                </c:pt>
                <c:pt idx="100">
                  <c:v>1.236017591531974</c:v>
                </c:pt>
                <c:pt idx="101">
                  <c:v>1.1561306435876317</c:v>
                </c:pt>
                <c:pt idx="102">
                  <c:v>1.1825064790295083</c:v>
                </c:pt>
                <c:pt idx="103">
                  <c:v>1.2127330972436321</c:v>
                </c:pt>
                <c:pt idx="104">
                  <c:v>1.1450406652985061</c:v>
                </c:pt>
                <c:pt idx="105">
                  <c:v>1.1944343557983907</c:v>
                </c:pt>
                <c:pt idx="106">
                  <c:v>1.1372707210671382</c:v>
                </c:pt>
                <c:pt idx="107">
                  <c:v>0.834550271424356</c:v>
                </c:pt>
                <c:pt idx="108">
                  <c:v>0.8183535398061148</c:v>
                </c:pt>
                <c:pt idx="109">
                  <c:v>0.83706255085000691</c:v>
                </c:pt>
                <c:pt idx="110">
                  <c:v>0.78295423219287663</c:v>
                </c:pt>
                <c:pt idx="111">
                  <c:v>0.73538760975181261</c:v>
                </c:pt>
                <c:pt idx="112">
                  <c:v>0.63361277570034458</c:v>
                </c:pt>
                <c:pt idx="113">
                  <c:v>0.63330878249751676</c:v>
                </c:pt>
                <c:pt idx="114">
                  <c:v>0.65711732936518541</c:v>
                </c:pt>
                <c:pt idx="115">
                  <c:v>0.59009476013664242</c:v>
                </c:pt>
                <c:pt idx="116">
                  <c:v>0.74964017149591466</c:v>
                </c:pt>
                <c:pt idx="117">
                  <c:v>0.78997036428714817</c:v>
                </c:pt>
                <c:pt idx="118">
                  <c:v>0.86290844419129098</c:v>
                </c:pt>
                <c:pt idx="119">
                  <c:v>0.88494370918616494</c:v>
                </c:pt>
                <c:pt idx="120">
                  <c:v>0.84741356540819657</c:v>
                </c:pt>
                <c:pt idx="121">
                  <c:v>0.91957719712635955</c:v>
                </c:pt>
                <c:pt idx="122">
                  <c:v>0.96534792607804021</c:v>
                </c:pt>
                <c:pt idx="123">
                  <c:v>0.82557956913716879</c:v>
                </c:pt>
                <c:pt idx="124">
                  <c:v>0.85111819628400132</c:v>
                </c:pt>
                <c:pt idx="125">
                  <c:v>0.82957252596352127</c:v>
                </c:pt>
                <c:pt idx="126">
                  <c:v>0.91324616065606001</c:v>
                </c:pt>
                <c:pt idx="127">
                  <c:v>0.8766496628922561</c:v>
                </c:pt>
                <c:pt idx="128">
                  <c:v>0.76747272998237748</c:v>
                </c:pt>
                <c:pt idx="129">
                  <c:v>0.82359921024970217</c:v>
                </c:pt>
                <c:pt idx="130">
                  <c:v>0.89975628704632205</c:v>
                </c:pt>
                <c:pt idx="131">
                  <c:v>1.0131133429816335</c:v>
                </c:pt>
                <c:pt idx="132">
                  <c:v>1.0163040634831604</c:v>
                </c:pt>
                <c:pt idx="133">
                  <c:v>0.95060307234431818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93-477C-8E42-2CBD9687F44C}"/>
            </c:ext>
          </c:extLst>
        </c:ser>
        <c:ser>
          <c:idx val="4"/>
          <c:order val="4"/>
          <c:tx>
            <c:strRef>
              <c:f>'預測(XGB)累積報酬'!$B$16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'預測(XGB)累積報酬'!$C$11:$EF$11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'預測(XGB)累積報酬'!$C$16:$EF$16</c:f>
              <c:numCache>
                <c:formatCode>General</c:formatCode>
                <c:ptCount val="134"/>
                <c:pt idx="0">
                  <c:v>-2.7383644610379052E-2</c:v>
                </c:pt>
                <c:pt idx="1">
                  <c:v>0.38081133412220153</c:v>
                </c:pt>
                <c:pt idx="2">
                  <c:v>0.38364151073228692</c:v>
                </c:pt>
                <c:pt idx="3">
                  <c:v>0.48302400358777398</c:v>
                </c:pt>
                <c:pt idx="4">
                  <c:v>0.55672026871469782</c:v>
                </c:pt>
                <c:pt idx="5">
                  <c:v>0.49572126409776096</c:v>
                </c:pt>
                <c:pt idx="6">
                  <c:v>0.43819064543213954</c:v>
                </c:pt>
                <c:pt idx="7">
                  <c:v>0.36949661217891183</c:v>
                </c:pt>
                <c:pt idx="8">
                  <c:v>0.65416716240544392</c:v>
                </c:pt>
                <c:pt idx="9">
                  <c:v>0.64428062781757511</c:v>
                </c:pt>
                <c:pt idx="10">
                  <c:v>0.63029319195565803</c:v>
                </c:pt>
                <c:pt idx="11">
                  <c:v>0.5046225664129077</c:v>
                </c:pt>
                <c:pt idx="12">
                  <c:v>0.5202436586382182</c:v>
                </c:pt>
                <c:pt idx="13">
                  <c:v>0.52843183815255013</c:v>
                </c:pt>
                <c:pt idx="14">
                  <c:v>0.68633490857688817</c:v>
                </c:pt>
                <c:pt idx="15">
                  <c:v>0.70551767083252326</c:v>
                </c:pt>
                <c:pt idx="16">
                  <c:v>0.6631024876215692</c:v>
                </c:pt>
                <c:pt idx="17">
                  <c:v>0.63987570267742966</c:v>
                </c:pt>
                <c:pt idx="18">
                  <c:v>0.76993817410717413</c:v>
                </c:pt>
                <c:pt idx="19">
                  <c:v>0.69436668799826717</c:v>
                </c:pt>
                <c:pt idx="20">
                  <c:v>0.59273533086709174</c:v>
                </c:pt>
                <c:pt idx="21">
                  <c:v>0.66641360852455889</c:v>
                </c:pt>
                <c:pt idx="22">
                  <c:v>0.61613477406349637</c:v>
                </c:pt>
                <c:pt idx="23">
                  <c:v>0.59605897918507156</c:v>
                </c:pt>
                <c:pt idx="24">
                  <c:v>0.64628450605098586</c:v>
                </c:pt>
                <c:pt idx="25">
                  <c:v>0.57526837963364874</c:v>
                </c:pt>
                <c:pt idx="26">
                  <c:v>0.62249461583620924</c:v>
                </c:pt>
                <c:pt idx="27">
                  <c:v>0.58768344397895778</c:v>
                </c:pt>
                <c:pt idx="28">
                  <c:v>0.63921843586085969</c:v>
                </c:pt>
                <c:pt idx="29">
                  <c:v>0.49130282559643318</c:v>
                </c:pt>
                <c:pt idx="30">
                  <c:v>0.53507898533220555</c:v>
                </c:pt>
                <c:pt idx="31">
                  <c:v>0.57918600435521506</c:v>
                </c:pt>
                <c:pt idx="32">
                  <c:v>0.54580274868356771</c:v>
                </c:pt>
                <c:pt idx="33">
                  <c:v>0.56343199040660286</c:v>
                </c:pt>
                <c:pt idx="34">
                  <c:v>0.52599853742511504</c:v>
                </c:pt>
                <c:pt idx="35">
                  <c:v>0.52055883479446208</c:v>
                </c:pt>
                <c:pt idx="36">
                  <c:v>0.46841310231437094</c:v>
                </c:pt>
                <c:pt idx="37">
                  <c:v>0.41570095881935154</c:v>
                </c:pt>
                <c:pt idx="38">
                  <c:v>0.35427628699343922</c:v>
                </c:pt>
                <c:pt idx="39">
                  <c:v>0.43207465513902776</c:v>
                </c:pt>
                <c:pt idx="40">
                  <c:v>0.47054085528509637</c:v>
                </c:pt>
                <c:pt idx="41">
                  <c:v>0.43804809556503266</c:v>
                </c:pt>
                <c:pt idx="42">
                  <c:v>0.4906908138032664</c:v>
                </c:pt>
                <c:pt idx="43">
                  <c:v>0.54023796912163646</c:v>
                </c:pt>
                <c:pt idx="44">
                  <c:v>0.58206480737653155</c:v>
                </c:pt>
                <c:pt idx="45">
                  <c:v>0.57299230059651285</c:v>
                </c:pt>
                <c:pt idx="46">
                  <c:v>0.61224523067116354</c:v>
                </c:pt>
                <c:pt idx="47">
                  <c:v>0.51162390156976079</c:v>
                </c:pt>
                <c:pt idx="48">
                  <c:v>0.53122575516890003</c:v>
                </c:pt>
                <c:pt idx="49">
                  <c:v>0.42631611999018781</c:v>
                </c:pt>
                <c:pt idx="50">
                  <c:v>0.44123922504777391</c:v>
                </c:pt>
                <c:pt idx="51">
                  <c:v>0.57371396264434571</c:v>
                </c:pt>
                <c:pt idx="52">
                  <c:v>0.53471457072211404</c:v>
                </c:pt>
                <c:pt idx="53">
                  <c:v>0.57065128226801809</c:v>
                </c:pt>
                <c:pt idx="54">
                  <c:v>0.52651214562794924</c:v>
                </c:pt>
                <c:pt idx="55">
                  <c:v>0.47192718242216297</c:v>
                </c:pt>
                <c:pt idx="56">
                  <c:v>0.49125838939386535</c:v>
                </c:pt>
                <c:pt idx="57">
                  <c:v>0.42921836384229772</c:v>
                </c:pt>
                <c:pt idx="58">
                  <c:v>0.47066217160555962</c:v>
                </c:pt>
                <c:pt idx="59">
                  <c:v>0.45015835532235204</c:v>
                </c:pt>
                <c:pt idx="60">
                  <c:v>0.55493155824292073</c:v>
                </c:pt>
                <c:pt idx="61">
                  <c:v>0.54651730084919004</c:v>
                </c:pt>
                <c:pt idx="62">
                  <c:v>0.47671147559638954</c:v>
                </c:pt>
                <c:pt idx="63">
                  <c:v>0.5439094460010786</c:v>
                </c:pt>
                <c:pt idx="64">
                  <c:v>0.55986976499581453</c:v>
                </c:pt>
                <c:pt idx="65">
                  <c:v>0.58071294854339506</c:v>
                </c:pt>
                <c:pt idx="66">
                  <c:v>0.59719096479832368</c:v>
                </c:pt>
                <c:pt idx="67">
                  <c:v>0.72777393302334525</c:v>
                </c:pt>
                <c:pt idx="68">
                  <c:v>0.71458235987588103</c:v>
                </c:pt>
                <c:pt idx="69">
                  <c:v>0.67651628166363564</c:v>
                </c:pt>
                <c:pt idx="70">
                  <c:v>0.7342813918484361</c:v>
                </c:pt>
                <c:pt idx="71">
                  <c:v>0.79499263129527697</c:v>
                </c:pt>
                <c:pt idx="72">
                  <c:v>0.72925170386874238</c:v>
                </c:pt>
                <c:pt idx="73">
                  <c:v>0.76081094138987337</c:v>
                </c:pt>
                <c:pt idx="74">
                  <c:v>0.64181623333659488</c:v>
                </c:pt>
                <c:pt idx="75">
                  <c:v>0.75334208183824414</c:v>
                </c:pt>
                <c:pt idx="76">
                  <c:v>0.78077425148993806</c:v>
                </c:pt>
                <c:pt idx="77">
                  <c:v>0.9200829874232721</c:v>
                </c:pt>
                <c:pt idx="78">
                  <c:v>0.96447114059347794</c:v>
                </c:pt>
                <c:pt idx="79">
                  <c:v>1.0522222308590718</c:v>
                </c:pt>
                <c:pt idx="80">
                  <c:v>1.1458364613269876</c:v>
                </c:pt>
                <c:pt idx="81">
                  <c:v>1.0930363769917066</c:v>
                </c:pt>
                <c:pt idx="82">
                  <c:v>1.2392324170178484</c:v>
                </c:pt>
                <c:pt idx="83">
                  <c:v>1.2809298317208755</c:v>
                </c:pt>
                <c:pt idx="84">
                  <c:v>1.2225850818763675</c:v>
                </c:pt>
                <c:pt idx="85">
                  <c:v>1.2681086326640341</c:v>
                </c:pt>
                <c:pt idx="86">
                  <c:v>1.3445816163817244</c:v>
                </c:pt>
                <c:pt idx="87">
                  <c:v>1.3604602987164336</c:v>
                </c:pt>
                <c:pt idx="88">
                  <c:v>1.3534605719707813</c:v>
                </c:pt>
                <c:pt idx="89">
                  <c:v>1.1931006556542538</c:v>
                </c:pt>
                <c:pt idx="90">
                  <c:v>1.3277408644481592</c:v>
                </c:pt>
                <c:pt idx="91">
                  <c:v>1.1911091749660678</c:v>
                </c:pt>
                <c:pt idx="92">
                  <c:v>1.1496735693066573</c:v>
                </c:pt>
                <c:pt idx="93">
                  <c:v>1.1013738026233408</c:v>
                </c:pt>
                <c:pt idx="94">
                  <c:v>1.1231808115329629</c:v>
                </c:pt>
                <c:pt idx="95">
                  <c:v>1.118113405032122</c:v>
                </c:pt>
                <c:pt idx="96">
                  <c:v>1.1815480593910967</c:v>
                </c:pt>
                <c:pt idx="97">
                  <c:v>1.1982991434718175</c:v>
                </c:pt>
                <c:pt idx="98">
                  <c:v>1.2074933030044392</c:v>
                </c:pt>
                <c:pt idx="99">
                  <c:v>1.2141800806826675</c:v>
                </c:pt>
                <c:pt idx="100">
                  <c:v>1.263297129799293</c:v>
                </c:pt>
                <c:pt idx="101">
                  <c:v>1.1606638706211605</c:v>
                </c:pt>
                <c:pt idx="102">
                  <c:v>1.190468664588396</c:v>
                </c:pt>
                <c:pt idx="103">
                  <c:v>1.2331808343686219</c:v>
                </c:pt>
                <c:pt idx="104">
                  <c:v>1.1499167827456374</c:v>
                </c:pt>
                <c:pt idx="105">
                  <c:v>1.219987717802995</c:v>
                </c:pt>
                <c:pt idx="106">
                  <c:v>1.1854353174442049</c:v>
                </c:pt>
                <c:pt idx="107">
                  <c:v>0.85985576652705231</c:v>
                </c:pt>
                <c:pt idx="108">
                  <c:v>0.84540281889561364</c:v>
                </c:pt>
                <c:pt idx="109">
                  <c:v>0.86453216231358476</c:v>
                </c:pt>
                <c:pt idx="110">
                  <c:v>0.81913266441232357</c:v>
                </c:pt>
                <c:pt idx="111">
                  <c:v>0.76737944333976837</c:v>
                </c:pt>
                <c:pt idx="112">
                  <c:v>0.63378508671418765</c:v>
                </c:pt>
                <c:pt idx="113">
                  <c:v>0.61191221246441341</c:v>
                </c:pt>
                <c:pt idx="114">
                  <c:v>0.64224316222275435</c:v>
                </c:pt>
                <c:pt idx="115">
                  <c:v>0.58553558528443761</c:v>
                </c:pt>
                <c:pt idx="116">
                  <c:v>0.75512653167251187</c:v>
                </c:pt>
                <c:pt idx="117">
                  <c:v>0.77984311505024739</c:v>
                </c:pt>
                <c:pt idx="118">
                  <c:v>0.84740363499588334</c:v>
                </c:pt>
                <c:pt idx="119">
                  <c:v>0.85858180264498463</c:v>
                </c:pt>
                <c:pt idx="120">
                  <c:v>0.83714112993249157</c:v>
                </c:pt>
                <c:pt idx="121">
                  <c:v>0.93767525775695715</c:v>
                </c:pt>
                <c:pt idx="122">
                  <c:v>1.0021489915264958</c:v>
                </c:pt>
                <c:pt idx="123">
                  <c:v>0.86519525950870235</c:v>
                </c:pt>
                <c:pt idx="124">
                  <c:v>0.90611298920839323</c:v>
                </c:pt>
                <c:pt idx="125">
                  <c:v>0.8841652614323523</c:v>
                </c:pt>
                <c:pt idx="126">
                  <c:v>0.97915012565358928</c:v>
                </c:pt>
                <c:pt idx="127">
                  <c:v>0.9665009540677999</c:v>
                </c:pt>
                <c:pt idx="128">
                  <c:v>0.82670193532441016</c:v>
                </c:pt>
                <c:pt idx="129">
                  <c:v>0.89757737910396118</c:v>
                </c:pt>
                <c:pt idx="130">
                  <c:v>0.96607885967180018</c:v>
                </c:pt>
                <c:pt idx="131">
                  <c:v>1.0814956071707214</c:v>
                </c:pt>
                <c:pt idx="132">
                  <c:v>1.085892282477481</c:v>
                </c:pt>
                <c:pt idx="133">
                  <c:v>1.0434178809835739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93-477C-8E42-2CBD9687F44C}"/>
            </c:ext>
          </c:extLst>
        </c:ser>
        <c:ser>
          <c:idx val="5"/>
          <c:order val="5"/>
          <c:tx>
            <c:strRef>
              <c:f>'預測(XGB)累積報酬'!$B$17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'預測(XGB)累積報酬'!$C$11:$EF$11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'預測(XGB)累積報酬'!$C$17:$EF$17</c:f>
              <c:numCache>
                <c:formatCode>General</c:formatCode>
                <c:ptCount val="134"/>
                <c:pt idx="0">
                  <c:v>-4.1028984252961823E-2</c:v>
                </c:pt>
                <c:pt idx="1">
                  <c:v>0.3985595043716596</c:v>
                </c:pt>
                <c:pt idx="2">
                  <c:v>0.39118050287635825</c:v>
                </c:pt>
                <c:pt idx="3">
                  <c:v>0.50401801799365398</c:v>
                </c:pt>
                <c:pt idx="4">
                  <c:v>0.57524078487183572</c:v>
                </c:pt>
                <c:pt idx="5">
                  <c:v>0.49855296330921883</c:v>
                </c:pt>
                <c:pt idx="6">
                  <c:v>0.38482793550703132</c:v>
                </c:pt>
                <c:pt idx="7">
                  <c:v>0.26952886226508144</c:v>
                </c:pt>
                <c:pt idx="8">
                  <c:v>0.56635541336564388</c:v>
                </c:pt>
                <c:pt idx="9">
                  <c:v>0.55664452385748586</c:v>
                </c:pt>
                <c:pt idx="10">
                  <c:v>0.57130366594777426</c:v>
                </c:pt>
                <c:pt idx="11">
                  <c:v>0.43535523389498909</c:v>
                </c:pt>
                <c:pt idx="12">
                  <c:v>0.45998728910693476</c:v>
                </c:pt>
                <c:pt idx="13">
                  <c:v>0.47337023585030308</c:v>
                </c:pt>
                <c:pt idx="14">
                  <c:v>0.63517153046542996</c:v>
                </c:pt>
                <c:pt idx="15">
                  <c:v>0.6371467817460994</c:v>
                </c:pt>
                <c:pt idx="16">
                  <c:v>0.58201475600812702</c:v>
                </c:pt>
                <c:pt idx="17">
                  <c:v>0.55850716735656603</c:v>
                </c:pt>
                <c:pt idx="18">
                  <c:v>0.69977830989512291</c:v>
                </c:pt>
                <c:pt idx="19">
                  <c:v>0.60251865404251981</c:v>
                </c:pt>
                <c:pt idx="20">
                  <c:v>0.47385139968485124</c:v>
                </c:pt>
                <c:pt idx="21">
                  <c:v>0.57403736668883953</c:v>
                </c:pt>
                <c:pt idx="22">
                  <c:v>0.50041423519843187</c:v>
                </c:pt>
                <c:pt idx="23">
                  <c:v>0.47880574540416548</c:v>
                </c:pt>
                <c:pt idx="24">
                  <c:v>0.54105994249063716</c:v>
                </c:pt>
                <c:pt idx="25">
                  <c:v>0.48272578179985903</c:v>
                </c:pt>
                <c:pt idx="26">
                  <c:v>0.5414544720903528</c:v>
                </c:pt>
                <c:pt idx="27">
                  <c:v>0.47283464885350601</c:v>
                </c:pt>
                <c:pt idx="28">
                  <c:v>0.53227814854919842</c:v>
                </c:pt>
                <c:pt idx="29">
                  <c:v>0.41199182389335193</c:v>
                </c:pt>
                <c:pt idx="30">
                  <c:v>0.4746319654644906</c:v>
                </c:pt>
                <c:pt idx="31">
                  <c:v>0.50655341567682144</c:v>
                </c:pt>
                <c:pt idx="32">
                  <c:v>0.44951544002133492</c:v>
                </c:pt>
                <c:pt idx="33">
                  <c:v>0.47172289954608138</c:v>
                </c:pt>
                <c:pt idx="34">
                  <c:v>0.44234700993650611</c:v>
                </c:pt>
                <c:pt idx="35">
                  <c:v>0.41532882776781749</c:v>
                </c:pt>
                <c:pt idx="36">
                  <c:v>0.32197711774128723</c:v>
                </c:pt>
                <c:pt idx="37">
                  <c:v>0.2726167453222732</c:v>
                </c:pt>
                <c:pt idx="38">
                  <c:v>0.25998441072654899</c:v>
                </c:pt>
                <c:pt idx="39">
                  <c:v>0.33722722514613446</c:v>
                </c:pt>
                <c:pt idx="40">
                  <c:v>0.39775436254763347</c:v>
                </c:pt>
                <c:pt idx="41">
                  <c:v>0.36275708151257602</c:v>
                </c:pt>
                <c:pt idx="42">
                  <c:v>0.42156003845681034</c:v>
                </c:pt>
                <c:pt idx="43">
                  <c:v>0.47382784490653257</c:v>
                </c:pt>
                <c:pt idx="44">
                  <c:v>0.52838335219322041</c:v>
                </c:pt>
                <c:pt idx="45">
                  <c:v>0.507177449410952</c:v>
                </c:pt>
                <c:pt idx="46">
                  <c:v>0.51559933745278874</c:v>
                </c:pt>
                <c:pt idx="47">
                  <c:v>0.41798023233518078</c:v>
                </c:pt>
                <c:pt idx="48">
                  <c:v>0.43345827804042725</c:v>
                </c:pt>
                <c:pt idx="49">
                  <c:v>0.30830067578023612</c:v>
                </c:pt>
                <c:pt idx="50">
                  <c:v>0.31812585488734907</c:v>
                </c:pt>
                <c:pt idx="51">
                  <c:v>0.47139713916573378</c:v>
                </c:pt>
                <c:pt idx="52">
                  <c:v>0.44410431478524381</c:v>
                </c:pt>
                <c:pt idx="53">
                  <c:v>0.4664607970314486</c:v>
                </c:pt>
                <c:pt idx="54">
                  <c:v>0.45016340826090434</c:v>
                </c:pt>
                <c:pt idx="55">
                  <c:v>0.3727458042058317</c:v>
                </c:pt>
                <c:pt idx="56">
                  <c:v>0.35959249342005944</c:v>
                </c:pt>
                <c:pt idx="57">
                  <c:v>0.31085449917527125</c:v>
                </c:pt>
                <c:pt idx="58">
                  <c:v>0.39796644461521846</c:v>
                </c:pt>
                <c:pt idx="59">
                  <c:v>0.38810838034198197</c:v>
                </c:pt>
                <c:pt idx="60">
                  <c:v>0.50292417234149955</c:v>
                </c:pt>
                <c:pt idx="61">
                  <c:v>0.51049777744844704</c:v>
                </c:pt>
                <c:pt idx="62">
                  <c:v>0.43253045166660337</c:v>
                </c:pt>
                <c:pt idx="63">
                  <c:v>0.50618721960296931</c:v>
                </c:pt>
                <c:pt idx="64">
                  <c:v>0.5375375182863511</c:v>
                </c:pt>
                <c:pt idx="65">
                  <c:v>0.57353349794083197</c:v>
                </c:pt>
                <c:pt idx="66">
                  <c:v>0.58491000838728358</c:v>
                </c:pt>
                <c:pt idx="67">
                  <c:v>0.69993236141303539</c:v>
                </c:pt>
                <c:pt idx="68">
                  <c:v>0.69582889230242884</c:v>
                </c:pt>
                <c:pt idx="69">
                  <c:v>0.66218131905607047</c:v>
                </c:pt>
                <c:pt idx="70">
                  <c:v>0.73330913780682283</c:v>
                </c:pt>
                <c:pt idx="71">
                  <c:v>0.8035194408264511</c:v>
                </c:pt>
                <c:pt idx="72">
                  <c:v>0.72308772822718526</c:v>
                </c:pt>
                <c:pt idx="73">
                  <c:v>0.75191069284685796</c:v>
                </c:pt>
                <c:pt idx="74">
                  <c:v>0.65604982092686692</c:v>
                </c:pt>
                <c:pt idx="75">
                  <c:v>0.77662797680795226</c:v>
                </c:pt>
                <c:pt idx="76">
                  <c:v>0.80382476118586699</c:v>
                </c:pt>
                <c:pt idx="77">
                  <c:v>0.95345791887875664</c:v>
                </c:pt>
                <c:pt idx="78">
                  <c:v>0.99521817135299229</c:v>
                </c:pt>
                <c:pt idx="79">
                  <c:v>1.0593241166183196</c:v>
                </c:pt>
                <c:pt idx="80">
                  <c:v>1.1550321902798146</c:v>
                </c:pt>
                <c:pt idx="81">
                  <c:v>1.0967933936851182</c:v>
                </c:pt>
                <c:pt idx="82">
                  <c:v>1.2738280010084697</c:v>
                </c:pt>
                <c:pt idx="83">
                  <c:v>1.3324644476155196</c:v>
                </c:pt>
                <c:pt idx="84">
                  <c:v>1.2500115332954624</c:v>
                </c:pt>
                <c:pt idx="85">
                  <c:v>1.3007538547799045</c:v>
                </c:pt>
                <c:pt idx="86">
                  <c:v>1.3924924274378174</c:v>
                </c:pt>
                <c:pt idx="87">
                  <c:v>1.3830660826687862</c:v>
                </c:pt>
                <c:pt idx="88">
                  <c:v>1.3847360555621395</c:v>
                </c:pt>
                <c:pt idx="89">
                  <c:v>1.2082047769807527</c:v>
                </c:pt>
                <c:pt idx="90">
                  <c:v>1.3456176523102779</c:v>
                </c:pt>
                <c:pt idx="91">
                  <c:v>1.1974583831129342</c:v>
                </c:pt>
                <c:pt idx="92">
                  <c:v>1.1563704499295309</c:v>
                </c:pt>
                <c:pt idx="93">
                  <c:v>1.1056939592273076</c:v>
                </c:pt>
                <c:pt idx="94">
                  <c:v>1.1172394749443129</c:v>
                </c:pt>
                <c:pt idx="95">
                  <c:v>1.0679794185551197</c:v>
                </c:pt>
                <c:pt idx="96">
                  <c:v>1.1423877261383737</c:v>
                </c:pt>
                <c:pt idx="97">
                  <c:v>1.1385081181984462</c:v>
                </c:pt>
                <c:pt idx="98">
                  <c:v>1.1582699721077991</c:v>
                </c:pt>
                <c:pt idx="99">
                  <c:v>1.1832624213133207</c:v>
                </c:pt>
                <c:pt idx="100">
                  <c:v>1.2326457200294108</c:v>
                </c:pt>
                <c:pt idx="101">
                  <c:v>1.1083968821817902</c:v>
                </c:pt>
                <c:pt idx="102">
                  <c:v>1.1522927413269244</c:v>
                </c:pt>
                <c:pt idx="103">
                  <c:v>1.1871757521193924</c:v>
                </c:pt>
                <c:pt idx="104">
                  <c:v>1.0883263595695829</c:v>
                </c:pt>
                <c:pt idx="105">
                  <c:v>1.1734602926537367</c:v>
                </c:pt>
                <c:pt idx="106">
                  <c:v>1.1493354293070148</c:v>
                </c:pt>
                <c:pt idx="107">
                  <c:v>0.79710987503554276</c:v>
                </c:pt>
                <c:pt idx="108">
                  <c:v>0.79894915696445112</c:v>
                </c:pt>
                <c:pt idx="109">
                  <c:v>0.83767580790246388</c:v>
                </c:pt>
                <c:pt idx="110">
                  <c:v>0.80263127183651883</c:v>
                </c:pt>
                <c:pt idx="111">
                  <c:v>0.74548477150917547</c:v>
                </c:pt>
                <c:pt idx="112">
                  <c:v>0.5894483433926293</c:v>
                </c:pt>
                <c:pt idx="113">
                  <c:v>0.58551861170150066</c:v>
                </c:pt>
                <c:pt idx="114">
                  <c:v>0.63777152228381673</c:v>
                </c:pt>
                <c:pt idx="115">
                  <c:v>0.57714233949126825</c:v>
                </c:pt>
                <c:pt idx="116">
                  <c:v>0.75690526558999704</c:v>
                </c:pt>
                <c:pt idx="117">
                  <c:v>0.7820026955980518</c:v>
                </c:pt>
                <c:pt idx="118">
                  <c:v>0.84724704373181403</c:v>
                </c:pt>
                <c:pt idx="119">
                  <c:v>0.87297348319808754</c:v>
                </c:pt>
                <c:pt idx="120">
                  <c:v>0.83561939444298527</c:v>
                </c:pt>
                <c:pt idx="121">
                  <c:v>0.92875834412813685</c:v>
                </c:pt>
                <c:pt idx="122">
                  <c:v>1.0004890501786421</c:v>
                </c:pt>
                <c:pt idx="123">
                  <c:v>0.88272365206768777</c:v>
                </c:pt>
                <c:pt idx="124">
                  <c:v>0.9314051354818379</c:v>
                </c:pt>
                <c:pt idx="125">
                  <c:v>0.95444031565102661</c:v>
                </c:pt>
                <c:pt idx="126">
                  <c:v>1.0804508535520814</c:v>
                </c:pt>
                <c:pt idx="127">
                  <c:v>1.0852419067980699</c:v>
                </c:pt>
                <c:pt idx="128">
                  <c:v>0.9206703835659551</c:v>
                </c:pt>
                <c:pt idx="129">
                  <c:v>0.99445135328360801</c:v>
                </c:pt>
                <c:pt idx="130">
                  <c:v>1.1159633705516312</c:v>
                </c:pt>
                <c:pt idx="131">
                  <c:v>1.2442878144805438</c:v>
                </c:pt>
                <c:pt idx="132">
                  <c:v>1.2440942933344643</c:v>
                </c:pt>
                <c:pt idx="133">
                  <c:v>1.1963845263246125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93-477C-8E42-2CBD9687F44C}"/>
            </c:ext>
          </c:extLst>
        </c:ser>
        <c:ser>
          <c:idx val="6"/>
          <c:order val="6"/>
          <c:tx>
            <c:strRef>
              <c:f>'預測(XGB)累積報酬'!$B$18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'預測(XGB)累積報酬'!$C$11:$EF$11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'預測(XGB)累積報酬'!$C$18:$EF$18</c:f>
              <c:numCache>
                <c:formatCode>General</c:formatCode>
                <c:ptCount val="134"/>
                <c:pt idx="0">
                  <c:v>-5.3942228163147227E-2</c:v>
                </c:pt>
                <c:pt idx="1">
                  <c:v>0.34794145325892079</c:v>
                </c:pt>
                <c:pt idx="2">
                  <c:v>0.40694211035712857</c:v>
                </c:pt>
                <c:pt idx="3">
                  <c:v>0.54135648479051424</c:v>
                </c:pt>
                <c:pt idx="4">
                  <c:v>0.62215073181137415</c:v>
                </c:pt>
                <c:pt idx="5">
                  <c:v>0.50023794244810404</c:v>
                </c:pt>
                <c:pt idx="6">
                  <c:v>0.36473776222486298</c:v>
                </c:pt>
                <c:pt idx="7">
                  <c:v>0.23957596913632118</c:v>
                </c:pt>
                <c:pt idx="8">
                  <c:v>0.59825806764422085</c:v>
                </c:pt>
                <c:pt idx="9">
                  <c:v>0.58527558079723929</c:v>
                </c:pt>
                <c:pt idx="10">
                  <c:v>0.61432704517369663</c:v>
                </c:pt>
                <c:pt idx="11">
                  <c:v>0.4713346178889255</c:v>
                </c:pt>
                <c:pt idx="12">
                  <c:v>0.49565849273174523</c:v>
                </c:pt>
                <c:pt idx="13">
                  <c:v>0.50398657858565421</c:v>
                </c:pt>
                <c:pt idx="14">
                  <c:v>0.69296199727514407</c:v>
                </c:pt>
                <c:pt idx="15">
                  <c:v>0.71228819620200046</c:v>
                </c:pt>
                <c:pt idx="16">
                  <c:v>0.6432748558082918</c:v>
                </c:pt>
                <c:pt idx="17">
                  <c:v>0.63824671563502711</c:v>
                </c:pt>
                <c:pt idx="18">
                  <c:v>0.77074174006484608</c:v>
                </c:pt>
                <c:pt idx="19">
                  <c:v>0.64935027863892036</c:v>
                </c:pt>
                <c:pt idx="20">
                  <c:v>0.48321544936962124</c:v>
                </c:pt>
                <c:pt idx="21">
                  <c:v>0.61033825799511154</c:v>
                </c:pt>
                <c:pt idx="22">
                  <c:v>0.50645901408630023</c:v>
                </c:pt>
                <c:pt idx="23">
                  <c:v>0.48955329789891633</c:v>
                </c:pt>
                <c:pt idx="24">
                  <c:v>0.54435779587913147</c:v>
                </c:pt>
                <c:pt idx="25">
                  <c:v>0.48264394520540804</c:v>
                </c:pt>
                <c:pt idx="26">
                  <c:v>0.54046695806136535</c:v>
                </c:pt>
                <c:pt idx="27">
                  <c:v>0.44418111287594603</c:v>
                </c:pt>
                <c:pt idx="28">
                  <c:v>0.52138270449482571</c:v>
                </c:pt>
                <c:pt idx="29">
                  <c:v>0.37083906467075234</c:v>
                </c:pt>
                <c:pt idx="30">
                  <c:v>0.45255904456350593</c:v>
                </c:pt>
                <c:pt idx="31">
                  <c:v>0.48847227497941242</c:v>
                </c:pt>
                <c:pt idx="32">
                  <c:v>0.40704852492824273</c:v>
                </c:pt>
                <c:pt idx="33">
                  <c:v>0.41437596881743222</c:v>
                </c:pt>
                <c:pt idx="34">
                  <c:v>0.39154308345543576</c:v>
                </c:pt>
                <c:pt idx="35">
                  <c:v>0.35873027167582633</c:v>
                </c:pt>
                <c:pt idx="36">
                  <c:v>0.26267724253900832</c:v>
                </c:pt>
                <c:pt idx="37">
                  <c:v>0.20901566427432391</c:v>
                </c:pt>
                <c:pt idx="38">
                  <c:v>0.20358812930663112</c:v>
                </c:pt>
                <c:pt idx="39">
                  <c:v>0.2818667212404381</c:v>
                </c:pt>
                <c:pt idx="40">
                  <c:v>0.35809756656688807</c:v>
                </c:pt>
                <c:pt idx="41">
                  <c:v>0.29640304296610648</c:v>
                </c:pt>
                <c:pt idx="42">
                  <c:v>0.37965617085529241</c:v>
                </c:pt>
                <c:pt idx="43">
                  <c:v>0.42298182067587109</c:v>
                </c:pt>
                <c:pt idx="44">
                  <c:v>0.48755746475546263</c:v>
                </c:pt>
                <c:pt idx="45">
                  <c:v>0.45878870887374545</c:v>
                </c:pt>
                <c:pt idx="46">
                  <c:v>0.48332674311485291</c:v>
                </c:pt>
                <c:pt idx="47">
                  <c:v>0.35726240568872547</c:v>
                </c:pt>
                <c:pt idx="48">
                  <c:v>0.38745176441721563</c:v>
                </c:pt>
                <c:pt idx="49">
                  <c:v>0.23904268202831652</c:v>
                </c:pt>
                <c:pt idx="50">
                  <c:v>0.2396749929530021</c:v>
                </c:pt>
                <c:pt idx="51">
                  <c:v>0.40693301143379468</c:v>
                </c:pt>
                <c:pt idx="52">
                  <c:v>0.43487506213576443</c:v>
                </c:pt>
                <c:pt idx="53">
                  <c:v>0.41085879044846402</c:v>
                </c:pt>
                <c:pt idx="54">
                  <c:v>0.38862824918958006</c:v>
                </c:pt>
                <c:pt idx="55">
                  <c:v>0.3504850981014157</c:v>
                </c:pt>
                <c:pt idx="56">
                  <c:v>0.34817686121191038</c:v>
                </c:pt>
                <c:pt idx="57">
                  <c:v>0.28524147738661604</c:v>
                </c:pt>
                <c:pt idx="58">
                  <c:v>0.39424148430528172</c:v>
                </c:pt>
                <c:pt idx="59">
                  <c:v>0.40019754835574128</c:v>
                </c:pt>
                <c:pt idx="60">
                  <c:v>0.47365317517974692</c:v>
                </c:pt>
                <c:pt idx="61">
                  <c:v>0.50000595466261577</c:v>
                </c:pt>
                <c:pt idx="62">
                  <c:v>0.43022362193313352</c:v>
                </c:pt>
                <c:pt idx="63">
                  <c:v>0.50843232141550887</c:v>
                </c:pt>
                <c:pt idx="64">
                  <c:v>0.51683905268388297</c:v>
                </c:pt>
                <c:pt idx="65">
                  <c:v>0.56369659301856501</c:v>
                </c:pt>
                <c:pt idx="66">
                  <c:v>0.56561337712841397</c:v>
                </c:pt>
                <c:pt idx="67">
                  <c:v>0.68657519501088982</c:v>
                </c:pt>
                <c:pt idx="68">
                  <c:v>0.68259156991377057</c:v>
                </c:pt>
                <c:pt idx="69">
                  <c:v>0.66929241913609283</c:v>
                </c:pt>
                <c:pt idx="70">
                  <c:v>0.74996986317613368</c:v>
                </c:pt>
                <c:pt idx="71">
                  <c:v>0.83089325845317608</c:v>
                </c:pt>
                <c:pt idx="72">
                  <c:v>0.74558217151998063</c:v>
                </c:pt>
                <c:pt idx="73">
                  <c:v>0.76460064623601631</c:v>
                </c:pt>
                <c:pt idx="74">
                  <c:v>0.70191390178593138</c:v>
                </c:pt>
                <c:pt idx="75">
                  <c:v>0.85523388958852942</c:v>
                </c:pt>
                <c:pt idx="76">
                  <c:v>0.88852005448905846</c:v>
                </c:pt>
                <c:pt idx="77">
                  <c:v>0.99536611495913163</c:v>
                </c:pt>
                <c:pt idx="78">
                  <c:v>1.1000267388007767</c:v>
                </c:pt>
                <c:pt idx="79">
                  <c:v>1.150472533355815</c:v>
                </c:pt>
                <c:pt idx="80">
                  <c:v>1.2277329282340377</c:v>
                </c:pt>
                <c:pt idx="81">
                  <c:v>1.2716906716206464</c:v>
                </c:pt>
                <c:pt idx="82">
                  <c:v>1.4983320775222664</c:v>
                </c:pt>
                <c:pt idx="83">
                  <c:v>1.6609891242094996</c:v>
                </c:pt>
                <c:pt idx="84">
                  <c:v>1.5432637142772156</c:v>
                </c:pt>
                <c:pt idx="85">
                  <c:v>1.6055773921021252</c:v>
                </c:pt>
                <c:pt idx="86">
                  <c:v>1.6962451763944091</c:v>
                </c:pt>
                <c:pt idx="87">
                  <c:v>1.6652556313362159</c:v>
                </c:pt>
                <c:pt idx="88">
                  <c:v>1.6808043816782194</c:v>
                </c:pt>
                <c:pt idx="89">
                  <c:v>1.5598612481366447</c:v>
                </c:pt>
                <c:pt idx="90">
                  <c:v>1.7104587577588921</c:v>
                </c:pt>
                <c:pt idx="91">
                  <c:v>1.5476196488108813</c:v>
                </c:pt>
                <c:pt idx="92">
                  <c:v>1.4996431124026137</c:v>
                </c:pt>
                <c:pt idx="93">
                  <c:v>1.4444869836860217</c:v>
                </c:pt>
                <c:pt idx="94">
                  <c:v>1.4726155441001103</c:v>
                </c:pt>
                <c:pt idx="95">
                  <c:v>1.3821001150978609</c:v>
                </c:pt>
                <c:pt idx="96">
                  <c:v>1.4537488063029709</c:v>
                </c:pt>
                <c:pt idx="97">
                  <c:v>1.3627085240726822</c:v>
                </c:pt>
                <c:pt idx="98">
                  <c:v>1.3711646096372079</c:v>
                </c:pt>
                <c:pt idx="99">
                  <c:v>1.3570858620569255</c:v>
                </c:pt>
                <c:pt idx="100">
                  <c:v>1.4084432758317078</c:v>
                </c:pt>
                <c:pt idx="101">
                  <c:v>1.2756004125299365</c:v>
                </c:pt>
                <c:pt idx="102">
                  <c:v>1.32298135204863</c:v>
                </c:pt>
                <c:pt idx="103">
                  <c:v>1.3687165607273895</c:v>
                </c:pt>
                <c:pt idx="104">
                  <c:v>1.285896853516227</c:v>
                </c:pt>
                <c:pt idx="105">
                  <c:v>1.368359207011641</c:v>
                </c:pt>
                <c:pt idx="106">
                  <c:v>1.3299386195251901</c:v>
                </c:pt>
                <c:pt idx="107">
                  <c:v>0.96324660991117528</c:v>
                </c:pt>
                <c:pt idx="108">
                  <c:v>0.97086608306880295</c:v>
                </c:pt>
                <c:pt idx="109">
                  <c:v>0.99890409631745203</c:v>
                </c:pt>
                <c:pt idx="110">
                  <c:v>0.98029084828703383</c:v>
                </c:pt>
                <c:pt idx="111">
                  <c:v>0.92963633687713898</c:v>
                </c:pt>
                <c:pt idx="112">
                  <c:v>0.77112270978471154</c:v>
                </c:pt>
                <c:pt idx="113">
                  <c:v>0.76729243571711936</c:v>
                </c:pt>
                <c:pt idx="114">
                  <c:v>0.8338005764491575</c:v>
                </c:pt>
                <c:pt idx="115">
                  <c:v>0.77692531610732318</c:v>
                </c:pt>
                <c:pt idx="116">
                  <c:v>0.99724552789862164</c:v>
                </c:pt>
                <c:pt idx="117">
                  <c:v>1.0187558626581161</c:v>
                </c:pt>
                <c:pt idx="118">
                  <c:v>1.0807113916254836</c:v>
                </c:pt>
                <c:pt idx="119">
                  <c:v>1.0911626404450001</c:v>
                </c:pt>
                <c:pt idx="120">
                  <c:v>1.0798846581893173</c:v>
                </c:pt>
                <c:pt idx="121">
                  <c:v>1.1959020483002945</c:v>
                </c:pt>
                <c:pt idx="122">
                  <c:v>1.2927972343771992</c:v>
                </c:pt>
                <c:pt idx="123">
                  <c:v>1.1871566255771373</c:v>
                </c:pt>
                <c:pt idx="124">
                  <c:v>1.2690653178615106</c:v>
                </c:pt>
                <c:pt idx="125">
                  <c:v>1.3372426113832458</c:v>
                </c:pt>
                <c:pt idx="126">
                  <c:v>1.503005716045249</c:v>
                </c:pt>
                <c:pt idx="127">
                  <c:v>1.5462335709146908</c:v>
                </c:pt>
                <c:pt idx="128">
                  <c:v>1.3472878227503537</c:v>
                </c:pt>
                <c:pt idx="129">
                  <c:v>1.4443305122926327</c:v>
                </c:pt>
                <c:pt idx="130">
                  <c:v>1.5873707428854182</c:v>
                </c:pt>
                <c:pt idx="131">
                  <c:v>1.6978487647511837</c:v>
                </c:pt>
                <c:pt idx="132">
                  <c:v>1.6989600524235413</c:v>
                </c:pt>
                <c:pt idx="133">
                  <c:v>1.6500050353131248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E93-477C-8E42-2CBD9687F44C}"/>
            </c:ext>
          </c:extLst>
        </c:ser>
        <c:ser>
          <c:idx val="7"/>
          <c:order val="7"/>
          <c:tx>
            <c:strRef>
              <c:f>'預測(XGB)累積報酬'!$B$19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'預測(XGB)累積報酬'!$C$11:$EF$11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'預測(XGB)累積報酬'!$C$19:$EF$19</c:f>
              <c:numCache>
                <c:formatCode>General</c:formatCode>
                <c:ptCount val="134"/>
                <c:pt idx="0">
                  <c:v>-7.7959416087486216E-2</c:v>
                </c:pt>
                <c:pt idx="1">
                  <c:v>0.32956129400198308</c:v>
                </c:pt>
                <c:pt idx="2">
                  <c:v>0.38445938776939526</c:v>
                </c:pt>
                <c:pt idx="3">
                  <c:v>0.42310606965563935</c:v>
                </c:pt>
                <c:pt idx="4">
                  <c:v>0.5206181602172395</c:v>
                </c:pt>
                <c:pt idx="5">
                  <c:v>0.37172403818139221</c:v>
                </c:pt>
                <c:pt idx="6">
                  <c:v>0.23706970528992571</c:v>
                </c:pt>
                <c:pt idx="7">
                  <c:v>8.083935220372182E-2</c:v>
                </c:pt>
                <c:pt idx="8">
                  <c:v>0.49917720317335601</c:v>
                </c:pt>
                <c:pt idx="9">
                  <c:v>0.45612824553818998</c:v>
                </c:pt>
                <c:pt idx="10">
                  <c:v>0.41243800938188269</c:v>
                </c:pt>
                <c:pt idx="11">
                  <c:v>0.31709012369190182</c:v>
                </c:pt>
                <c:pt idx="12">
                  <c:v>0.29729268969051698</c:v>
                </c:pt>
                <c:pt idx="13">
                  <c:v>0.32080585051503702</c:v>
                </c:pt>
                <c:pt idx="14">
                  <c:v>0.51796893877955696</c:v>
                </c:pt>
                <c:pt idx="15">
                  <c:v>0.55991156822877297</c:v>
                </c:pt>
                <c:pt idx="16">
                  <c:v>0.48121530691561221</c:v>
                </c:pt>
                <c:pt idx="17">
                  <c:v>0.3716894453796904</c:v>
                </c:pt>
                <c:pt idx="18">
                  <c:v>0.50738778401161366</c:v>
                </c:pt>
                <c:pt idx="19">
                  <c:v>0.4146994642863005</c:v>
                </c:pt>
                <c:pt idx="20">
                  <c:v>0.239964700984069</c:v>
                </c:pt>
                <c:pt idx="21">
                  <c:v>0.36288784722978601</c:v>
                </c:pt>
                <c:pt idx="22">
                  <c:v>0.25975760829934769</c:v>
                </c:pt>
                <c:pt idx="23">
                  <c:v>0.23753436900044531</c:v>
                </c:pt>
                <c:pt idx="24">
                  <c:v>0.28483449079947987</c:v>
                </c:pt>
                <c:pt idx="25">
                  <c:v>0.22407213933292611</c:v>
                </c:pt>
                <c:pt idx="26">
                  <c:v>0.25252497397461743</c:v>
                </c:pt>
                <c:pt idx="27">
                  <c:v>0.15653159617654927</c:v>
                </c:pt>
                <c:pt idx="28">
                  <c:v>0.27176346613961605</c:v>
                </c:pt>
                <c:pt idx="29">
                  <c:v>0.10293288543157295</c:v>
                </c:pt>
                <c:pt idx="30">
                  <c:v>0.14441998887588459</c:v>
                </c:pt>
                <c:pt idx="31">
                  <c:v>0.16050947665082538</c:v>
                </c:pt>
                <c:pt idx="32">
                  <c:v>0.11274312389102902</c:v>
                </c:pt>
                <c:pt idx="33">
                  <c:v>0.10057593231504851</c:v>
                </c:pt>
                <c:pt idx="34">
                  <c:v>5.9994409201885521E-2</c:v>
                </c:pt>
                <c:pt idx="35">
                  <c:v>4.5079801672087111E-2</c:v>
                </c:pt>
                <c:pt idx="36">
                  <c:v>-1.6044329381759599E-2</c:v>
                </c:pt>
                <c:pt idx="37">
                  <c:v>-7.8155713636246432E-2</c:v>
                </c:pt>
                <c:pt idx="38">
                  <c:v>-0.10404861668166085</c:v>
                </c:pt>
                <c:pt idx="39">
                  <c:v>-1.647449640880877E-2</c:v>
                </c:pt>
                <c:pt idx="40">
                  <c:v>7.1778260651841883E-2</c:v>
                </c:pt>
                <c:pt idx="41">
                  <c:v>-2.8386369828169861E-3</c:v>
                </c:pt>
                <c:pt idx="42">
                  <c:v>0.10636023907024932</c:v>
                </c:pt>
                <c:pt idx="43">
                  <c:v>0.15565522083595063</c:v>
                </c:pt>
                <c:pt idx="44">
                  <c:v>0.2320839365496048</c:v>
                </c:pt>
                <c:pt idx="45">
                  <c:v>0.18205091585262689</c:v>
                </c:pt>
                <c:pt idx="46">
                  <c:v>0.20440708400676338</c:v>
                </c:pt>
                <c:pt idx="47">
                  <c:v>-1.971671129409272E-2</c:v>
                </c:pt>
                <c:pt idx="48">
                  <c:v>4.6556531418379524E-2</c:v>
                </c:pt>
                <c:pt idx="49">
                  <c:v>-0.14032308674979477</c:v>
                </c:pt>
                <c:pt idx="50">
                  <c:v>-0.17468697070386779</c:v>
                </c:pt>
                <c:pt idx="51">
                  <c:v>2.7114939959340001E-2</c:v>
                </c:pt>
                <c:pt idx="52">
                  <c:v>0.21168672936576721</c:v>
                </c:pt>
                <c:pt idx="53">
                  <c:v>0.20845233673569907</c:v>
                </c:pt>
                <c:pt idx="54">
                  <c:v>0.17806166566739576</c:v>
                </c:pt>
                <c:pt idx="55">
                  <c:v>0.12862514844855352</c:v>
                </c:pt>
                <c:pt idx="56">
                  <c:v>0.12958836855689485</c:v>
                </c:pt>
                <c:pt idx="57">
                  <c:v>7.2453907230362283E-2</c:v>
                </c:pt>
                <c:pt idx="58">
                  <c:v>0.20025253604958099</c:v>
                </c:pt>
                <c:pt idx="59">
                  <c:v>0.22195983758816021</c:v>
                </c:pt>
                <c:pt idx="60">
                  <c:v>0.31899826053354591</c:v>
                </c:pt>
                <c:pt idx="61">
                  <c:v>0.34499472532416819</c:v>
                </c:pt>
                <c:pt idx="62">
                  <c:v>0.25683792861238641</c:v>
                </c:pt>
                <c:pt idx="63">
                  <c:v>0.33825118881255428</c:v>
                </c:pt>
                <c:pt idx="64">
                  <c:v>0.31968887437220023</c:v>
                </c:pt>
                <c:pt idx="65">
                  <c:v>0.38250768190633239</c:v>
                </c:pt>
                <c:pt idx="66">
                  <c:v>0.39244172636065544</c:v>
                </c:pt>
                <c:pt idx="67">
                  <c:v>0.52928096190380092</c:v>
                </c:pt>
                <c:pt idx="68">
                  <c:v>0.50502462315931884</c:v>
                </c:pt>
                <c:pt idx="69">
                  <c:v>0.5182182923624562</c:v>
                </c:pt>
                <c:pt idx="70">
                  <c:v>0.59415454359669428</c:v>
                </c:pt>
                <c:pt idx="71">
                  <c:v>0.68780978475004062</c:v>
                </c:pt>
                <c:pt idx="72">
                  <c:v>0.57884282336639559</c:v>
                </c:pt>
                <c:pt idx="73">
                  <c:v>0.61293060863825388</c:v>
                </c:pt>
                <c:pt idx="74">
                  <c:v>0.58525511622659343</c:v>
                </c:pt>
                <c:pt idx="75">
                  <c:v>0.65395724104864728</c:v>
                </c:pt>
                <c:pt idx="76">
                  <c:v>0.68956703633804595</c:v>
                </c:pt>
                <c:pt idx="77">
                  <c:v>0.81740524543894311</c:v>
                </c:pt>
                <c:pt idx="78">
                  <c:v>0.8399114783374606</c:v>
                </c:pt>
                <c:pt idx="79">
                  <c:v>0.92757642669877693</c:v>
                </c:pt>
                <c:pt idx="80">
                  <c:v>1.0160512856364448</c:v>
                </c:pt>
                <c:pt idx="81">
                  <c:v>1.0951028106072591</c:v>
                </c:pt>
                <c:pt idx="82">
                  <c:v>1.3589959441727975</c:v>
                </c:pt>
                <c:pt idx="83">
                  <c:v>1.5118858112227238</c:v>
                </c:pt>
                <c:pt idx="84">
                  <c:v>1.3466833989518112</c:v>
                </c:pt>
                <c:pt idx="85">
                  <c:v>1.4086238989178475</c:v>
                </c:pt>
                <c:pt idx="86">
                  <c:v>1.5125916167349456</c:v>
                </c:pt>
                <c:pt idx="87">
                  <c:v>1.4693513367601556</c:v>
                </c:pt>
                <c:pt idx="88">
                  <c:v>1.5449332077581499</c:v>
                </c:pt>
                <c:pt idx="89">
                  <c:v>1.4017399972886155</c:v>
                </c:pt>
                <c:pt idx="90">
                  <c:v>1.5678865550638961</c:v>
                </c:pt>
                <c:pt idx="91">
                  <c:v>1.4088539560815634</c:v>
                </c:pt>
                <c:pt idx="92">
                  <c:v>1.4115838642361254</c:v>
                </c:pt>
                <c:pt idx="93">
                  <c:v>1.3618896746837228</c:v>
                </c:pt>
                <c:pt idx="94">
                  <c:v>1.405664661662027</c:v>
                </c:pt>
                <c:pt idx="95">
                  <c:v>1.2830442350319962</c:v>
                </c:pt>
                <c:pt idx="96">
                  <c:v>1.3664806321458891</c:v>
                </c:pt>
                <c:pt idx="97">
                  <c:v>1.2645007706294855</c:v>
                </c:pt>
                <c:pt idx="98">
                  <c:v>1.2864025784113842</c:v>
                </c:pt>
                <c:pt idx="99">
                  <c:v>1.2875301730287785</c:v>
                </c:pt>
                <c:pt idx="100">
                  <c:v>1.3584520425931481</c:v>
                </c:pt>
                <c:pt idx="101">
                  <c:v>1.2456002139516842</c:v>
                </c:pt>
                <c:pt idx="102">
                  <c:v>1.303824090654921</c:v>
                </c:pt>
                <c:pt idx="103">
                  <c:v>1.3395449896801366</c:v>
                </c:pt>
                <c:pt idx="104">
                  <c:v>1.2739574049422397</c:v>
                </c:pt>
                <c:pt idx="105">
                  <c:v>1.3802147408970404</c:v>
                </c:pt>
                <c:pt idx="106">
                  <c:v>1.3471963262412485</c:v>
                </c:pt>
                <c:pt idx="107">
                  <c:v>1.1416945806469523</c:v>
                </c:pt>
                <c:pt idx="108">
                  <c:v>1.1544410555576015</c:v>
                </c:pt>
                <c:pt idx="109">
                  <c:v>1.1545980386870063</c:v>
                </c:pt>
                <c:pt idx="110">
                  <c:v>1.0959510056757378</c:v>
                </c:pt>
                <c:pt idx="111">
                  <c:v>1.0154514032657078</c:v>
                </c:pt>
                <c:pt idx="112">
                  <c:v>0.89130681548150026</c:v>
                </c:pt>
                <c:pt idx="113">
                  <c:v>0.87932402957252642</c:v>
                </c:pt>
                <c:pt idx="114">
                  <c:v>0.96127628460652081</c:v>
                </c:pt>
                <c:pt idx="115">
                  <c:v>0.89698189027160269</c:v>
                </c:pt>
                <c:pt idx="116">
                  <c:v>1.146243841981347</c:v>
                </c:pt>
                <c:pt idx="117">
                  <c:v>1.1502463029126391</c:v>
                </c:pt>
                <c:pt idx="118">
                  <c:v>1.200869474362372</c:v>
                </c:pt>
                <c:pt idx="119">
                  <c:v>1.2184142736381802</c:v>
                </c:pt>
                <c:pt idx="120">
                  <c:v>1.2240915871571711</c:v>
                </c:pt>
                <c:pt idx="121">
                  <c:v>1.3572200877765206</c:v>
                </c:pt>
                <c:pt idx="122">
                  <c:v>1.5000507858309609</c:v>
                </c:pt>
                <c:pt idx="123">
                  <c:v>1.3885260793903564</c:v>
                </c:pt>
                <c:pt idx="124">
                  <c:v>1.4491352187310407</c:v>
                </c:pt>
                <c:pt idx="125">
                  <c:v>1.5437494120885784</c:v>
                </c:pt>
                <c:pt idx="126">
                  <c:v>1.6958688216930653</c:v>
                </c:pt>
                <c:pt idx="127">
                  <c:v>1.7755123898315004</c:v>
                </c:pt>
                <c:pt idx="128">
                  <c:v>1.5424665595262199</c:v>
                </c:pt>
                <c:pt idx="129">
                  <c:v>1.6487124175516645</c:v>
                </c:pt>
                <c:pt idx="130">
                  <c:v>1.7924866203766736</c:v>
                </c:pt>
                <c:pt idx="131">
                  <c:v>1.9434219373668304</c:v>
                </c:pt>
                <c:pt idx="132">
                  <c:v>1.9361154106897027</c:v>
                </c:pt>
                <c:pt idx="133">
                  <c:v>1.9191374558149337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E93-477C-8E42-2CBD9687F44C}"/>
            </c:ext>
          </c:extLst>
        </c:ser>
        <c:ser>
          <c:idx val="8"/>
          <c:order val="8"/>
          <c:tx>
            <c:strRef>
              <c:f>'預測(XGB)累積報酬'!$B$20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'預測(XGB)累積報酬'!$C$11:$EF$11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'預測(XGB)累積報酬'!$C$20:$EF$20</c:f>
              <c:numCache>
                <c:formatCode>General</c:formatCode>
                <c:ptCount val="134"/>
                <c:pt idx="0">
                  <c:v>-0.13932460396499161</c:v>
                </c:pt>
                <c:pt idx="1">
                  <c:v>0.24270041608235829</c:v>
                </c:pt>
                <c:pt idx="2">
                  <c:v>0.22720042793802431</c:v>
                </c:pt>
                <c:pt idx="3">
                  <c:v>0.31841885011007026</c:v>
                </c:pt>
                <c:pt idx="4">
                  <c:v>0.41878476202893417</c:v>
                </c:pt>
                <c:pt idx="5">
                  <c:v>0.25441276390026424</c:v>
                </c:pt>
                <c:pt idx="6">
                  <c:v>9.6263201299162549E-2</c:v>
                </c:pt>
                <c:pt idx="7">
                  <c:v>-3.6944091777864646E-2</c:v>
                </c:pt>
                <c:pt idx="8">
                  <c:v>5.3164562344809332E-2</c:v>
                </c:pt>
                <c:pt idx="9">
                  <c:v>-4.2544073159726387E-2</c:v>
                </c:pt>
                <c:pt idx="10">
                  <c:v>-0.12026230145099989</c:v>
                </c:pt>
                <c:pt idx="11">
                  <c:v>-0.2221872304966398</c:v>
                </c:pt>
                <c:pt idx="12">
                  <c:v>-0.33230175559994701</c:v>
                </c:pt>
                <c:pt idx="13">
                  <c:v>-0.2891630767114195</c:v>
                </c:pt>
                <c:pt idx="14">
                  <c:v>-7.2437337708440991E-2</c:v>
                </c:pt>
                <c:pt idx="15">
                  <c:v>-5.9677046195844574E-3</c:v>
                </c:pt>
                <c:pt idx="16">
                  <c:v>-6.3308787192385668E-2</c:v>
                </c:pt>
                <c:pt idx="17">
                  <c:v>-0.16415432023585835</c:v>
                </c:pt>
                <c:pt idx="18">
                  <c:v>-1.5504640118083446E-2</c:v>
                </c:pt>
                <c:pt idx="19">
                  <c:v>-0.11902224332270095</c:v>
                </c:pt>
                <c:pt idx="20">
                  <c:v>-0.34546590540580246</c:v>
                </c:pt>
                <c:pt idx="21">
                  <c:v>-0.19542359377826388</c:v>
                </c:pt>
                <c:pt idx="22">
                  <c:v>-0.32438863266063767</c:v>
                </c:pt>
                <c:pt idx="23">
                  <c:v>-0.29523128260629122</c:v>
                </c:pt>
                <c:pt idx="24">
                  <c:v>-0.22826930382405111</c:v>
                </c:pt>
                <c:pt idx="25">
                  <c:v>-0.28869292811208103</c:v>
                </c:pt>
                <c:pt idx="26">
                  <c:v>-0.23224958247156147</c:v>
                </c:pt>
                <c:pt idx="27">
                  <c:v>-0.36209300118522586</c:v>
                </c:pt>
                <c:pt idx="28">
                  <c:v>-0.34478185155818847</c:v>
                </c:pt>
                <c:pt idx="29">
                  <c:v>-0.56827967119456113</c:v>
                </c:pt>
                <c:pt idx="30">
                  <c:v>-0.5361164223128847</c:v>
                </c:pt>
                <c:pt idx="31">
                  <c:v>-0.50830972003696817</c:v>
                </c:pt>
                <c:pt idx="32">
                  <c:v>-0.59158907378769154</c:v>
                </c:pt>
                <c:pt idx="33">
                  <c:v>-0.60883078950379277</c:v>
                </c:pt>
                <c:pt idx="34">
                  <c:v>-0.6170793045664057</c:v>
                </c:pt>
                <c:pt idx="35">
                  <c:v>-0.63785956967500046</c:v>
                </c:pt>
                <c:pt idx="36">
                  <c:v>-0.70538942946332761</c:v>
                </c:pt>
                <c:pt idx="37">
                  <c:v>-0.67247274606733265</c:v>
                </c:pt>
                <c:pt idx="38">
                  <c:v>-0.71775782803202104</c:v>
                </c:pt>
                <c:pt idx="39">
                  <c:v>-0.58602736677663325</c:v>
                </c:pt>
                <c:pt idx="40">
                  <c:v>-0.61347985210958433</c:v>
                </c:pt>
                <c:pt idx="41">
                  <c:v>-0.62676912519941852</c:v>
                </c:pt>
                <c:pt idx="42">
                  <c:v>-0.58447740875044263</c:v>
                </c:pt>
                <c:pt idx="43">
                  <c:v>-0.57861863499023691</c:v>
                </c:pt>
                <c:pt idx="44">
                  <c:v>-0.50292624809511111</c:v>
                </c:pt>
                <c:pt idx="45">
                  <c:v>-0.55755196187758926</c:v>
                </c:pt>
                <c:pt idx="46">
                  <c:v>-0.55068669369843826</c:v>
                </c:pt>
                <c:pt idx="47">
                  <c:v>-0.75502591365898497</c:v>
                </c:pt>
                <c:pt idx="48">
                  <c:v>-0.83708354967655152</c:v>
                </c:pt>
                <c:pt idx="49">
                  <c:v>-1.0508859808536402</c:v>
                </c:pt>
                <c:pt idx="50">
                  <c:v>-1.0876848457141806</c:v>
                </c:pt>
                <c:pt idx="51">
                  <c:v>-0.85647121952610383</c:v>
                </c:pt>
                <c:pt idx="52">
                  <c:v>-0.61633054453569014</c:v>
                </c:pt>
                <c:pt idx="53">
                  <c:v>-0.66976035775728748</c:v>
                </c:pt>
                <c:pt idx="54">
                  <c:v>-0.70822719020272407</c:v>
                </c:pt>
                <c:pt idx="55">
                  <c:v>-0.76344409037699323</c:v>
                </c:pt>
                <c:pt idx="56">
                  <c:v>-0.81517128369513192</c:v>
                </c:pt>
                <c:pt idx="57">
                  <c:v>-0.86707056102073088</c:v>
                </c:pt>
                <c:pt idx="58">
                  <c:v>-0.73532529393555601</c:v>
                </c:pt>
                <c:pt idx="59">
                  <c:v>-0.71369578210236939</c:v>
                </c:pt>
                <c:pt idx="60">
                  <c:v>-0.59604540969734754</c:v>
                </c:pt>
                <c:pt idx="61">
                  <c:v>-0.57626206819312342</c:v>
                </c:pt>
                <c:pt idx="62">
                  <c:v>-0.63081797852154586</c:v>
                </c:pt>
                <c:pt idx="63">
                  <c:v>-0.64945600577471219</c:v>
                </c:pt>
                <c:pt idx="64">
                  <c:v>-0.65706655072049513</c:v>
                </c:pt>
                <c:pt idx="65">
                  <c:v>-0.59665902995754017</c:v>
                </c:pt>
                <c:pt idx="66">
                  <c:v>-0.5812073229966972</c:v>
                </c:pt>
                <c:pt idx="67">
                  <c:v>-0.40008024152503563</c:v>
                </c:pt>
                <c:pt idx="68">
                  <c:v>-0.3946727353338445</c:v>
                </c:pt>
                <c:pt idx="69">
                  <c:v>-0.34220511205193876</c:v>
                </c:pt>
                <c:pt idx="70">
                  <c:v>-0.24345016268423209</c:v>
                </c:pt>
                <c:pt idx="71">
                  <c:v>-0.12753183112116007</c:v>
                </c:pt>
                <c:pt idx="72">
                  <c:v>-0.2630350829336362</c:v>
                </c:pt>
                <c:pt idx="73">
                  <c:v>-0.23234144625039194</c:v>
                </c:pt>
                <c:pt idx="74">
                  <c:v>-0.2755249289376282</c:v>
                </c:pt>
                <c:pt idx="75">
                  <c:v>-0.1852535246773446</c:v>
                </c:pt>
                <c:pt idx="76">
                  <c:v>-0.13503669858627074</c:v>
                </c:pt>
                <c:pt idx="77">
                  <c:v>-8.5416528162516325E-3</c:v>
                </c:pt>
                <c:pt idx="78">
                  <c:v>4.3734946618289774E-3</c:v>
                </c:pt>
                <c:pt idx="79">
                  <c:v>0.1004381423044242</c:v>
                </c:pt>
                <c:pt idx="80">
                  <c:v>0.18621631490686466</c:v>
                </c:pt>
                <c:pt idx="81">
                  <c:v>0.29200120418295639</c:v>
                </c:pt>
                <c:pt idx="82">
                  <c:v>0.61393972648234096</c:v>
                </c:pt>
                <c:pt idx="83">
                  <c:v>0.6858037520794793</c:v>
                </c:pt>
                <c:pt idx="84">
                  <c:v>0.55431801766783206</c:v>
                </c:pt>
                <c:pt idx="85">
                  <c:v>0.67775833755518311</c:v>
                </c:pt>
                <c:pt idx="86">
                  <c:v>0.76873673430528977</c:v>
                </c:pt>
                <c:pt idx="87">
                  <c:v>0.67655180011616078</c:v>
                </c:pt>
                <c:pt idx="88">
                  <c:v>0.75600652729749673</c:v>
                </c:pt>
                <c:pt idx="89">
                  <c:v>0.55111469365639409</c:v>
                </c:pt>
                <c:pt idx="90">
                  <c:v>0.77963289683793513</c:v>
                </c:pt>
                <c:pt idx="91">
                  <c:v>0.58760169172890786</c:v>
                </c:pt>
                <c:pt idx="92">
                  <c:v>0.5814903337998456</c:v>
                </c:pt>
                <c:pt idx="93">
                  <c:v>0.50837408929399519</c:v>
                </c:pt>
                <c:pt idx="94">
                  <c:v>0.53066712745335487</c:v>
                </c:pt>
                <c:pt idx="95">
                  <c:v>0.44019309003908857</c:v>
                </c:pt>
                <c:pt idx="96">
                  <c:v>0.53506074830560102</c:v>
                </c:pt>
                <c:pt idx="97">
                  <c:v>0.44254967261017492</c:v>
                </c:pt>
                <c:pt idx="98">
                  <c:v>0.4325966096888923</c:v>
                </c:pt>
                <c:pt idx="99">
                  <c:v>0.44198275344219451</c:v>
                </c:pt>
                <c:pt idx="100">
                  <c:v>0.45446248611049139</c:v>
                </c:pt>
                <c:pt idx="101">
                  <c:v>0.29930084096129306</c:v>
                </c:pt>
                <c:pt idx="102">
                  <c:v>0.34677273411647064</c:v>
                </c:pt>
                <c:pt idx="103">
                  <c:v>0.40367544387360477</c:v>
                </c:pt>
                <c:pt idx="104">
                  <c:v>0.36634313273520402</c:v>
                </c:pt>
                <c:pt idx="105">
                  <c:v>0.51445194707402664</c:v>
                </c:pt>
                <c:pt idx="106">
                  <c:v>0.50403322546717388</c:v>
                </c:pt>
                <c:pt idx="107">
                  <c:v>0.25845902018958949</c:v>
                </c:pt>
                <c:pt idx="108">
                  <c:v>0.26266123080996018</c:v>
                </c:pt>
                <c:pt idx="109">
                  <c:v>0.27363664255248726</c:v>
                </c:pt>
                <c:pt idx="110">
                  <c:v>0.19938830696039392</c:v>
                </c:pt>
                <c:pt idx="111">
                  <c:v>0.1181112868005913</c:v>
                </c:pt>
                <c:pt idx="112">
                  <c:v>3.3157305354536398E-2</c:v>
                </c:pt>
                <c:pt idx="113">
                  <c:v>1.3691932020916609E-2</c:v>
                </c:pt>
                <c:pt idx="114">
                  <c:v>4.408281741479534E-3</c:v>
                </c:pt>
                <c:pt idx="115">
                  <c:v>-6.0052920676977053E-2</c:v>
                </c:pt>
                <c:pt idx="116">
                  <c:v>0.19794844278203444</c:v>
                </c:pt>
                <c:pt idx="117">
                  <c:v>0.21961970454713892</c:v>
                </c:pt>
                <c:pt idx="118">
                  <c:v>0.25816001563150742</c:v>
                </c:pt>
                <c:pt idx="119">
                  <c:v>0.31371800785823872</c:v>
                </c:pt>
                <c:pt idx="120">
                  <c:v>0.32120870361199783</c:v>
                </c:pt>
                <c:pt idx="121">
                  <c:v>0.45464468823413612</c:v>
                </c:pt>
                <c:pt idx="122">
                  <c:v>0.62671379544000549</c:v>
                </c:pt>
                <c:pt idx="123">
                  <c:v>0.4973683236011468</c:v>
                </c:pt>
                <c:pt idx="124">
                  <c:v>0.56642852755918638</c:v>
                </c:pt>
                <c:pt idx="125">
                  <c:v>0.66427974576391158</c:v>
                </c:pt>
                <c:pt idx="126">
                  <c:v>0.85168157580310477</c:v>
                </c:pt>
                <c:pt idx="127">
                  <c:v>0.8335664492907221</c:v>
                </c:pt>
                <c:pt idx="128">
                  <c:v>0.53987646532655087</c:v>
                </c:pt>
                <c:pt idx="129">
                  <c:v>0.64618873217683792</c:v>
                </c:pt>
                <c:pt idx="130">
                  <c:v>0.7771948779389054</c:v>
                </c:pt>
                <c:pt idx="131">
                  <c:v>0.95411373900591556</c:v>
                </c:pt>
                <c:pt idx="132">
                  <c:v>0.95237275925406106</c:v>
                </c:pt>
                <c:pt idx="133">
                  <c:v>0.93209134263815385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E93-477C-8E42-2CBD9687F44C}"/>
            </c:ext>
          </c:extLst>
        </c:ser>
        <c:ser>
          <c:idx val="9"/>
          <c:order val="9"/>
          <c:tx>
            <c:strRef>
              <c:f>'預測(XGB)累積報酬'!$B$21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'預測(XGB)累積報酬'!$C$11:$EF$11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'預測(XGB)累積報酬'!$C$21:$EF$21</c:f>
              <c:numCache>
                <c:formatCode>General</c:formatCode>
                <c:ptCount val="134"/>
                <c:pt idx="0">
                  <c:v>-0.19764916434148611</c:v>
                </c:pt>
                <c:pt idx="1">
                  <c:v>-7.1261247574662512E-2</c:v>
                </c:pt>
                <c:pt idx="2">
                  <c:v>-7.0981895303870668E-2</c:v>
                </c:pt>
                <c:pt idx="3">
                  <c:v>-1.9884411457462454E-2</c:v>
                </c:pt>
                <c:pt idx="4">
                  <c:v>-1.2588273429611004E-2</c:v>
                </c:pt>
                <c:pt idx="5">
                  <c:v>-0.2112563344093768</c:v>
                </c:pt>
                <c:pt idx="6">
                  <c:v>-0.35851194253684981</c:v>
                </c:pt>
                <c:pt idx="7">
                  <c:v>-0.49525485787670642</c:v>
                </c:pt>
                <c:pt idx="8">
                  <c:v>-0.40628184052268435</c:v>
                </c:pt>
                <c:pt idx="9">
                  <c:v>-0.51596144797691423</c:v>
                </c:pt>
                <c:pt idx="10">
                  <c:v>-0.61564604138512546</c:v>
                </c:pt>
                <c:pt idx="11">
                  <c:v>-0.715233453508067</c:v>
                </c:pt>
                <c:pt idx="12">
                  <c:v>-0.85451094695505625</c:v>
                </c:pt>
                <c:pt idx="13">
                  <c:v>-0.81461922409495346</c:v>
                </c:pt>
                <c:pt idx="14">
                  <c:v>-0.55730915000070125</c:v>
                </c:pt>
                <c:pt idx="15">
                  <c:v>-0.47240391880736066</c:v>
                </c:pt>
                <c:pt idx="16">
                  <c:v>-0.50896721046405757</c:v>
                </c:pt>
                <c:pt idx="17">
                  <c:v>-0.64008757140248473</c:v>
                </c:pt>
                <c:pt idx="18">
                  <c:v>-0.5538091537907267</c:v>
                </c:pt>
                <c:pt idx="19">
                  <c:v>-0.65917992418008131</c:v>
                </c:pt>
                <c:pt idx="20">
                  <c:v>-0.98210047286826829</c:v>
                </c:pt>
                <c:pt idx="21">
                  <c:v>-0.77429920551493048</c:v>
                </c:pt>
                <c:pt idx="22">
                  <c:v>-0.8670284294611349</c:v>
                </c:pt>
                <c:pt idx="23">
                  <c:v>-0.82757071378117786</c:v>
                </c:pt>
                <c:pt idx="24">
                  <c:v>-0.79953725758896932</c:v>
                </c:pt>
                <c:pt idx="25">
                  <c:v>-0.86482485261983522</c:v>
                </c:pt>
                <c:pt idx="26">
                  <c:v>-0.7905237228278128</c:v>
                </c:pt>
                <c:pt idx="27">
                  <c:v>-0.9193483884753707</c:v>
                </c:pt>
                <c:pt idx="28">
                  <c:v>-0.90903677778131065</c:v>
                </c:pt>
                <c:pt idx="29">
                  <c:v>-1.2041810358646741</c:v>
                </c:pt>
                <c:pt idx="30">
                  <c:v>-1.1931344637582302</c:v>
                </c:pt>
                <c:pt idx="31">
                  <c:v>-1.1497280812537911</c:v>
                </c:pt>
                <c:pt idx="32">
                  <c:v>-1.2174577618489422</c:v>
                </c:pt>
                <c:pt idx="33">
                  <c:v>-1.2226436874946431</c:v>
                </c:pt>
                <c:pt idx="34">
                  <c:v>-1.2043253185853304</c:v>
                </c:pt>
                <c:pt idx="35">
                  <c:v>-1.2417168047200846</c:v>
                </c:pt>
                <c:pt idx="36">
                  <c:v>-1.178591086712601</c:v>
                </c:pt>
                <c:pt idx="37">
                  <c:v>-1.1598955541203568</c:v>
                </c:pt>
                <c:pt idx="38">
                  <c:v>-1.2076219497640834</c:v>
                </c:pt>
                <c:pt idx="39">
                  <c:v>-1.1350868061940642</c:v>
                </c:pt>
                <c:pt idx="40">
                  <c:v>-1.2119523132046119</c:v>
                </c:pt>
                <c:pt idx="41">
                  <c:v>-1.1639641718013019</c:v>
                </c:pt>
                <c:pt idx="42">
                  <c:v>-1.1185574897412938</c:v>
                </c:pt>
                <c:pt idx="43">
                  <c:v>-1.1210504010184488</c:v>
                </c:pt>
                <c:pt idx="44">
                  <c:v>-1.0732407695094917</c:v>
                </c:pt>
                <c:pt idx="45">
                  <c:v>-1.1287615495716254</c:v>
                </c:pt>
                <c:pt idx="46">
                  <c:v>-1.1189705196175281</c:v>
                </c:pt>
                <c:pt idx="47">
                  <c:v>-1.3366888221345654</c:v>
                </c:pt>
                <c:pt idx="48">
                  <c:v>-1.4024111168670723</c:v>
                </c:pt>
                <c:pt idx="49">
                  <c:v>-1.6573223867642088</c:v>
                </c:pt>
                <c:pt idx="50">
                  <c:v>-1.7283545684122947</c:v>
                </c:pt>
                <c:pt idx="51">
                  <c:v>-1.4338419314349728</c:v>
                </c:pt>
                <c:pt idx="52">
                  <c:v>-1.269381399506146</c:v>
                </c:pt>
                <c:pt idx="53">
                  <c:v>-1.2911322628767739</c:v>
                </c:pt>
                <c:pt idx="54">
                  <c:v>-1.3317205953805857</c:v>
                </c:pt>
                <c:pt idx="55">
                  <c:v>-1.394010544755774</c:v>
                </c:pt>
                <c:pt idx="56">
                  <c:v>-1.4725356042177287</c:v>
                </c:pt>
                <c:pt idx="57">
                  <c:v>-1.5404523347797912</c:v>
                </c:pt>
                <c:pt idx="58">
                  <c:v>-1.3744827386013994</c:v>
                </c:pt>
                <c:pt idx="59">
                  <c:v>-1.3509037124196817</c:v>
                </c:pt>
                <c:pt idx="60">
                  <c:v>-1.2781805976709677</c:v>
                </c:pt>
                <c:pt idx="61">
                  <c:v>-1.2744277991629225</c:v>
                </c:pt>
                <c:pt idx="62">
                  <c:v>-1.3693981541562246</c:v>
                </c:pt>
                <c:pt idx="63">
                  <c:v>-1.3951889206046715</c:v>
                </c:pt>
                <c:pt idx="64">
                  <c:v>-1.3801848178947851</c:v>
                </c:pt>
                <c:pt idx="65">
                  <c:v>-1.2756756884753708</c:v>
                </c:pt>
                <c:pt idx="66">
                  <c:v>-1.2211334576408659</c:v>
                </c:pt>
                <c:pt idx="67">
                  <c:v>-1.0790720017307704</c:v>
                </c:pt>
                <c:pt idx="68">
                  <c:v>-1.0732118289755943</c:v>
                </c:pt>
                <c:pt idx="69">
                  <c:v>-1.0123910864330694</c:v>
                </c:pt>
                <c:pt idx="70">
                  <c:v>-0.87689462423450015</c:v>
                </c:pt>
                <c:pt idx="71">
                  <c:v>-0.73475162404904681</c:v>
                </c:pt>
                <c:pt idx="72">
                  <c:v>-0.88143082098477787</c:v>
                </c:pt>
                <c:pt idx="73">
                  <c:v>-0.88442164026919179</c:v>
                </c:pt>
                <c:pt idx="74">
                  <c:v>-0.89933801918602874</c:v>
                </c:pt>
                <c:pt idx="75">
                  <c:v>-0.85167509046531309</c:v>
                </c:pt>
                <c:pt idx="76">
                  <c:v>-0.75661565661775365</c:v>
                </c:pt>
                <c:pt idx="77">
                  <c:v>-0.54874580871616585</c:v>
                </c:pt>
                <c:pt idx="78">
                  <c:v>-0.55676476298713218</c:v>
                </c:pt>
                <c:pt idx="79">
                  <c:v>-0.47234121199461676</c:v>
                </c:pt>
                <c:pt idx="80">
                  <c:v>-0.41082632964046251</c:v>
                </c:pt>
                <c:pt idx="81">
                  <c:v>-0.2963001720292941</c:v>
                </c:pt>
                <c:pt idx="82">
                  <c:v>2.3866611351182399E-2</c:v>
                </c:pt>
                <c:pt idx="83">
                  <c:v>0.10396693242739413</c:v>
                </c:pt>
                <c:pt idx="84">
                  <c:v>-1.9326413984152871E-2</c:v>
                </c:pt>
                <c:pt idx="85">
                  <c:v>6.6301343032349427E-2</c:v>
                </c:pt>
                <c:pt idx="86">
                  <c:v>0.19335188976248352</c:v>
                </c:pt>
                <c:pt idx="87">
                  <c:v>5.9461465139518832E-2</c:v>
                </c:pt>
                <c:pt idx="88">
                  <c:v>0.12245579799994322</c:v>
                </c:pt>
                <c:pt idx="89">
                  <c:v>4.160428917050954E-2</c:v>
                </c:pt>
                <c:pt idx="90">
                  <c:v>0.27939627030990205</c:v>
                </c:pt>
                <c:pt idx="91">
                  <c:v>5.6696209431989358E-2</c:v>
                </c:pt>
                <c:pt idx="92">
                  <c:v>5.3408117706898586E-2</c:v>
                </c:pt>
                <c:pt idx="93">
                  <c:v>-3.7416160272781121E-2</c:v>
                </c:pt>
                <c:pt idx="94">
                  <c:v>-6.5084145902834616E-3</c:v>
                </c:pt>
                <c:pt idx="95">
                  <c:v>-8.8801287444622443E-2</c:v>
                </c:pt>
                <c:pt idx="96">
                  <c:v>-2.612772727513113E-2</c:v>
                </c:pt>
                <c:pt idx="97">
                  <c:v>-0.12435335929651804</c:v>
                </c:pt>
                <c:pt idx="98">
                  <c:v>-0.18935877657750672</c:v>
                </c:pt>
                <c:pt idx="99">
                  <c:v>-0.17596325261644757</c:v>
                </c:pt>
                <c:pt idx="100">
                  <c:v>-0.16748133621253311</c:v>
                </c:pt>
                <c:pt idx="101">
                  <c:v>-0.40493270703836332</c:v>
                </c:pt>
                <c:pt idx="102">
                  <c:v>-0.40612496349509508</c:v>
                </c:pt>
                <c:pt idx="103">
                  <c:v>-0.35450052981894048</c:v>
                </c:pt>
                <c:pt idx="104">
                  <c:v>-0.50840532518865911</c:v>
                </c:pt>
                <c:pt idx="105">
                  <c:v>-0.62972801405730805</c:v>
                </c:pt>
                <c:pt idx="106">
                  <c:v>-0.65870575111763474</c:v>
                </c:pt>
                <c:pt idx="107">
                  <c:v>-0.95985596279967855</c:v>
                </c:pt>
                <c:pt idx="108">
                  <c:v>-0.96770234092821183</c:v>
                </c:pt>
                <c:pt idx="109">
                  <c:v>-0.98177916114066632</c:v>
                </c:pt>
                <c:pt idx="110">
                  <c:v>-1.0719283638584869</c:v>
                </c:pt>
                <c:pt idx="111">
                  <c:v>-1.1452311553605623</c:v>
                </c:pt>
                <c:pt idx="112">
                  <c:v>-1.2847338621794668</c:v>
                </c:pt>
                <c:pt idx="113">
                  <c:v>-1.29747085368048</c:v>
                </c:pt>
                <c:pt idx="114">
                  <c:v>-1.2676367340382397</c:v>
                </c:pt>
                <c:pt idx="115">
                  <c:v>-1.3145115694048748</c:v>
                </c:pt>
                <c:pt idx="116">
                  <c:v>-0.98288476452622886</c:v>
                </c:pt>
                <c:pt idx="117">
                  <c:v>-0.94577613142799566</c:v>
                </c:pt>
                <c:pt idx="118">
                  <c:v>-0.9175600793755988</c:v>
                </c:pt>
                <c:pt idx="119">
                  <c:v>-0.86400308956890459</c:v>
                </c:pt>
                <c:pt idx="120">
                  <c:v>-0.86233099488958331</c:v>
                </c:pt>
                <c:pt idx="121">
                  <c:v>-0.69176019220412255</c:v>
                </c:pt>
                <c:pt idx="122">
                  <c:v>-0.66366989820774391</c:v>
                </c:pt>
                <c:pt idx="123">
                  <c:v>-0.80394587507762194</c:v>
                </c:pt>
                <c:pt idx="124">
                  <c:v>-0.67569800641350086</c:v>
                </c:pt>
                <c:pt idx="125">
                  <c:v>-0.5588691165387184</c:v>
                </c:pt>
                <c:pt idx="126">
                  <c:v>-0.33320723535072921</c:v>
                </c:pt>
                <c:pt idx="127">
                  <c:v>-0.5130982570756295</c:v>
                </c:pt>
                <c:pt idx="128">
                  <c:v>-0.77915508935497546</c:v>
                </c:pt>
                <c:pt idx="129">
                  <c:v>-0.67585953033096779</c:v>
                </c:pt>
                <c:pt idx="130">
                  <c:v>-0.53576551237874193</c:v>
                </c:pt>
                <c:pt idx="131">
                  <c:v>-0.48126665603056129</c:v>
                </c:pt>
                <c:pt idx="132">
                  <c:v>-0.45995606372269388</c:v>
                </c:pt>
                <c:pt idx="133">
                  <c:v>-0.44118479968057478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E93-477C-8E42-2CBD9687F44C}"/>
            </c:ext>
          </c:extLst>
        </c:ser>
        <c:ser>
          <c:idx val="10"/>
          <c:order val="10"/>
          <c:tx>
            <c:strRef>
              <c:f>'預測(XGB)累積報酬'!$B$22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'預測(XGB)累積報酬'!$C$11:$EF$11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'預測(XGB)累積報酬'!$C$22:$EF$22</c:f>
              <c:numCache>
                <c:formatCode>General</c:formatCode>
                <c:ptCount val="134"/>
                <c:pt idx="0">
                  <c:v>6.4235717628454689E-2</c:v>
                </c:pt>
                <c:pt idx="1">
                  <c:v>0.2066635697058532</c:v>
                </c:pt>
                <c:pt idx="2">
                  <c:v>0.24769110170647224</c:v>
                </c:pt>
                <c:pt idx="3">
                  <c:v>0.3451250972854587</c:v>
                </c:pt>
                <c:pt idx="4">
                  <c:v>0.37807992153525732</c:v>
                </c:pt>
                <c:pt idx="5">
                  <c:v>0.19933045804763441</c:v>
                </c:pt>
                <c:pt idx="6">
                  <c:v>7.5837288709564618E-2</c:v>
                </c:pt>
                <c:pt idx="7">
                  <c:v>-2.8416214027064887E-2</c:v>
                </c:pt>
                <c:pt idx="8">
                  <c:v>0.12487055662744441</c:v>
                </c:pt>
                <c:pt idx="9">
                  <c:v>-4.6312802798456801E-2</c:v>
                </c:pt>
                <c:pt idx="10">
                  <c:v>-0.12041286156902935</c:v>
                </c:pt>
                <c:pt idx="11">
                  <c:v>-0.25369328059227586</c:v>
                </c:pt>
                <c:pt idx="12">
                  <c:v>-0.32013561275723001</c:v>
                </c:pt>
                <c:pt idx="13">
                  <c:v>-0.27727712423824014</c:v>
                </c:pt>
                <c:pt idx="14">
                  <c:v>-5.0023040518831774E-4</c:v>
                </c:pt>
                <c:pt idx="15">
                  <c:v>6.6198062201143285E-2</c:v>
                </c:pt>
                <c:pt idx="16">
                  <c:v>2.6963918663964137E-2</c:v>
                </c:pt>
                <c:pt idx="17">
                  <c:v>-7.7885048492665768E-2</c:v>
                </c:pt>
                <c:pt idx="18">
                  <c:v>3.2704974909838438E-2</c:v>
                </c:pt>
                <c:pt idx="19">
                  <c:v>-2.4319159724451228E-2</c:v>
                </c:pt>
                <c:pt idx="20">
                  <c:v>-0.37051264502369985</c:v>
                </c:pt>
                <c:pt idx="21">
                  <c:v>-0.11331029381020286</c:v>
                </c:pt>
                <c:pt idx="22">
                  <c:v>-0.16124862598997114</c:v>
                </c:pt>
                <c:pt idx="23">
                  <c:v>-0.13738250419961473</c:v>
                </c:pt>
                <c:pt idx="24">
                  <c:v>-1.9261889829731829E-2</c:v>
                </c:pt>
                <c:pt idx="25">
                  <c:v>-5.7535944251303102E-2</c:v>
                </c:pt>
                <c:pt idx="26">
                  <c:v>1.6884436589124287E-2</c:v>
                </c:pt>
                <c:pt idx="27">
                  <c:v>3.3116478167629464E-3</c:v>
                </c:pt>
                <c:pt idx="28">
                  <c:v>-8.1836038140944201E-2</c:v>
                </c:pt>
                <c:pt idx="29">
                  <c:v>-0.51175280618955621</c:v>
                </c:pt>
                <c:pt idx="30">
                  <c:v>-0.50094070562271387</c:v>
                </c:pt>
                <c:pt idx="31">
                  <c:v>-0.50142965161673592</c:v>
                </c:pt>
                <c:pt idx="32">
                  <c:v>-0.56882255262792203</c:v>
                </c:pt>
                <c:pt idx="33">
                  <c:v>-0.581904094265279</c:v>
                </c:pt>
                <c:pt idx="34">
                  <c:v>-0.50332832556036478</c:v>
                </c:pt>
                <c:pt idx="35">
                  <c:v>-0.50447305178411161</c:v>
                </c:pt>
                <c:pt idx="36">
                  <c:v>-0.44809929742048399</c:v>
                </c:pt>
                <c:pt idx="37">
                  <c:v>-0.41283517504997147</c:v>
                </c:pt>
                <c:pt idx="38">
                  <c:v>-0.48755254844367707</c:v>
                </c:pt>
                <c:pt idx="39">
                  <c:v>-0.4250161945556844</c:v>
                </c:pt>
                <c:pt idx="40">
                  <c:v>-0.50444231203427758</c:v>
                </c:pt>
                <c:pt idx="41">
                  <c:v>-0.43651782433067421</c:v>
                </c:pt>
                <c:pt idx="42">
                  <c:v>-0.51036152701650783</c:v>
                </c:pt>
                <c:pt idx="43">
                  <c:v>-0.53549788885653415</c:v>
                </c:pt>
                <c:pt idx="44">
                  <c:v>-0.50199743694566423</c:v>
                </c:pt>
                <c:pt idx="45">
                  <c:v>-0.56181061362154416</c:v>
                </c:pt>
                <c:pt idx="46">
                  <c:v>-0.5919600028285531</c:v>
                </c:pt>
                <c:pt idx="47">
                  <c:v>-0.58208481682285917</c:v>
                </c:pt>
                <c:pt idx="48">
                  <c:v>-0.68054109295222265</c:v>
                </c:pt>
                <c:pt idx="49">
                  <c:v>-0.83544487127337475</c:v>
                </c:pt>
                <c:pt idx="50">
                  <c:v>-0.88104329644083668</c:v>
                </c:pt>
                <c:pt idx="51">
                  <c:v>-0.51149271314434885</c:v>
                </c:pt>
                <c:pt idx="52">
                  <c:v>-0.31586667779383126</c:v>
                </c:pt>
                <c:pt idx="53">
                  <c:v>-0.33804085925965943</c:v>
                </c:pt>
                <c:pt idx="54">
                  <c:v>-0.40652389612776019</c:v>
                </c:pt>
                <c:pt idx="55">
                  <c:v>-0.46140990988256647</c:v>
                </c:pt>
                <c:pt idx="56">
                  <c:v>-0.55758843901220434</c:v>
                </c:pt>
                <c:pt idx="57">
                  <c:v>-0.56558185107575465</c:v>
                </c:pt>
                <c:pt idx="58">
                  <c:v>-0.45449313166584765</c:v>
                </c:pt>
                <c:pt idx="59">
                  <c:v>-0.39949671651512675</c:v>
                </c:pt>
                <c:pt idx="60">
                  <c:v>-0.35118147546346246</c:v>
                </c:pt>
                <c:pt idx="61">
                  <c:v>-0.33331759332918115</c:v>
                </c:pt>
                <c:pt idx="62">
                  <c:v>-0.45425722865675677</c:v>
                </c:pt>
                <c:pt idx="63">
                  <c:v>-0.53719512785707924</c:v>
                </c:pt>
                <c:pt idx="64">
                  <c:v>-0.49884506489323643</c:v>
                </c:pt>
                <c:pt idx="65">
                  <c:v>-0.42400951473813009</c:v>
                </c:pt>
                <c:pt idx="66">
                  <c:v>-0.39617941733981749</c:v>
                </c:pt>
                <c:pt idx="67">
                  <c:v>-0.28961263537212728</c:v>
                </c:pt>
                <c:pt idx="68">
                  <c:v>-0.30598541774892646</c:v>
                </c:pt>
                <c:pt idx="69">
                  <c:v>-0.39471161208170991</c:v>
                </c:pt>
                <c:pt idx="70">
                  <c:v>-0.1817628459436996</c:v>
                </c:pt>
                <c:pt idx="71">
                  <c:v>-2.3218873546090701E-2</c:v>
                </c:pt>
                <c:pt idx="72">
                  <c:v>-0.197887371473698</c:v>
                </c:pt>
                <c:pt idx="73">
                  <c:v>-0.16124992578172564</c:v>
                </c:pt>
                <c:pt idx="74">
                  <c:v>-0.12889705026122628</c:v>
                </c:pt>
                <c:pt idx="75">
                  <c:v>-8.1639314398334106E-2</c:v>
                </c:pt>
                <c:pt idx="76">
                  <c:v>6.2439421635921283E-2</c:v>
                </c:pt>
                <c:pt idx="77">
                  <c:v>0.31717867735078253</c:v>
                </c:pt>
                <c:pt idx="78">
                  <c:v>0.19207468203074962</c:v>
                </c:pt>
                <c:pt idx="79">
                  <c:v>0.28759322489574568</c:v>
                </c:pt>
                <c:pt idx="80">
                  <c:v>0.3544333705325633</c:v>
                </c:pt>
                <c:pt idx="81">
                  <c:v>0.45520372756662808</c:v>
                </c:pt>
                <c:pt idx="82">
                  <c:v>0.89900454262103824</c:v>
                </c:pt>
                <c:pt idx="83">
                  <c:v>1.0149233139004865</c:v>
                </c:pt>
                <c:pt idx="84">
                  <c:v>0.78447414686230232</c:v>
                </c:pt>
                <c:pt idx="85">
                  <c:v>0.88785365195186505</c:v>
                </c:pt>
                <c:pt idx="86">
                  <c:v>0.92401699455654751</c:v>
                </c:pt>
                <c:pt idx="87">
                  <c:v>0.68336519593150669</c:v>
                </c:pt>
                <c:pt idx="88">
                  <c:v>0.72980647490620443</c:v>
                </c:pt>
                <c:pt idx="89">
                  <c:v>0.57700255809599721</c:v>
                </c:pt>
                <c:pt idx="90">
                  <c:v>0.76228831600122404</c:v>
                </c:pt>
                <c:pt idx="91">
                  <c:v>0.50287975903182147</c:v>
                </c:pt>
                <c:pt idx="92">
                  <c:v>0.51521353835748607</c:v>
                </c:pt>
                <c:pt idx="93">
                  <c:v>0.35336311705609408</c:v>
                </c:pt>
                <c:pt idx="94">
                  <c:v>0.37780270388812676</c:v>
                </c:pt>
                <c:pt idx="95">
                  <c:v>0.31957018253214142</c:v>
                </c:pt>
                <c:pt idx="96">
                  <c:v>0.4398018944962393</c:v>
                </c:pt>
                <c:pt idx="97">
                  <c:v>0.32756819928918512</c:v>
                </c:pt>
                <c:pt idx="98">
                  <c:v>0.2911169459630199</c:v>
                </c:pt>
                <c:pt idx="99">
                  <c:v>0.33840239922181026</c:v>
                </c:pt>
                <c:pt idx="100">
                  <c:v>0.34639122499531938</c:v>
                </c:pt>
                <c:pt idx="101">
                  <c:v>8.3470740396080267E-2</c:v>
                </c:pt>
                <c:pt idx="102">
                  <c:v>8.7462494278004371E-2</c:v>
                </c:pt>
                <c:pt idx="103">
                  <c:v>0.14584600110649648</c:v>
                </c:pt>
                <c:pt idx="104">
                  <c:v>4.6787653871868951E-3</c:v>
                </c:pt>
                <c:pt idx="105">
                  <c:v>-0.1432153371856166</c:v>
                </c:pt>
                <c:pt idx="106">
                  <c:v>-0.1254588336836838</c:v>
                </c:pt>
                <c:pt idx="107">
                  <c:v>-0.51512646737780732</c:v>
                </c:pt>
                <c:pt idx="108">
                  <c:v>-0.54711151045869499</c:v>
                </c:pt>
                <c:pt idx="109">
                  <c:v>-0.56105685664219895</c:v>
                </c:pt>
                <c:pt idx="110">
                  <c:v>-0.64216240048246909</c:v>
                </c:pt>
                <c:pt idx="111">
                  <c:v>-0.68493932260714796</c:v>
                </c:pt>
                <c:pt idx="112">
                  <c:v>-0.86407403642998803</c:v>
                </c:pt>
                <c:pt idx="113">
                  <c:v>-0.86728736717312671</c:v>
                </c:pt>
                <c:pt idx="114">
                  <c:v>-0.80382131613509322</c:v>
                </c:pt>
                <c:pt idx="115">
                  <c:v>-0.88699502321265211</c:v>
                </c:pt>
                <c:pt idx="116">
                  <c:v>-0.81127920715774593</c:v>
                </c:pt>
                <c:pt idx="117">
                  <c:v>-0.7061801473572672</c:v>
                </c:pt>
                <c:pt idx="118">
                  <c:v>-0.65432994551964585</c:v>
                </c:pt>
                <c:pt idx="119">
                  <c:v>-0.58309364584651024</c:v>
                </c:pt>
                <c:pt idx="120">
                  <c:v>-0.54674738359697439</c:v>
                </c:pt>
                <c:pt idx="121">
                  <c:v>-0.48839037460020907</c:v>
                </c:pt>
                <c:pt idx="122">
                  <c:v>-0.4308949837633701</c:v>
                </c:pt>
                <c:pt idx="123">
                  <c:v>-0.55660010144154803</c:v>
                </c:pt>
                <c:pt idx="124">
                  <c:v>-0.47821037773455088</c:v>
                </c:pt>
                <c:pt idx="125">
                  <c:v>-0.31385825369301168</c:v>
                </c:pt>
                <c:pt idx="126">
                  <c:v>3.8961186714708274E-3</c:v>
                </c:pt>
                <c:pt idx="127">
                  <c:v>-0.16173012755428479</c:v>
                </c:pt>
                <c:pt idx="128">
                  <c:v>-0.3020862895549784</c:v>
                </c:pt>
                <c:pt idx="129">
                  <c:v>-0.15915921350265091</c:v>
                </c:pt>
                <c:pt idx="130">
                  <c:v>-0.18758802528070184</c:v>
                </c:pt>
                <c:pt idx="131">
                  <c:v>-0.11017445822309438</c:v>
                </c:pt>
                <c:pt idx="132">
                  <c:v>-6.2537798838395497E-2</c:v>
                </c:pt>
                <c:pt idx="133">
                  <c:v>-2.7747552466223145E-2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E93-477C-8E42-2CBD9687F44C}"/>
            </c:ext>
          </c:extLst>
        </c:ser>
        <c:ser>
          <c:idx val="11"/>
          <c:order val="11"/>
          <c:tx>
            <c:strRef>
              <c:f>'預測(XGB)累積報酬'!$B$23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'預測(XGB)累積報酬'!$C$11:$EF$11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'預測(XGB)累積報酬'!$C$23:$EF$23</c:f>
              <c:numCache>
                <c:formatCode>General</c:formatCode>
                <c:ptCount val="134"/>
                <c:pt idx="0">
                  <c:v>-3.4987009286289193E-2</c:v>
                </c:pt>
                <c:pt idx="1">
                  <c:v>0.21910561816517207</c:v>
                </c:pt>
                <c:pt idx="2">
                  <c:v>0.30004679073584428</c:v>
                </c:pt>
                <c:pt idx="3">
                  <c:v>0.44171169978774599</c:v>
                </c:pt>
                <c:pt idx="4">
                  <c:v>0.49393587363424435</c:v>
                </c:pt>
                <c:pt idx="5">
                  <c:v>0.29021756575526925</c:v>
                </c:pt>
                <c:pt idx="6">
                  <c:v>0.14206553715497525</c:v>
                </c:pt>
                <c:pt idx="7">
                  <c:v>2.7188031224530146E-2</c:v>
                </c:pt>
                <c:pt idx="8">
                  <c:v>0.23167750769676373</c:v>
                </c:pt>
                <c:pt idx="9">
                  <c:v>0.17763397792116511</c:v>
                </c:pt>
                <c:pt idx="10">
                  <c:v>-8.081593843747728E-2</c:v>
                </c:pt>
                <c:pt idx="11">
                  <c:v>-0.23723517607349007</c:v>
                </c:pt>
                <c:pt idx="12">
                  <c:v>-0.36013488338065847</c:v>
                </c:pt>
                <c:pt idx="13">
                  <c:v>-0.34945137862091169</c:v>
                </c:pt>
                <c:pt idx="14">
                  <c:v>-0.40901939552143218</c:v>
                </c:pt>
                <c:pt idx="15">
                  <c:v>-0.34619741755167049</c:v>
                </c:pt>
                <c:pt idx="16">
                  <c:v>-0.41877008200173277</c:v>
                </c:pt>
                <c:pt idx="17">
                  <c:v>-0.50344625777046148</c:v>
                </c:pt>
                <c:pt idx="18">
                  <c:v>-0.4096888353296671</c:v>
                </c:pt>
                <c:pt idx="19">
                  <c:v>-0.34633182435060106</c:v>
                </c:pt>
                <c:pt idx="20">
                  <c:v>-0.8502511555359118</c:v>
                </c:pt>
                <c:pt idx="21">
                  <c:v>-0.65569469407826753</c:v>
                </c:pt>
                <c:pt idx="22">
                  <c:v>-0.66328345750694573</c:v>
                </c:pt>
                <c:pt idx="23">
                  <c:v>-0.62223149098669439</c:v>
                </c:pt>
                <c:pt idx="24">
                  <c:v>-0.47058215914064827</c:v>
                </c:pt>
                <c:pt idx="25">
                  <c:v>-0.51833110435980378</c:v>
                </c:pt>
                <c:pt idx="26">
                  <c:v>-0.44198476621296579</c:v>
                </c:pt>
                <c:pt idx="27">
                  <c:v>-0.51361363429863982</c:v>
                </c:pt>
                <c:pt idx="28">
                  <c:v>-0.73532687012028886</c:v>
                </c:pt>
                <c:pt idx="29">
                  <c:v>-1.0599861957605001</c:v>
                </c:pt>
                <c:pt idx="30">
                  <c:v>-1.2058800887001722</c:v>
                </c:pt>
                <c:pt idx="31">
                  <c:v>-1.2431595790708418</c:v>
                </c:pt>
                <c:pt idx="32">
                  <c:v>-1.3186097488103041</c:v>
                </c:pt>
                <c:pt idx="33">
                  <c:v>-1.3421971891043283</c:v>
                </c:pt>
                <c:pt idx="34">
                  <c:v>-1.2509979648290686</c:v>
                </c:pt>
                <c:pt idx="35">
                  <c:v>-1.3023082760115554</c:v>
                </c:pt>
                <c:pt idx="36">
                  <c:v>-1.3227788193136414</c:v>
                </c:pt>
                <c:pt idx="37">
                  <c:v>-1.1951492205004568</c:v>
                </c:pt>
                <c:pt idx="38">
                  <c:v>-1.1898122683090326</c:v>
                </c:pt>
                <c:pt idx="39">
                  <c:v>-1.1929333676613383</c:v>
                </c:pt>
                <c:pt idx="40">
                  <c:v>-1.2823583599209489</c:v>
                </c:pt>
                <c:pt idx="41">
                  <c:v>-1.1362221955815819</c:v>
                </c:pt>
                <c:pt idx="42">
                  <c:v>-1.2178858163621522</c:v>
                </c:pt>
                <c:pt idx="43">
                  <c:v>-1.2593135381758018</c:v>
                </c:pt>
                <c:pt idx="44">
                  <c:v>-1.2261680120472975</c:v>
                </c:pt>
                <c:pt idx="45">
                  <c:v>-1.2538070062446716</c:v>
                </c:pt>
                <c:pt idx="46">
                  <c:v>-1.3058339160830743</c:v>
                </c:pt>
                <c:pt idx="47">
                  <c:v>-1.2910211370745335</c:v>
                </c:pt>
                <c:pt idx="48">
                  <c:v>-1.3491607371813235</c:v>
                </c:pt>
                <c:pt idx="49">
                  <c:v>-1.4129143545823837</c:v>
                </c:pt>
                <c:pt idx="50">
                  <c:v>-1.4032675745022829</c:v>
                </c:pt>
                <c:pt idx="51">
                  <c:v>-0.83644104845484257</c:v>
                </c:pt>
                <c:pt idx="52">
                  <c:v>-0.58357186655490301</c:v>
                </c:pt>
                <c:pt idx="53">
                  <c:v>-0.48874098520845266</c:v>
                </c:pt>
                <c:pt idx="54">
                  <c:v>-0.57527337999845563</c:v>
                </c:pt>
                <c:pt idx="55">
                  <c:v>-0.63528632362028081</c:v>
                </c:pt>
                <c:pt idx="56">
                  <c:v>-0.68019499831454744</c:v>
                </c:pt>
                <c:pt idx="57">
                  <c:v>-0.62659813437955714</c:v>
                </c:pt>
                <c:pt idx="58">
                  <c:v>-0.43548605505635807</c:v>
                </c:pt>
                <c:pt idx="59">
                  <c:v>-0.33148273978843118</c:v>
                </c:pt>
                <c:pt idx="60">
                  <c:v>-0.283633416487243</c:v>
                </c:pt>
                <c:pt idx="61">
                  <c:v>-0.33706563643191595</c:v>
                </c:pt>
                <c:pt idx="62">
                  <c:v>-0.52121344368978462</c:v>
                </c:pt>
                <c:pt idx="63">
                  <c:v>-0.55966668093005778</c:v>
                </c:pt>
                <c:pt idx="64">
                  <c:v>-0.49785120096219132</c:v>
                </c:pt>
                <c:pt idx="65">
                  <c:v>-0.39958480175073485</c:v>
                </c:pt>
                <c:pt idx="66">
                  <c:v>-0.32753690031546867</c:v>
                </c:pt>
                <c:pt idx="67">
                  <c:v>-0.22471431013511797</c:v>
                </c:pt>
                <c:pt idx="68">
                  <c:v>-0.29798969879302978</c:v>
                </c:pt>
                <c:pt idx="69">
                  <c:v>-0.51617637492593382</c:v>
                </c:pt>
                <c:pt idx="70">
                  <c:v>-0.31048863907998792</c:v>
                </c:pt>
                <c:pt idx="71">
                  <c:v>-0.19702107071979941</c:v>
                </c:pt>
                <c:pt idx="72">
                  <c:v>-0.39917340399549062</c:v>
                </c:pt>
                <c:pt idx="73">
                  <c:v>-0.40738652372274375</c:v>
                </c:pt>
                <c:pt idx="74">
                  <c:v>-0.36744707484661343</c:v>
                </c:pt>
                <c:pt idx="75">
                  <c:v>-0.35977731241476857</c:v>
                </c:pt>
                <c:pt idx="76">
                  <c:v>-0.15340459002728166</c:v>
                </c:pt>
                <c:pt idx="77">
                  <c:v>0.16276217173146837</c:v>
                </c:pt>
                <c:pt idx="78">
                  <c:v>7.8217557015693023E-2</c:v>
                </c:pt>
                <c:pt idx="79">
                  <c:v>0.21945950117724203</c:v>
                </c:pt>
                <c:pt idx="80">
                  <c:v>0.27906180301495948</c:v>
                </c:pt>
                <c:pt idx="81">
                  <c:v>0.29522263844504126</c:v>
                </c:pt>
                <c:pt idx="82">
                  <c:v>0.58812657656277845</c:v>
                </c:pt>
                <c:pt idx="83">
                  <c:v>0.76832302548420683</c:v>
                </c:pt>
                <c:pt idx="84">
                  <c:v>0.70920055157068296</c:v>
                </c:pt>
                <c:pt idx="85">
                  <c:v>0.72907591912109349</c:v>
                </c:pt>
                <c:pt idx="86">
                  <c:v>0.82519291384905502</c:v>
                </c:pt>
                <c:pt idx="87">
                  <c:v>0.41653190118163663</c:v>
                </c:pt>
                <c:pt idx="88">
                  <c:v>0.42350691019485776</c:v>
                </c:pt>
                <c:pt idx="89">
                  <c:v>0.14640264823878957</c:v>
                </c:pt>
                <c:pt idx="90">
                  <c:v>0.41485362514193869</c:v>
                </c:pt>
                <c:pt idx="91">
                  <c:v>0.10349288197918199</c:v>
                </c:pt>
                <c:pt idx="92">
                  <c:v>0.11267662647898788</c:v>
                </c:pt>
                <c:pt idx="93">
                  <c:v>0.10107882265790927</c:v>
                </c:pt>
                <c:pt idx="94">
                  <c:v>0.17009419351481442</c:v>
                </c:pt>
                <c:pt idx="95">
                  <c:v>0.12443165180356056</c:v>
                </c:pt>
                <c:pt idx="96">
                  <c:v>0.14548824751684761</c:v>
                </c:pt>
                <c:pt idx="97">
                  <c:v>0.16773338500565327</c:v>
                </c:pt>
                <c:pt idx="98">
                  <c:v>6.6832053203234668E-2</c:v>
                </c:pt>
                <c:pt idx="99">
                  <c:v>2.2577973653699637E-2</c:v>
                </c:pt>
                <c:pt idx="100">
                  <c:v>5.3144290032113711E-4</c:v>
                </c:pt>
                <c:pt idx="101">
                  <c:v>-0.18146735095703007</c:v>
                </c:pt>
                <c:pt idx="102">
                  <c:v>-0.15048521473111967</c:v>
                </c:pt>
                <c:pt idx="103">
                  <c:v>-0.13453005786412325</c:v>
                </c:pt>
                <c:pt idx="104">
                  <c:v>-0.29247895718237638</c:v>
                </c:pt>
                <c:pt idx="105">
                  <c:v>-0.50589000158937303</c:v>
                </c:pt>
                <c:pt idx="106">
                  <c:v>-0.44580405407920143</c:v>
                </c:pt>
                <c:pt idx="107">
                  <c:v>-0.85459897464012169</c:v>
                </c:pt>
                <c:pt idx="108">
                  <c:v>-0.8928689865148387</c:v>
                </c:pt>
                <c:pt idx="109">
                  <c:v>-0.94828243382358113</c:v>
                </c:pt>
                <c:pt idx="110">
                  <c:v>-1.1331951473716864</c:v>
                </c:pt>
                <c:pt idx="111">
                  <c:v>-1.0993705710762902</c:v>
                </c:pt>
                <c:pt idx="112">
                  <c:v>-1.3772037876351333</c:v>
                </c:pt>
                <c:pt idx="113">
                  <c:v>-1.3509611355305089</c:v>
                </c:pt>
                <c:pt idx="114">
                  <c:v>-1.331463830611143</c:v>
                </c:pt>
                <c:pt idx="115">
                  <c:v>-1.4496685850385127</c:v>
                </c:pt>
                <c:pt idx="116">
                  <c:v>-1.3256001430507838</c:v>
                </c:pt>
                <c:pt idx="117">
                  <c:v>-1.2871957472127855</c:v>
                </c:pt>
                <c:pt idx="118">
                  <c:v>-1.1660637059553278</c:v>
                </c:pt>
                <c:pt idx="119">
                  <c:v>-1.0636379107203267</c:v>
                </c:pt>
                <c:pt idx="120">
                  <c:v>-0.94706191905338721</c:v>
                </c:pt>
                <c:pt idx="121">
                  <c:v>-0.82310669585718832</c:v>
                </c:pt>
                <c:pt idx="122">
                  <c:v>-0.85739388111218573</c:v>
                </c:pt>
                <c:pt idx="123">
                  <c:v>-1.1336654894416254</c:v>
                </c:pt>
                <c:pt idx="124">
                  <c:v>-0.99243725685878681</c:v>
                </c:pt>
                <c:pt idx="125">
                  <c:v>-0.82143446989033231</c:v>
                </c:pt>
                <c:pt idx="126">
                  <c:v>-0.55321254051820845</c:v>
                </c:pt>
                <c:pt idx="127">
                  <c:v>-0.68254555606992728</c:v>
                </c:pt>
                <c:pt idx="128">
                  <c:v>-0.65378677629352233</c:v>
                </c:pt>
                <c:pt idx="129">
                  <c:v>-0.5155612811703203</c:v>
                </c:pt>
                <c:pt idx="130">
                  <c:v>-0.63876622412598505</c:v>
                </c:pt>
                <c:pt idx="131">
                  <c:v>-0.54734031950620399</c:v>
                </c:pt>
                <c:pt idx="132">
                  <c:v>-0.4781282435212113</c:v>
                </c:pt>
                <c:pt idx="133">
                  <c:v>-0.43034596492955163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E93-477C-8E42-2CBD9687F44C}"/>
            </c:ext>
          </c:extLst>
        </c:ser>
        <c:ser>
          <c:idx val="12"/>
          <c:order val="12"/>
          <c:tx>
            <c:strRef>
              <c:f>'預測(XGB)累積報酬'!$B$24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'預測(XGB)累積報酬'!$C$11:$EF$11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'預測(XGB)累積報酬'!$C$24:$EF$24</c:f>
              <c:numCache>
                <c:formatCode>General</c:formatCode>
                <c:ptCount val="134"/>
                <c:pt idx="0">
                  <c:v>0.162993136931085</c:v>
                </c:pt>
                <c:pt idx="1">
                  <c:v>0.26360304983031357</c:v>
                </c:pt>
                <c:pt idx="2">
                  <c:v>0.19220271966101665</c:v>
                </c:pt>
                <c:pt idx="3">
                  <c:v>0.41936226629776546</c:v>
                </c:pt>
                <c:pt idx="4">
                  <c:v>0.19360224324019307</c:v>
                </c:pt>
                <c:pt idx="5">
                  <c:v>-5.3084485250376734E-2</c:v>
                </c:pt>
                <c:pt idx="6">
                  <c:v>-5.0972552047233236E-2</c:v>
                </c:pt>
                <c:pt idx="7">
                  <c:v>-0.16643535026125572</c:v>
                </c:pt>
                <c:pt idx="8">
                  <c:v>-0.14492007190629561</c:v>
                </c:pt>
                <c:pt idx="9">
                  <c:v>-0.24054332241497772</c:v>
                </c:pt>
                <c:pt idx="10">
                  <c:v>-0.38736266131448621</c:v>
                </c:pt>
                <c:pt idx="11">
                  <c:v>-0.53149311371491947</c:v>
                </c:pt>
                <c:pt idx="12">
                  <c:v>-0.77577097710310294</c:v>
                </c:pt>
                <c:pt idx="13">
                  <c:v>-0.69803449124904571</c:v>
                </c:pt>
                <c:pt idx="14">
                  <c:v>-0.75899945289575199</c:v>
                </c:pt>
                <c:pt idx="15">
                  <c:v>-0.78682227678084016</c:v>
                </c:pt>
                <c:pt idx="16">
                  <c:v>-0.79787673698828876</c:v>
                </c:pt>
                <c:pt idx="17">
                  <c:v>-1.0856933405077767</c:v>
                </c:pt>
                <c:pt idx="18">
                  <c:v>-0.9371746662838587</c:v>
                </c:pt>
                <c:pt idx="19">
                  <c:v>-0.82063434956700787</c:v>
                </c:pt>
                <c:pt idx="20">
                  <c:v>-1.4635678781726673</c:v>
                </c:pt>
                <c:pt idx="21">
                  <c:v>-1.4644667546376846</c:v>
                </c:pt>
                <c:pt idx="22">
                  <c:v>-1.4938655942181172</c:v>
                </c:pt>
                <c:pt idx="23">
                  <c:v>-1.5182601429676934</c:v>
                </c:pt>
                <c:pt idx="24">
                  <c:v>-1.423900560153899</c:v>
                </c:pt>
                <c:pt idx="25">
                  <c:v>-1.6081519828226774</c:v>
                </c:pt>
                <c:pt idx="26">
                  <c:v>-1.4827716020467123</c:v>
                </c:pt>
                <c:pt idx="27">
                  <c:v>-1.5839469013034353</c:v>
                </c:pt>
                <c:pt idx="28">
                  <c:v>-1.7592157163107773</c:v>
                </c:pt>
                <c:pt idx="29">
                  <c:v>-2.2546051291149394</c:v>
                </c:pt>
                <c:pt idx="30">
                  <c:v>-2.6346605216977355</c:v>
                </c:pt>
                <c:pt idx="31">
                  <c:v>-2.5660467222363379</c:v>
                </c:pt>
                <c:pt idx="32">
                  <c:v>-2.7179583970197352</c:v>
                </c:pt>
                <c:pt idx="33">
                  <c:v>-2.8033935988105991</c:v>
                </c:pt>
                <c:pt idx="34">
                  <c:v>-2.6902144350349748</c:v>
                </c:pt>
                <c:pt idx="35">
                  <c:v>-2.7976688613407164</c:v>
                </c:pt>
                <c:pt idx="36">
                  <c:v>-2.7827023160065925</c:v>
                </c:pt>
                <c:pt idx="37">
                  <c:v>-2.6197605741498933</c:v>
                </c:pt>
                <c:pt idx="38">
                  <c:v>-2.6858506859788833</c:v>
                </c:pt>
                <c:pt idx="39">
                  <c:v>-2.6629989704897867</c:v>
                </c:pt>
                <c:pt idx="40">
                  <c:v>-2.7100759433240325</c:v>
                </c:pt>
                <c:pt idx="41">
                  <c:v>-2.539242537153207</c:v>
                </c:pt>
                <c:pt idx="42">
                  <c:v>-2.5425293108598299</c:v>
                </c:pt>
                <c:pt idx="43">
                  <c:v>-2.5120701033751214</c:v>
                </c:pt>
                <c:pt idx="44">
                  <c:v>-2.4679747835098969</c:v>
                </c:pt>
                <c:pt idx="45">
                  <c:v>-2.5551267356967928</c:v>
                </c:pt>
                <c:pt idx="46">
                  <c:v>-2.5501391941857539</c:v>
                </c:pt>
                <c:pt idx="47">
                  <c:v>-2.6616305311019692</c:v>
                </c:pt>
                <c:pt idx="48">
                  <c:v>-2.9290662757884394</c:v>
                </c:pt>
                <c:pt idx="49">
                  <c:v>-2.891199202188774</c:v>
                </c:pt>
                <c:pt idx="50">
                  <c:v>-2.9449939342734073</c:v>
                </c:pt>
                <c:pt idx="51">
                  <c:v>-2.2542174028927353</c:v>
                </c:pt>
                <c:pt idx="52">
                  <c:v>-2.2585842725071186</c:v>
                </c:pt>
                <c:pt idx="53">
                  <c:v>-2.0729890532606832</c:v>
                </c:pt>
                <c:pt idx="54">
                  <c:v>-2.1771201761113677</c:v>
                </c:pt>
                <c:pt idx="55">
                  <c:v>-2.2773518814927742</c:v>
                </c:pt>
                <c:pt idx="56">
                  <c:v>-2.4539754171720913</c:v>
                </c:pt>
                <c:pt idx="57">
                  <c:v>-2.4444059661559407</c:v>
                </c:pt>
                <c:pt idx="58">
                  <c:v>-2.2207768600858935</c:v>
                </c:pt>
                <c:pt idx="59">
                  <c:v>-2.2174285443310091</c:v>
                </c:pt>
                <c:pt idx="60">
                  <c:v>-2.1826008971582351</c:v>
                </c:pt>
                <c:pt idx="61">
                  <c:v>-2.2134995086774092</c:v>
                </c:pt>
                <c:pt idx="62">
                  <c:v>-2.5904158662370533</c:v>
                </c:pt>
                <c:pt idx="63">
                  <c:v>-2.699329126553601</c:v>
                </c:pt>
                <c:pt idx="64">
                  <c:v>-2.7049535481120675</c:v>
                </c:pt>
                <c:pt idx="65">
                  <c:v>-2.5816023669827457</c:v>
                </c:pt>
                <c:pt idx="66">
                  <c:v>-2.6457720003128609</c:v>
                </c:pt>
                <c:pt idx="67">
                  <c:v>-2.5468511111276193</c:v>
                </c:pt>
                <c:pt idx="68">
                  <c:v>-2.5481358286120761</c:v>
                </c:pt>
                <c:pt idx="69">
                  <c:v>-2.8248548447522843</c:v>
                </c:pt>
                <c:pt idx="70">
                  <c:v>-2.5965282131923435</c:v>
                </c:pt>
                <c:pt idx="71">
                  <c:v>-2.4887997593043605</c:v>
                </c:pt>
                <c:pt idx="72">
                  <c:v>-2.5506356429399535</c:v>
                </c:pt>
                <c:pt idx="73">
                  <c:v>-2.6835956986504113</c:v>
                </c:pt>
                <c:pt idx="74">
                  <c:v>-2.9739325735958282</c:v>
                </c:pt>
                <c:pt idx="75">
                  <c:v>-2.7150396747458312</c:v>
                </c:pt>
                <c:pt idx="76">
                  <c:v>-2.6150147590568804</c:v>
                </c:pt>
                <c:pt idx="77">
                  <c:v>-1.9753166254223653</c:v>
                </c:pt>
                <c:pt idx="78">
                  <c:v>-2.157786505309927</c:v>
                </c:pt>
                <c:pt idx="79">
                  <c:v>-2.1278329794399107</c:v>
                </c:pt>
                <c:pt idx="80">
                  <c:v>-1.962268105448796</c:v>
                </c:pt>
                <c:pt idx="81">
                  <c:v>-2.0062327394455277</c:v>
                </c:pt>
                <c:pt idx="82">
                  <c:v>-1.7689549045856026</c:v>
                </c:pt>
                <c:pt idx="83">
                  <c:v>-1.4146776077430996</c:v>
                </c:pt>
                <c:pt idx="84">
                  <c:v>-1.4731857649761384</c:v>
                </c:pt>
                <c:pt idx="85">
                  <c:v>-1.486295250395558</c:v>
                </c:pt>
                <c:pt idx="86">
                  <c:v>-1.3927651710798614</c:v>
                </c:pt>
                <c:pt idx="87">
                  <c:v>-1.2510098377073207</c:v>
                </c:pt>
                <c:pt idx="88">
                  <c:v>-1.2063212993833887</c:v>
                </c:pt>
                <c:pt idx="89">
                  <c:v>-1.815998496650463</c:v>
                </c:pt>
                <c:pt idx="90">
                  <c:v>-1.2435888869157878</c:v>
                </c:pt>
                <c:pt idx="91">
                  <c:v>-1.4039330917306299</c:v>
                </c:pt>
                <c:pt idx="92">
                  <c:v>-1.5186202655939267</c:v>
                </c:pt>
                <c:pt idx="93">
                  <c:v>-1.5797051038334835</c:v>
                </c:pt>
                <c:pt idx="94">
                  <c:v>-1.6065600263545921</c:v>
                </c:pt>
                <c:pt idx="95">
                  <c:v>-1.702979034501988</c:v>
                </c:pt>
                <c:pt idx="96">
                  <c:v>-1.6302276868452779</c:v>
                </c:pt>
                <c:pt idx="97">
                  <c:v>-1.6452917343846531</c:v>
                </c:pt>
                <c:pt idx="98">
                  <c:v>-1.8204089004566606</c:v>
                </c:pt>
                <c:pt idx="99">
                  <c:v>-1.7676436416133936</c:v>
                </c:pt>
                <c:pt idx="100">
                  <c:v>-1.6875767369765746</c:v>
                </c:pt>
                <c:pt idx="101">
                  <c:v>-1.7997833654211419</c:v>
                </c:pt>
                <c:pt idx="102">
                  <c:v>-1.8242945695838968</c:v>
                </c:pt>
                <c:pt idx="103">
                  <c:v>-1.6288338970712424</c:v>
                </c:pt>
                <c:pt idx="104">
                  <c:v>-1.9115636757997605</c:v>
                </c:pt>
                <c:pt idx="105">
                  <c:v>-2.0649450565388667</c:v>
                </c:pt>
                <c:pt idx="106">
                  <c:v>-2.1965306478343996</c:v>
                </c:pt>
                <c:pt idx="107">
                  <c:v>-2.7221156539788973</c:v>
                </c:pt>
                <c:pt idx="108">
                  <c:v>-2.7812214881032413</c:v>
                </c:pt>
                <c:pt idx="109">
                  <c:v>-2.7820680131686077</c:v>
                </c:pt>
                <c:pt idx="110">
                  <c:v>-3.2051668128969468</c:v>
                </c:pt>
                <c:pt idx="111">
                  <c:v>-3.2262482840547984</c:v>
                </c:pt>
                <c:pt idx="112">
                  <c:v>-3.5657574946852422</c:v>
                </c:pt>
                <c:pt idx="113">
                  <c:v>-3.5043969814698253</c:v>
                </c:pt>
                <c:pt idx="114">
                  <c:v>-3.3629574542429506</c:v>
                </c:pt>
                <c:pt idx="115">
                  <c:v>-3.5119907100724324</c:v>
                </c:pt>
                <c:pt idx="116">
                  <c:v>-3.3963787550489521</c:v>
                </c:pt>
                <c:pt idx="117">
                  <c:v>-3.2520481126685961</c:v>
                </c:pt>
                <c:pt idx="118">
                  <c:v>-3.2015619221896707</c:v>
                </c:pt>
                <c:pt idx="119">
                  <c:v>-3.1781701909161417</c:v>
                </c:pt>
                <c:pt idx="120">
                  <c:v>-3.1108076452021969</c:v>
                </c:pt>
                <c:pt idx="121">
                  <c:v>-3.0724447790320673</c:v>
                </c:pt>
                <c:pt idx="122">
                  <c:v>-3.0248061917583096</c:v>
                </c:pt>
                <c:pt idx="123">
                  <c:v>-3.1830308904021241</c:v>
                </c:pt>
                <c:pt idx="124">
                  <c:v>-3.0741738005107937</c:v>
                </c:pt>
                <c:pt idx="125">
                  <c:v>-2.9004364700627145</c:v>
                </c:pt>
                <c:pt idx="126">
                  <c:v>-2.8683699343327631</c:v>
                </c:pt>
                <c:pt idx="127">
                  <c:v>-2.8194652700739633</c:v>
                </c:pt>
                <c:pt idx="128">
                  <c:v>-2.7645450862324608</c:v>
                </c:pt>
                <c:pt idx="129">
                  <c:v>-2.6553163138596543</c:v>
                </c:pt>
                <c:pt idx="130">
                  <c:v>-2.9119676938231809</c:v>
                </c:pt>
                <c:pt idx="131">
                  <c:v>-2.8557948485248188</c:v>
                </c:pt>
                <c:pt idx="132">
                  <c:v>-2.748314191290401</c:v>
                </c:pt>
                <c:pt idx="133">
                  <c:v>-2.8155908683343696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E93-477C-8E42-2CBD9687F44C}"/>
            </c:ext>
          </c:extLst>
        </c:ser>
        <c:ser>
          <c:idx val="13"/>
          <c:order val="13"/>
          <c:tx>
            <c:strRef>
              <c:f>'預測(XGB)累積報酬'!$B$25</c:f>
              <c:strCache>
                <c:ptCount val="1"/>
                <c:pt idx="0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'預測(XGB)累積報酬'!$C$11:$EF$11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'預測(XGB)累積報酬'!$C$25:$EF$25</c:f>
              <c:numCache>
                <c:formatCode>#,##0.0000</c:formatCode>
                <c:ptCount val="134"/>
                <c:pt idx="0">
                  <c:v>-1.7446770539390338E-2</c:v>
                </c:pt>
                <c:pt idx="1">
                  <c:v>2.070106053181563E-2</c:v>
                </c:pt>
                <c:pt idx="2">
                  <c:v>2.3982129254766709E-2</c:v>
                </c:pt>
                <c:pt idx="3">
                  <c:v>-6.557578972823077E-3</c:v>
                </c:pt>
                <c:pt idx="4">
                  <c:v>3.1845129800519692E-2</c:v>
                </c:pt>
                <c:pt idx="5">
                  <c:v>3.4348532736990518E-2</c:v>
                </c:pt>
                <c:pt idx="6">
                  <c:v>-8.2549327813252367E-3</c:v>
                </c:pt>
                <c:pt idx="7">
                  <c:v>1.2843524394052759E-2</c:v>
                </c:pt>
                <c:pt idx="8">
                  <c:v>-5.1018524626790823E-2</c:v>
                </c:pt>
                <c:pt idx="9">
                  <c:v>8.7394274103658827E-4</c:v>
                </c:pt>
                <c:pt idx="10">
                  <c:v>2.3389575505495919E-2</c:v>
                </c:pt>
                <c:pt idx="11">
                  <c:v>1.2988972200332851E-2</c:v>
                </c:pt>
                <c:pt idx="12">
                  <c:v>5.8545887256348812E-3</c:v>
                </c:pt>
                <c:pt idx="13">
                  <c:v>2.7413206571790558E-2</c:v>
                </c:pt>
                <c:pt idx="14">
                  <c:v>-3.7129361176928542E-3</c:v>
                </c:pt>
                <c:pt idx="15">
                  <c:v>2.4076614047823328E-2</c:v>
                </c:pt>
                <c:pt idx="16">
                  <c:v>-1.219002529903996E-2</c:v>
                </c:pt>
                <c:pt idx="17">
                  <c:v>-3.9749578159589592E-2</c:v>
                </c:pt>
                <c:pt idx="18">
                  <c:v>-7.3155449831649552E-2</c:v>
                </c:pt>
                <c:pt idx="19">
                  <c:v>-5.8260229910114661E-2</c:v>
                </c:pt>
                <c:pt idx="20">
                  <c:v>7.7279756550837221E-4</c:v>
                </c:pt>
                <c:pt idx="21">
                  <c:v>4.459152113521897E-2</c:v>
                </c:pt>
                <c:pt idx="22">
                  <c:v>-2.7699680050213091E-2</c:v>
                </c:pt>
                <c:pt idx="23">
                  <c:v>2.0950059497436462E-3</c:v>
                </c:pt>
                <c:pt idx="24">
                  <c:v>-2.340055099256411E-2</c:v>
                </c:pt>
                <c:pt idx="25">
                  <c:v>3.2129371097322189E-2</c:v>
                </c:pt>
                <c:pt idx="26">
                  <c:v>3.890327309406643E-2</c:v>
                </c:pt>
                <c:pt idx="27">
                  <c:v>-4.286538217110427E-2</c:v>
                </c:pt>
                <c:pt idx="28">
                  <c:v>1.8647194550152159E-2</c:v>
                </c:pt>
                <c:pt idx="29">
                  <c:v>1.5229768322528949E-2</c:v>
                </c:pt>
                <c:pt idx="30">
                  <c:v>3.6016603778892417E-2</c:v>
                </c:pt>
                <c:pt idx="31">
                  <c:v>9.3546113853161701E-3</c:v>
                </c:pt>
                <c:pt idx="32">
                  <c:v>1.0748251336838139E-2</c:v>
                </c:pt>
                <c:pt idx="33">
                  <c:v>1.335775405308097E-2</c:v>
                </c:pt>
                <c:pt idx="34">
                  <c:v>-5.3327473290953921E-3</c:v>
                </c:pt>
                <c:pt idx="35">
                  <c:v>1.383135807261675E-3</c:v>
                </c:pt>
                <c:pt idx="36">
                  <c:v>2.079592842007446E-2</c:v>
                </c:pt>
                <c:pt idx="37">
                  <c:v>3.1517702220390638E-2</c:v>
                </c:pt>
                <c:pt idx="38">
                  <c:v>6.2417165333294418E-3</c:v>
                </c:pt>
                <c:pt idx="39">
                  <c:v>6.1452616535713897E-3</c:v>
                </c:pt>
                <c:pt idx="40">
                  <c:v>1.694635767669651E-2</c:v>
                </c:pt>
                <c:pt idx="41">
                  <c:v>3.4682830454308228E-2</c:v>
                </c:pt>
                <c:pt idx="42">
                  <c:v>3.0985886171969678E-3</c:v>
                </c:pt>
                <c:pt idx="43">
                  <c:v>1.508134714348611E-2</c:v>
                </c:pt>
                <c:pt idx="44">
                  <c:v>-1.9251209229863991E-2</c:v>
                </c:pt>
                <c:pt idx="45">
                  <c:v>3.8711513387631437E-2</c:v>
                </c:pt>
                <c:pt idx="46">
                  <c:v>-2.1856951135736599E-2</c:v>
                </c:pt>
                <c:pt idx="47">
                  <c:v>7.7743007097896798E-3</c:v>
                </c:pt>
                <c:pt idx="48">
                  <c:v>4.2397246695325942E-2</c:v>
                </c:pt>
                <c:pt idx="49">
                  <c:v>-2.630897486115975E-2</c:v>
                </c:pt>
                <c:pt idx="50">
                  <c:v>9.5717493087162323E-3</c:v>
                </c:pt>
                <c:pt idx="51">
                  <c:v>-2.424974126627483E-2</c:v>
                </c:pt>
                <c:pt idx="52">
                  <c:v>2.0163374143915822E-2</c:v>
                </c:pt>
                <c:pt idx="53">
                  <c:v>-3.5049987821160239E-3</c:v>
                </c:pt>
                <c:pt idx="54">
                  <c:v>2.0151935098542271E-2</c:v>
                </c:pt>
                <c:pt idx="55">
                  <c:v>5.8133623077027128E-4</c:v>
                </c:pt>
                <c:pt idx="56">
                  <c:v>-5.2197009532526043E-3</c:v>
                </c:pt>
                <c:pt idx="57">
                  <c:v>-0.11587176140213</c:v>
                </c:pt>
                <c:pt idx="58">
                  <c:v>8.7252256924373536E-3</c:v>
                </c:pt>
                <c:pt idx="59">
                  <c:v>-1.6377260977822151E-2</c:v>
                </c:pt>
                <c:pt idx="60">
                  <c:v>2.0840371600260421E-2</c:v>
                </c:pt>
                <c:pt idx="61">
                  <c:v>4.4975872102114713E-2</c:v>
                </c:pt>
                <c:pt idx="62">
                  <c:v>2.3954306081863871E-2</c:v>
                </c:pt>
                <c:pt idx="63">
                  <c:v>3.0239101391442601E-2</c:v>
                </c:pt>
                <c:pt idx="64">
                  <c:v>-4.372588759108751E-2</c:v>
                </c:pt>
                <c:pt idx="65">
                  <c:v>2.1889469568198618E-2</c:v>
                </c:pt>
                <c:pt idx="66">
                  <c:v>8.6274302635084028E-3</c:v>
                </c:pt>
                <c:pt idx="67">
                  <c:v>-1.9192953994658781E-2</c:v>
                </c:pt>
                <c:pt idx="68">
                  <c:v>1.973512988813305E-2</c:v>
                </c:pt>
                <c:pt idx="69">
                  <c:v>4.7694337483699438E-2</c:v>
                </c:pt>
                <c:pt idx="70">
                  <c:v>1.145481680658339E-2</c:v>
                </c:pt>
                <c:pt idx="71">
                  <c:v>4.3228620735213191E-2</c:v>
                </c:pt>
                <c:pt idx="72">
                  <c:v>-4.2747430436922793E-2</c:v>
                </c:pt>
                <c:pt idx="73">
                  <c:v>-1.781129242779457E-2</c:v>
                </c:pt>
                <c:pt idx="74">
                  <c:v>-0.1511530968690756</c:v>
                </c:pt>
                <c:pt idx="75">
                  <c:v>0.12422400361957529</c:v>
                </c:pt>
                <c:pt idx="76">
                  <c:v>-4.5572538445296431E-3</c:v>
                </c:pt>
                <c:pt idx="77">
                  <c:v>6.0211240204911178E-2</c:v>
                </c:pt>
                <c:pt idx="78">
                  <c:v>8.5992033482502284E-2</c:v>
                </c:pt>
                <c:pt idx="79">
                  <c:v>-5.8084795823660634E-3</c:v>
                </c:pt>
                <c:pt idx="80">
                  <c:v>-6.0413469889680736E-3</c:v>
                </c:pt>
                <c:pt idx="81">
                  <c:v>2.4523243722520739E-3</c:v>
                </c:pt>
                <c:pt idx="82">
                  <c:v>8.963625193702289E-2</c:v>
                </c:pt>
                <c:pt idx="83">
                  <c:v>7.099273252675789E-2</c:v>
                </c:pt>
                <c:pt idx="84">
                  <c:v>2.7170642901783448E-2</c:v>
                </c:pt>
                <c:pt idx="85">
                  <c:v>5.2468428425330033E-2</c:v>
                </c:pt>
                <c:pt idx="86">
                  <c:v>2.9480660943049509E-2</c:v>
                </c:pt>
                <c:pt idx="87">
                  <c:v>6.6825081060201283E-2</c:v>
                </c:pt>
                <c:pt idx="88">
                  <c:v>-2.8772229019816971E-2</c:v>
                </c:pt>
                <c:pt idx="89">
                  <c:v>3.9462515901637851E-2</c:v>
                </c:pt>
                <c:pt idx="90">
                  <c:v>-2.9031086977359909E-2</c:v>
                </c:pt>
                <c:pt idx="91">
                  <c:v>1.3983882519467901E-2</c:v>
                </c:pt>
                <c:pt idx="92">
                  <c:v>-3.2276964959333833E-2</c:v>
                </c:pt>
                <c:pt idx="93">
                  <c:v>3.1035766128940231E-3</c:v>
                </c:pt>
                <c:pt idx="94">
                  <c:v>2.5591855767083171E-2</c:v>
                </c:pt>
                <c:pt idx="95">
                  <c:v>4.4391886287193302E-2</c:v>
                </c:pt>
                <c:pt idx="96">
                  <c:v>-3.0338958549577438E-2</c:v>
                </c:pt>
                <c:pt idx="97">
                  <c:v>-1.2579764545717069E-3</c:v>
                </c:pt>
                <c:pt idx="98">
                  <c:v>2.336356455857952E-3</c:v>
                </c:pt>
                <c:pt idx="99">
                  <c:v>-6.4264144925906069E-2</c:v>
                </c:pt>
                <c:pt idx="100">
                  <c:v>1.2909779458992439E-2</c:v>
                </c:pt>
                <c:pt idx="101">
                  <c:v>-0.12547709467085871</c:v>
                </c:pt>
                <c:pt idx="102">
                  <c:v>1.1690682939792569E-2</c:v>
                </c:pt>
                <c:pt idx="103">
                  <c:v>6.3378437007417512E-3</c:v>
                </c:pt>
                <c:pt idx="104">
                  <c:v>-0.1173053564693855</c:v>
                </c:pt>
                <c:pt idx="105">
                  <c:v>-3.6010872049446613E-2</c:v>
                </c:pt>
                <c:pt idx="106">
                  <c:v>0.1389113040722679</c:v>
                </c:pt>
                <c:pt idx="107">
                  <c:v>-5.1143506226105737E-2</c:v>
                </c:pt>
                <c:pt idx="108">
                  <c:v>7.6731447181969059E-2</c:v>
                </c:pt>
                <c:pt idx="109">
                  <c:v>1.550878219700816E-2</c:v>
                </c:pt>
                <c:pt idx="110">
                  <c:v>2.3223773674755831E-2</c:v>
                </c:pt>
                <c:pt idx="111">
                  <c:v>-1.8372876361227891E-2</c:v>
                </c:pt>
                <c:pt idx="112">
                  <c:v>6.2199014085099431E-2</c:v>
                </c:pt>
                <c:pt idx="113">
                  <c:v>2.0098304486957191E-2</c:v>
                </c:pt>
                <c:pt idx="114">
                  <c:v>1.349893974806809E-2</c:v>
                </c:pt>
                <c:pt idx="115">
                  <c:v>-3.025221272842088E-2</c:v>
                </c:pt>
                <c:pt idx="116">
                  <c:v>-1.7022835708053841E-2</c:v>
                </c:pt>
                <c:pt idx="117">
                  <c:v>-2.1788523272461981E-2</c:v>
                </c:pt>
                <c:pt idx="118">
                  <c:v>8.5745624585137223E-2</c:v>
                </c:pt>
                <c:pt idx="119">
                  <c:v>2.8106743604973752E-2</c:v>
                </c:pt>
                <c:pt idx="120">
                  <c:v>-2.3031598073594501E-3</c:v>
                </c:pt>
                <c:pt idx="121">
                  <c:v>5.8471198131487503E-2</c:v>
                </c:pt>
                <c:pt idx="122">
                  <c:v>6.7658949048647651E-2</c:v>
                </c:pt>
                <c:pt idx="123">
                  <c:v>5.0207706404322644E-3</c:v>
                </c:pt>
                <c:pt idx="124">
                  <c:v>3.7416183675207063E-2</c:v>
                </c:pt>
                <c:pt idx="125">
                  <c:v>8.4111003746042121E-2</c:v>
                </c:pt>
                <c:pt idx="126">
                  <c:v>-3.6832398544012837E-2</c:v>
                </c:pt>
                <c:pt idx="127">
                  <c:v>3.0917028169369942E-3</c:v>
                </c:pt>
                <c:pt idx="128">
                  <c:v>-1.957628214294549E-3</c:v>
                </c:pt>
                <c:pt idx="129">
                  <c:v>2.6459103603519739E-2</c:v>
                </c:pt>
                <c:pt idx="130">
                  <c:v>-2.4752538760690269E-2</c:v>
                </c:pt>
                <c:pt idx="131">
                  <c:v>3.4115490982559941E-2</c:v>
                </c:pt>
                <c:pt idx="132">
                  <c:v>2.1061973989032982E-2</c:v>
                </c:pt>
                <c:pt idx="133" formatCode="General">
                  <c:v>-2.0277392706005901E-2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E93-477C-8E42-2CBD9687F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0139903"/>
        <c:axId val="2120140383"/>
      </c:lineChart>
      <c:catAx>
        <c:axId val="212013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0140383"/>
        <c:crosses val="autoZero"/>
        <c:auto val="1"/>
        <c:lblAlgn val="ctr"/>
        <c:lblOffset val="100"/>
        <c:noMultiLvlLbl val="0"/>
      </c:catAx>
      <c:valAx>
        <c:axId val="212014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013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altLang="zh-TW"/>
              <a:t>XGB</a:t>
            </a:r>
            <a:r>
              <a:rPr lang="zh-TW" altLang="en-US"/>
              <a:t>再投資累積報酬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XGB再投資累積報酬!$B$12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XGB再投資累積報酬!$C$11:$EF$11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XGB再投資累積報酬!$C$12:$EF$12</c:f>
              <c:numCache>
                <c:formatCode>General</c:formatCode>
                <c:ptCount val="134"/>
                <c:pt idx="0">
                  <c:v>4.7013508994228737E-2</c:v>
                </c:pt>
                <c:pt idx="1">
                  <c:v>0.16709405293260571</c:v>
                </c:pt>
                <c:pt idx="2">
                  <c:v>0.17497663926298324</c:v>
                </c:pt>
                <c:pt idx="3">
                  <c:v>0.19832204442637891</c:v>
                </c:pt>
                <c:pt idx="4">
                  <c:v>0.18885009147394305</c:v>
                </c:pt>
                <c:pt idx="5">
                  <c:v>0.17772318723264013</c:v>
                </c:pt>
                <c:pt idx="6">
                  <c:v>0.13496719901768217</c:v>
                </c:pt>
                <c:pt idx="7">
                  <c:v>0.10158994421074596</c:v>
                </c:pt>
                <c:pt idx="8">
                  <c:v>0.11369465939794132</c:v>
                </c:pt>
                <c:pt idx="9">
                  <c:v>0.1162307991569167</c:v>
                </c:pt>
                <c:pt idx="10">
                  <c:v>0.14624532315342642</c:v>
                </c:pt>
                <c:pt idx="11">
                  <c:v>8.6555620773158148E-2</c:v>
                </c:pt>
                <c:pt idx="12">
                  <c:v>0.10528864269970883</c:v>
                </c:pt>
                <c:pt idx="13">
                  <c:v>0.10500753673024343</c:v>
                </c:pt>
                <c:pt idx="14">
                  <c:v>0.14234881787094467</c:v>
                </c:pt>
                <c:pt idx="15">
                  <c:v>0.14996015529804496</c:v>
                </c:pt>
                <c:pt idx="16">
                  <c:v>0.13101755768248213</c:v>
                </c:pt>
                <c:pt idx="17">
                  <c:v>0.12226370791147634</c:v>
                </c:pt>
                <c:pt idx="18">
                  <c:v>0.14512110036928383</c:v>
                </c:pt>
                <c:pt idx="19">
                  <c:v>0.15601229408271067</c:v>
                </c:pt>
                <c:pt idx="20">
                  <c:v>0.12316112644957644</c:v>
                </c:pt>
                <c:pt idx="21">
                  <c:v>0.15356946771618318</c:v>
                </c:pt>
                <c:pt idx="22">
                  <c:v>0.17733114557373031</c:v>
                </c:pt>
                <c:pt idx="23">
                  <c:v>0.18341312949790844</c:v>
                </c:pt>
                <c:pt idx="24">
                  <c:v>0.16978903174811566</c:v>
                </c:pt>
                <c:pt idx="25">
                  <c:v>0.16544745519363069</c:v>
                </c:pt>
                <c:pt idx="26">
                  <c:v>0.20637186761133219</c:v>
                </c:pt>
                <c:pt idx="27">
                  <c:v>0.19504132948223352</c:v>
                </c:pt>
                <c:pt idx="28">
                  <c:v>0.12535014840238112</c:v>
                </c:pt>
                <c:pt idx="29">
                  <c:v>6.6818320823825772E-2</c:v>
                </c:pt>
                <c:pt idx="30">
                  <c:v>6.2748483158237667E-2</c:v>
                </c:pt>
                <c:pt idx="31">
                  <c:v>4.032378989475216E-2</c:v>
                </c:pt>
                <c:pt idx="32">
                  <c:v>4.9472181427849815E-2</c:v>
                </c:pt>
                <c:pt idx="33">
                  <c:v>2.7367922652913768E-2</c:v>
                </c:pt>
                <c:pt idx="34">
                  <c:v>1.0441657825541739E-2</c:v>
                </c:pt>
                <c:pt idx="35">
                  <c:v>-3.7857948486508364E-2</c:v>
                </c:pt>
                <c:pt idx="36">
                  <c:v>-2.1783679837051872E-2</c:v>
                </c:pt>
                <c:pt idx="37">
                  <c:v>-7.7672396500172214E-2</c:v>
                </c:pt>
                <c:pt idx="38">
                  <c:v>-7.9728073843150948E-2</c:v>
                </c:pt>
                <c:pt idx="39">
                  <c:v>-4.8698027743937833E-2</c:v>
                </c:pt>
                <c:pt idx="40">
                  <c:v>-4.1447264625067759E-2</c:v>
                </c:pt>
                <c:pt idx="41">
                  <c:v>-3.42538745531622E-2</c:v>
                </c:pt>
                <c:pt idx="42">
                  <c:v>-5.3545882717221827E-2</c:v>
                </c:pt>
                <c:pt idx="43">
                  <c:v>-4.045178019443163E-2</c:v>
                </c:pt>
                <c:pt idx="44">
                  <c:v>-2.0580823622636579E-2</c:v>
                </c:pt>
                <c:pt idx="45">
                  <c:v>-6.1089683758506985E-2</c:v>
                </c:pt>
                <c:pt idx="46">
                  <c:v>-6.0506172574984585E-2</c:v>
                </c:pt>
                <c:pt idx="47">
                  <c:v>-0.10249779993403674</c:v>
                </c:pt>
                <c:pt idx="48">
                  <c:v>-8.6799300263015966E-2</c:v>
                </c:pt>
                <c:pt idx="49">
                  <c:v>-8.8899685681067098E-2</c:v>
                </c:pt>
                <c:pt idx="50">
                  <c:v>-8.4400774205243723E-2</c:v>
                </c:pt>
                <c:pt idx="51">
                  <c:v>-7.9103671100816397E-2</c:v>
                </c:pt>
                <c:pt idx="52">
                  <c:v>-5.4524058227430894E-2</c:v>
                </c:pt>
                <c:pt idx="53">
                  <c:v>-4.1636694566137278E-2</c:v>
                </c:pt>
                <c:pt idx="54">
                  <c:v>-8.5336666861000832E-2</c:v>
                </c:pt>
                <c:pt idx="55">
                  <c:v>-0.1069236910192034</c:v>
                </c:pt>
                <c:pt idx="56">
                  <c:v>-9.7989303241704961E-2</c:v>
                </c:pt>
                <c:pt idx="57">
                  <c:v>-0.12046934487843319</c:v>
                </c:pt>
                <c:pt idx="58">
                  <c:v>-7.6474119430084309E-2</c:v>
                </c:pt>
                <c:pt idx="59">
                  <c:v>-7.7209239861789181E-2</c:v>
                </c:pt>
                <c:pt idx="60">
                  <c:v>-9.5734866034164368E-2</c:v>
                </c:pt>
                <c:pt idx="61">
                  <c:v>-8.5733360239964806E-2</c:v>
                </c:pt>
                <c:pt idx="62">
                  <c:v>-0.11331852967322531</c:v>
                </c:pt>
                <c:pt idx="63">
                  <c:v>-0.1306110689284784</c:v>
                </c:pt>
                <c:pt idx="64">
                  <c:v>-0.11590642537775953</c:v>
                </c:pt>
                <c:pt idx="65">
                  <c:v>-0.12519735176196956</c:v>
                </c:pt>
                <c:pt idx="66">
                  <c:v>-0.11304043839358902</c:v>
                </c:pt>
                <c:pt idx="67">
                  <c:v>-5.2111979617545989E-2</c:v>
                </c:pt>
                <c:pt idx="68">
                  <c:v>-3.4231689793517428E-2</c:v>
                </c:pt>
                <c:pt idx="69">
                  <c:v>-5.4791059484872617E-2</c:v>
                </c:pt>
                <c:pt idx="70">
                  <c:v>-4.6490690972766591E-2</c:v>
                </c:pt>
                <c:pt idx="71">
                  <c:v>-2.4500424742140425E-2</c:v>
                </c:pt>
                <c:pt idx="72">
                  <c:v>-5.3261828605042472E-2</c:v>
                </c:pt>
                <c:pt idx="73">
                  <c:v>-4.2395961236619151E-2</c:v>
                </c:pt>
                <c:pt idx="74">
                  <c:v>-8.6269534693104943E-2</c:v>
                </c:pt>
                <c:pt idx="75">
                  <c:v>-4.4825511601718437E-2</c:v>
                </c:pt>
                <c:pt idx="76">
                  <c:v>-3.0898535000085214E-2</c:v>
                </c:pt>
                <c:pt idx="77">
                  <c:v>3.9337942678616011E-2</c:v>
                </c:pt>
                <c:pt idx="78">
                  <c:v>0.10748381095548498</c:v>
                </c:pt>
                <c:pt idx="79">
                  <c:v>0.15649937053740826</c:v>
                </c:pt>
                <c:pt idx="80">
                  <c:v>0.3346083840027414</c:v>
                </c:pt>
                <c:pt idx="81">
                  <c:v>0.34531364421942001</c:v>
                </c:pt>
                <c:pt idx="82">
                  <c:v>0.34572887325417545</c:v>
                </c:pt>
                <c:pt idx="83">
                  <c:v>0.43090997486431748</c:v>
                </c:pt>
                <c:pt idx="84">
                  <c:v>0.39607948249912295</c:v>
                </c:pt>
                <c:pt idx="85">
                  <c:v>0.37451678292932944</c:v>
                </c:pt>
                <c:pt idx="86">
                  <c:v>0.39211491944441357</c:v>
                </c:pt>
                <c:pt idx="87">
                  <c:v>0.55640620760857673</c:v>
                </c:pt>
                <c:pt idx="88">
                  <c:v>0.59742366028811489</c:v>
                </c:pt>
                <c:pt idx="89">
                  <c:v>0.47208148689191898</c:v>
                </c:pt>
                <c:pt idx="90">
                  <c:v>0.50861823327475042</c:v>
                </c:pt>
                <c:pt idx="91">
                  <c:v>0.44027930353938505</c:v>
                </c:pt>
                <c:pt idx="92">
                  <c:v>0.38760512812559922</c:v>
                </c:pt>
                <c:pt idx="93">
                  <c:v>0.38466634915447928</c:v>
                </c:pt>
                <c:pt idx="94">
                  <c:v>0.36457532445433594</c:v>
                </c:pt>
                <c:pt idx="95">
                  <c:v>0.36569978367850786</c:v>
                </c:pt>
                <c:pt idx="96">
                  <c:v>0.31704848290482324</c:v>
                </c:pt>
                <c:pt idx="97">
                  <c:v>0.30636376064454862</c:v>
                </c:pt>
                <c:pt idx="98">
                  <c:v>0.2991161528115085</c:v>
                </c:pt>
                <c:pt idx="99">
                  <c:v>0.35958670797502257</c:v>
                </c:pt>
                <c:pt idx="100">
                  <c:v>0.36772103668034783</c:v>
                </c:pt>
                <c:pt idx="101">
                  <c:v>0.26132283408578916</c:v>
                </c:pt>
                <c:pt idx="102">
                  <c:v>0.25425465328055719</c:v>
                </c:pt>
                <c:pt idx="103">
                  <c:v>0.28307977813713769</c:v>
                </c:pt>
                <c:pt idx="104">
                  <c:v>0.27730416928088908</c:v>
                </c:pt>
                <c:pt idx="105">
                  <c:v>0.24551337383923522</c:v>
                </c:pt>
                <c:pt idx="106">
                  <c:v>0.21470230688295477</c:v>
                </c:pt>
                <c:pt idx="107">
                  <c:v>0.14730365769436649</c:v>
                </c:pt>
                <c:pt idx="108">
                  <c:v>0.14839096762687443</c:v>
                </c:pt>
                <c:pt idx="109">
                  <c:v>0.15278090107497788</c:v>
                </c:pt>
                <c:pt idx="110">
                  <c:v>0.11822138899262713</c:v>
                </c:pt>
                <c:pt idx="111">
                  <c:v>0.1013158853027889</c:v>
                </c:pt>
                <c:pt idx="112">
                  <c:v>0.11887741678786568</c:v>
                </c:pt>
                <c:pt idx="113">
                  <c:v>0.13976667168025125</c:v>
                </c:pt>
                <c:pt idx="114">
                  <c:v>0.14528354042908598</c:v>
                </c:pt>
                <c:pt idx="115">
                  <c:v>0.17038441238456947</c:v>
                </c:pt>
                <c:pt idx="116">
                  <c:v>0.20614778111029208</c:v>
                </c:pt>
                <c:pt idx="117">
                  <c:v>0.15072101113795355</c:v>
                </c:pt>
                <c:pt idx="118">
                  <c:v>0.18968686450988859</c:v>
                </c:pt>
                <c:pt idx="119">
                  <c:v>0.16938488261495177</c:v>
                </c:pt>
                <c:pt idx="120">
                  <c:v>8.7936579958859395E-2</c:v>
                </c:pt>
                <c:pt idx="121">
                  <c:v>0.13721780429833852</c:v>
                </c:pt>
                <c:pt idx="122">
                  <c:v>0.12157804803825489</c:v>
                </c:pt>
                <c:pt idx="123">
                  <c:v>6.7124509090098039E-2</c:v>
                </c:pt>
                <c:pt idx="124">
                  <c:v>0.11378513034309301</c:v>
                </c:pt>
                <c:pt idx="125">
                  <c:v>9.3626580927339553E-2</c:v>
                </c:pt>
                <c:pt idx="126">
                  <c:v>2.5025329870185464E-2</c:v>
                </c:pt>
                <c:pt idx="127">
                  <c:v>4.484959911021269E-3</c:v>
                </c:pt>
                <c:pt idx="128">
                  <c:v>-4.6841843459988985E-2</c:v>
                </c:pt>
                <c:pt idx="129">
                  <c:v>-5.2356788493116202E-2</c:v>
                </c:pt>
                <c:pt idx="130">
                  <c:v>-3.8252144517053055E-2</c:v>
                </c:pt>
                <c:pt idx="131">
                  <c:v>1.9941441685741079E-2</c:v>
                </c:pt>
                <c:pt idx="132">
                  <c:v>4.697691949119065E-2</c:v>
                </c:pt>
                <c:pt idx="133">
                  <c:v>5.9005096202067175E-3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AE-45AA-A4AE-569892EA2697}"/>
            </c:ext>
          </c:extLst>
        </c:ser>
        <c:ser>
          <c:idx val="1"/>
          <c:order val="1"/>
          <c:tx>
            <c:strRef>
              <c:f>XGB再投資累積報酬!$B$13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XGB再投資累積報酬!$C$11:$EF$11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XGB再投資累積報酬!$C$13:$EF$13</c:f>
              <c:numCache>
                <c:formatCode>General</c:formatCode>
                <c:ptCount val="134"/>
                <c:pt idx="0">
                  <c:v>4.2506117601795568E-2</c:v>
                </c:pt>
                <c:pt idx="1">
                  <c:v>0.17151106714107112</c:v>
                </c:pt>
                <c:pt idx="2">
                  <c:v>0.21192423865414556</c:v>
                </c:pt>
                <c:pt idx="3">
                  <c:v>0.25424724583439295</c:v>
                </c:pt>
                <c:pt idx="4">
                  <c:v>0.2729455383859456</c:v>
                </c:pt>
                <c:pt idx="5">
                  <c:v>0.25266702642362548</c:v>
                </c:pt>
                <c:pt idx="6">
                  <c:v>0.21172628163354257</c:v>
                </c:pt>
                <c:pt idx="7">
                  <c:v>0.15853243444044351</c:v>
                </c:pt>
                <c:pt idx="8">
                  <c:v>0.21104985692135747</c:v>
                </c:pt>
                <c:pt idx="9">
                  <c:v>0.24633460474046398</c:v>
                </c:pt>
                <c:pt idx="10">
                  <c:v>0.2504222809127159</c:v>
                </c:pt>
                <c:pt idx="11">
                  <c:v>0.19646411838723687</c:v>
                </c:pt>
                <c:pt idx="12">
                  <c:v>0.24407057811454846</c:v>
                </c:pt>
                <c:pt idx="13">
                  <c:v>0.23626074136006103</c:v>
                </c:pt>
                <c:pt idx="14">
                  <c:v>0.29092604547618639</c:v>
                </c:pt>
                <c:pt idx="15">
                  <c:v>0.3092054866157079</c:v>
                </c:pt>
                <c:pt idx="16">
                  <c:v>0.29317600509268016</c:v>
                </c:pt>
                <c:pt idx="17">
                  <c:v>0.26459161627052796</c:v>
                </c:pt>
                <c:pt idx="18">
                  <c:v>0.33308325769645331</c:v>
                </c:pt>
                <c:pt idx="19">
                  <c:v>0.33603822323955623</c:v>
                </c:pt>
                <c:pt idx="20">
                  <c:v>0.29466258366821596</c:v>
                </c:pt>
                <c:pt idx="21">
                  <c:v>0.36363818584392571</c:v>
                </c:pt>
                <c:pt idx="22">
                  <c:v>0.35452450267471503</c:v>
                </c:pt>
                <c:pt idx="23">
                  <c:v>0.38240571153550351</c:v>
                </c:pt>
                <c:pt idx="24">
                  <c:v>0.35967810530619349</c:v>
                </c:pt>
                <c:pt idx="25">
                  <c:v>0.33787417302936906</c:v>
                </c:pt>
                <c:pt idx="26">
                  <c:v>0.36713556314163753</c:v>
                </c:pt>
                <c:pt idx="27">
                  <c:v>0.33768241867489635</c:v>
                </c:pt>
                <c:pt idx="28">
                  <c:v>0.24977075677038285</c:v>
                </c:pt>
                <c:pt idx="29">
                  <c:v>0.15818610494497221</c:v>
                </c:pt>
                <c:pt idx="30">
                  <c:v>0.16965817890106294</c:v>
                </c:pt>
                <c:pt idx="31">
                  <c:v>0.13237472215660362</c:v>
                </c:pt>
                <c:pt idx="32">
                  <c:v>0.15348903374543688</c:v>
                </c:pt>
                <c:pt idx="33">
                  <c:v>0.13055037705396511</c:v>
                </c:pt>
                <c:pt idx="34">
                  <c:v>8.7183153906103872E-2</c:v>
                </c:pt>
                <c:pt idx="35">
                  <c:v>3.3629724177267395E-2</c:v>
                </c:pt>
                <c:pt idx="36">
                  <c:v>1.8710203055816166E-2</c:v>
                </c:pt>
                <c:pt idx="37">
                  <c:v>-5.38680295406615E-2</c:v>
                </c:pt>
                <c:pt idx="38">
                  <c:v>-6.2677642095252173E-2</c:v>
                </c:pt>
                <c:pt idx="39">
                  <c:v>-6.8593079919352373E-3</c:v>
                </c:pt>
                <c:pt idx="40">
                  <c:v>-8.5151315783360548E-4</c:v>
                </c:pt>
                <c:pt idx="41">
                  <c:v>-1.0094368520680685E-2</c:v>
                </c:pt>
                <c:pt idx="42">
                  <c:v>-3.3263073735076087E-2</c:v>
                </c:pt>
                <c:pt idx="43">
                  <c:v>5.8540874445125457E-3</c:v>
                </c:pt>
                <c:pt idx="44">
                  <c:v>4.7070091748019349E-2</c:v>
                </c:pt>
                <c:pt idx="45">
                  <c:v>3.714860774196671E-2</c:v>
                </c:pt>
                <c:pt idx="46">
                  <c:v>4.1380188149209296E-2</c:v>
                </c:pt>
                <c:pt idx="47">
                  <c:v>7.2230927883092377E-3</c:v>
                </c:pt>
                <c:pt idx="48">
                  <c:v>2.1588313917634938E-2</c:v>
                </c:pt>
                <c:pt idx="49">
                  <c:v>1.3309906248582637E-2</c:v>
                </c:pt>
                <c:pt idx="50">
                  <c:v>1.9937903121971523E-2</c:v>
                </c:pt>
                <c:pt idx="51">
                  <c:v>4.6503558168783821E-2</c:v>
                </c:pt>
                <c:pt idx="52">
                  <c:v>6.6503148771597465E-2</c:v>
                </c:pt>
                <c:pt idx="53">
                  <c:v>7.0069992173634743E-2</c:v>
                </c:pt>
                <c:pt idx="54">
                  <c:v>2.0795134607462185E-2</c:v>
                </c:pt>
                <c:pt idx="55">
                  <c:v>-6.0547344620740517E-3</c:v>
                </c:pt>
                <c:pt idx="56">
                  <c:v>2.225888763683681E-3</c:v>
                </c:pt>
                <c:pt idx="57">
                  <c:v>-3.1793921958557347E-2</c:v>
                </c:pt>
                <c:pt idx="58">
                  <c:v>1.894891863089998E-2</c:v>
                </c:pt>
                <c:pt idx="59">
                  <c:v>1.7825985790378418E-3</c:v>
                </c:pt>
                <c:pt idx="60">
                  <c:v>-2.3387963952048563E-2</c:v>
                </c:pt>
                <c:pt idx="61">
                  <c:v>-1.008731044496447E-2</c:v>
                </c:pt>
                <c:pt idx="62">
                  <c:v>-3.7016763973962918E-2</c:v>
                </c:pt>
                <c:pt idx="63">
                  <c:v>-3.2338973661442116E-2</c:v>
                </c:pt>
                <c:pt idx="64">
                  <c:v>-2.904242880392871E-2</c:v>
                </c:pt>
                <c:pt idx="65">
                  <c:v>-1.9883681502418149E-2</c:v>
                </c:pt>
                <c:pt idx="66">
                  <c:v>2.0941166033018765E-2</c:v>
                </c:pt>
                <c:pt idx="67">
                  <c:v>0.10244438664834687</c:v>
                </c:pt>
                <c:pt idx="68">
                  <c:v>0.11062394173049239</c:v>
                </c:pt>
                <c:pt idx="69">
                  <c:v>7.3231710572677411E-2</c:v>
                </c:pt>
                <c:pt idx="70">
                  <c:v>9.2234946922907346E-2</c:v>
                </c:pt>
                <c:pt idx="71">
                  <c:v>0.1147935272107603</c:v>
                </c:pt>
                <c:pt idx="72">
                  <c:v>0.11675917330903651</c:v>
                </c:pt>
                <c:pt idx="73">
                  <c:v>0.14029829857212039</c:v>
                </c:pt>
                <c:pt idx="74">
                  <c:v>0.10514545667804542</c:v>
                </c:pt>
                <c:pt idx="75">
                  <c:v>0.18928915745674879</c:v>
                </c:pt>
                <c:pt idx="76">
                  <c:v>0.21784717003926857</c:v>
                </c:pt>
                <c:pt idx="77">
                  <c:v>0.36450881675952673</c:v>
                </c:pt>
                <c:pt idx="78">
                  <c:v>0.52841112387839861</c:v>
                </c:pt>
                <c:pt idx="79">
                  <c:v>0.61286508233591253</c:v>
                </c:pt>
                <c:pt idx="80">
                  <c:v>0.90935458091652066</c:v>
                </c:pt>
                <c:pt idx="81">
                  <c:v>0.88635895013028398</c:v>
                </c:pt>
                <c:pt idx="82">
                  <c:v>0.90062033061335223</c:v>
                </c:pt>
                <c:pt idx="83">
                  <c:v>1.0114922798305805</c:v>
                </c:pt>
                <c:pt idx="84">
                  <c:v>0.99561047326761476</c:v>
                </c:pt>
                <c:pt idx="85">
                  <c:v>1.0018090149553309</c:v>
                </c:pt>
                <c:pt idx="86">
                  <c:v>1.0659575237995549</c:v>
                </c:pt>
                <c:pt idx="87">
                  <c:v>1.2342367183371548</c:v>
                </c:pt>
                <c:pt idx="88">
                  <c:v>1.2655400164176034</c:v>
                </c:pt>
                <c:pt idx="89">
                  <c:v>1.0367336904513711</c:v>
                </c:pt>
                <c:pt idx="90">
                  <c:v>1.1087003394704467</c:v>
                </c:pt>
                <c:pt idx="91">
                  <c:v>0.96166796031668866</c:v>
                </c:pt>
                <c:pt idx="92">
                  <c:v>0.88676176695059361</c:v>
                </c:pt>
                <c:pt idx="93">
                  <c:v>0.87113979272550646</c:v>
                </c:pt>
                <c:pt idx="94">
                  <c:v>0.87852639896875107</c:v>
                </c:pt>
                <c:pt idx="95">
                  <c:v>0.86336518939215479</c:v>
                </c:pt>
                <c:pt idx="96">
                  <c:v>0.79411992599029779</c:v>
                </c:pt>
                <c:pt idx="97">
                  <c:v>0.79941852220800946</c:v>
                </c:pt>
                <c:pt idx="98">
                  <c:v>0.78866334217747136</c:v>
                </c:pt>
                <c:pt idx="99">
                  <c:v>0.79758393490635227</c:v>
                </c:pt>
                <c:pt idx="100">
                  <c:v>0.82116597138331038</c:v>
                </c:pt>
                <c:pt idx="101">
                  <c:v>0.71695116853660301</c:v>
                </c:pt>
                <c:pt idx="102">
                  <c:v>0.72653806915912278</c:v>
                </c:pt>
                <c:pt idx="103">
                  <c:v>0.79864100910299407</c:v>
                </c:pt>
                <c:pt idx="104">
                  <c:v>0.77319047835407639</c:v>
                </c:pt>
                <c:pt idx="105">
                  <c:v>0.75422159482761697</c:v>
                </c:pt>
                <c:pt idx="106">
                  <c:v>0.71485336006040678</c:v>
                </c:pt>
                <c:pt idx="107">
                  <c:v>0.57231099827122511</c:v>
                </c:pt>
                <c:pt idx="108">
                  <c:v>0.57487489847856987</c:v>
                </c:pt>
                <c:pt idx="109">
                  <c:v>0.55708547718230128</c:v>
                </c:pt>
                <c:pt idx="110">
                  <c:v>0.51104180621534678</c:v>
                </c:pt>
                <c:pt idx="111">
                  <c:v>0.50200035967809464</c:v>
                </c:pt>
                <c:pt idx="112">
                  <c:v>0.48336192573844361</c:v>
                </c:pt>
                <c:pt idx="113">
                  <c:v>0.51607108072655516</c:v>
                </c:pt>
                <c:pt idx="114">
                  <c:v>0.52616639952124622</c:v>
                </c:pt>
                <c:pt idx="115">
                  <c:v>0.55201238599454783</c:v>
                </c:pt>
                <c:pt idx="116">
                  <c:v>0.61077695278281841</c:v>
                </c:pt>
                <c:pt idx="117">
                  <c:v>0.53829657955549326</c:v>
                </c:pt>
                <c:pt idx="118">
                  <c:v>0.59054707225728809</c:v>
                </c:pt>
                <c:pt idx="119">
                  <c:v>0.56642077923224177</c:v>
                </c:pt>
                <c:pt idx="120">
                  <c:v>0.45896924386640148</c:v>
                </c:pt>
                <c:pt idx="121">
                  <c:v>0.51065512751889641</c:v>
                </c:pt>
                <c:pt idx="122">
                  <c:v>0.48239807615936359</c:v>
                </c:pt>
                <c:pt idx="123">
                  <c:v>0.36436932783437492</c:v>
                </c:pt>
                <c:pt idx="124">
                  <c:v>0.42497159760803838</c:v>
                </c:pt>
                <c:pt idx="125">
                  <c:v>0.39187006377723721</c:v>
                </c:pt>
                <c:pt idx="126">
                  <c:v>0.3786408610452856</c:v>
                </c:pt>
                <c:pt idx="127">
                  <c:v>0.3368883758748995</c:v>
                </c:pt>
                <c:pt idx="128">
                  <c:v>0.25384263843353971</c:v>
                </c:pt>
                <c:pt idx="129">
                  <c:v>0.25359035749713343</c:v>
                </c:pt>
                <c:pt idx="130">
                  <c:v>0.28115035664164889</c:v>
                </c:pt>
                <c:pt idx="131">
                  <c:v>0.36529899435814817</c:v>
                </c:pt>
                <c:pt idx="132">
                  <c:v>0.42159625736074391</c:v>
                </c:pt>
                <c:pt idx="133">
                  <c:v>0.32695033717441224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AE-45AA-A4AE-569892EA2697}"/>
            </c:ext>
          </c:extLst>
        </c:ser>
        <c:ser>
          <c:idx val="2"/>
          <c:order val="2"/>
          <c:tx>
            <c:strRef>
              <c:f>XGB再投資累積報酬!$B$14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XGB再投資累積報酬!$C$11:$EF$11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XGB再投資累積報酬!$C$14:$EF$14</c:f>
              <c:numCache>
                <c:formatCode>General</c:formatCode>
                <c:ptCount val="134"/>
                <c:pt idx="0">
                  <c:v>-3.7017512404591946E-2</c:v>
                </c:pt>
                <c:pt idx="1">
                  <c:v>0.17706163038453582</c:v>
                </c:pt>
                <c:pt idx="2">
                  <c:v>0.23300259465225537</c:v>
                </c:pt>
                <c:pt idx="3">
                  <c:v>0.29274667844613367</c:v>
                </c:pt>
                <c:pt idx="4">
                  <c:v>0.34577503924896447</c:v>
                </c:pt>
                <c:pt idx="5">
                  <c:v>0.3354471252010367</c:v>
                </c:pt>
                <c:pt idx="6">
                  <c:v>0.27697142140507802</c:v>
                </c:pt>
                <c:pt idx="7">
                  <c:v>0.14276889293346806</c:v>
                </c:pt>
                <c:pt idx="8">
                  <c:v>0.29610414163202492</c:v>
                </c:pt>
                <c:pt idx="9">
                  <c:v>0.28982166928173103</c:v>
                </c:pt>
                <c:pt idx="10">
                  <c:v>0.26528704977790496</c:v>
                </c:pt>
                <c:pt idx="11">
                  <c:v>0.16057317819169348</c:v>
                </c:pt>
                <c:pt idx="12">
                  <c:v>0.20658097765880745</c:v>
                </c:pt>
                <c:pt idx="13">
                  <c:v>0.21447373175377038</c:v>
                </c:pt>
                <c:pt idx="14">
                  <c:v>0.36519462330044883</c:v>
                </c:pt>
                <c:pt idx="15">
                  <c:v>0.3458746670741033</c:v>
                </c:pt>
                <c:pt idx="16">
                  <c:v>0.3977367354446828</c:v>
                </c:pt>
                <c:pt idx="17">
                  <c:v>0.3734710036439568</c:v>
                </c:pt>
                <c:pt idx="18">
                  <c:v>0.51667824416768759</c:v>
                </c:pt>
                <c:pt idx="19">
                  <c:v>0.43717199868572232</c:v>
                </c:pt>
                <c:pt idx="20">
                  <c:v>0.36848235907999971</c:v>
                </c:pt>
                <c:pt idx="21">
                  <c:v>0.44180798195102611</c:v>
                </c:pt>
                <c:pt idx="22">
                  <c:v>0.36223317000109434</c:v>
                </c:pt>
                <c:pt idx="23">
                  <c:v>0.39118362327974898</c:v>
                </c:pt>
                <c:pt idx="24">
                  <c:v>0.3875284277523483</c:v>
                </c:pt>
                <c:pt idx="25">
                  <c:v>0.28348750468535688</c:v>
                </c:pt>
                <c:pt idx="26">
                  <c:v>0.26613825907859989</c:v>
                </c:pt>
                <c:pt idx="27">
                  <c:v>0.21634371012788467</c:v>
                </c:pt>
                <c:pt idx="28">
                  <c:v>0.2114553380922839</c:v>
                </c:pt>
                <c:pt idx="29">
                  <c:v>9.5058593566928806E-2</c:v>
                </c:pt>
                <c:pt idx="30">
                  <c:v>0.12279565573766504</c:v>
                </c:pt>
                <c:pt idx="31">
                  <c:v>5.1598756844763338E-2</c:v>
                </c:pt>
                <c:pt idx="32">
                  <c:v>1.4306284606554476E-2</c:v>
                </c:pt>
                <c:pt idx="33">
                  <c:v>-8.3366315445207118E-2</c:v>
                </c:pt>
                <c:pt idx="34">
                  <c:v>-0.15438282091549094</c:v>
                </c:pt>
                <c:pt idx="35">
                  <c:v>-0.19770394372098388</c:v>
                </c:pt>
                <c:pt idx="36">
                  <c:v>-0.23177252787393909</c:v>
                </c:pt>
                <c:pt idx="37">
                  <c:v>-0.31652621117881519</c:v>
                </c:pt>
                <c:pt idx="38">
                  <c:v>-0.35815366445408603</c:v>
                </c:pt>
                <c:pt idx="39">
                  <c:v>-0.31323948821098424</c:v>
                </c:pt>
                <c:pt idx="40">
                  <c:v>-0.31298678249907841</c:v>
                </c:pt>
                <c:pt idx="41">
                  <c:v>-0.32547037808592261</c:v>
                </c:pt>
                <c:pt idx="42">
                  <c:v>-0.32097171178350836</c:v>
                </c:pt>
                <c:pt idx="43">
                  <c:v>-0.29754076804769869</c:v>
                </c:pt>
                <c:pt idx="44">
                  <c:v>-0.26944826500433183</c:v>
                </c:pt>
                <c:pt idx="45">
                  <c:v>-0.28309707937258621</c:v>
                </c:pt>
                <c:pt idx="46">
                  <c:v>-0.29626151860048833</c:v>
                </c:pt>
                <c:pt idx="47">
                  <c:v>-0.3098930831457406</c:v>
                </c:pt>
                <c:pt idx="48">
                  <c:v>-0.30872640783586425</c:v>
                </c:pt>
                <c:pt idx="49">
                  <c:v>-0.34560486488431741</c:v>
                </c:pt>
                <c:pt idx="50">
                  <c:v>-0.33407334576743175</c:v>
                </c:pt>
                <c:pt idx="51">
                  <c:v>-0.26621652496726511</c:v>
                </c:pt>
                <c:pt idx="52">
                  <c:v>-0.28713352446356932</c:v>
                </c:pt>
                <c:pt idx="53">
                  <c:v>-0.25624660145351408</c:v>
                </c:pt>
                <c:pt idx="54">
                  <c:v>-0.27418371592317037</c:v>
                </c:pt>
                <c:pt idx="55">
                  <c:v>-0.27798908933794653</c:v>
                </c:pt>
                <c:pt idx="56">
                  <c:v>-0.27041042390837944</c:v>
                </c:pt>
                <c:pt idx="57">
                  <c:v>-0.33880950812739208</c:v>
                </c:pt>
                <c:pt idx="58">
                  <c:v>-0.30562752253135694</c:v>
                </c:pt>
                <c:pt idx="59">
                  <c:v>-0.31952693172399516</c:v>
                </c:pt>
                <c:pt idx="60">
                  <c:v>-0.29690978842773874</c:v>
                </c:pt>
                <c:pt idx="61">
                  <c:v>-0.28947683506549293</c:v>
                </c:pt>
                <c:pt idx="62">
                  <c:v>-0.3046643008704415</c:v>
                </c:pt>
                <c:pt idx="63">
                  <c:v>-0.27227789741501807</c:v>
                </c:pt>
                <c:pt idx="64">
                  <c:v>-0.26143223358856416</c:v>
                </c:pt>
                <c:pt idx="65">
                  <c:v>-0.24985611925134121</c:v>
                </c:pt>
                <c:pt idx="66">
                  <c:v>-0.23797119677080236</c:v>
                </c:pt>
                <c:pt idx="67">
                  <c:v>-0.16172836855448436</c:v>
                </c:pt>
                <c:pt idx="68">
                  <c:v>-0.19651157402865671</c:v>
                </c:pt>
                <c:pt idx="69">
                  <c:v>-0.18422790090121233</c:v>
                </c:pt>
                <c:pt idx="70">
                  <c:v>-0.19145142852840735</c:v>
                </c:pt>
                <c:pt idx="71">
                  <c:v>-0.1706497522610354</c:v>
                </c:pt>
                <c:pt idx="72">
                  <c:v>-0.16027628227489421</c:v>
                </c:pt>
                <c:pt idx="73">
                  <c:v>-0.11411603121911273</c:v>
                </c:pt>
                <c:pt idx="74">
                  <c:v>-0.18534089730115999</c:v>
                </c:pt>
                <c:pt idx="75">
                  <c:v>-0.1364336064336531</c:v>
                </c:pt>
                <c:pt idx="76">
                  <c:v>-0.1075428560877375</c:v>
                </c:pt>
                <c:pt idx="77">
                  <c:v>3.9235555494109731E-2</c:v>
                </c:pt>
                <c:pt idx="78">
                  <c:v>0.16456337135599464</c:v>
                </c:pt>
                <c:pt idx="79">
                  <c:v>0.22037139197073974</c:v>
                </c:pt>
                <c:pt idx="80">
                  <c:v>0.42851220387668265</c:v>
                </c:pt>
                <c:pt idx="81">
                  <c:v>0.36726130031346749</c:v>
                </c:pt>
                <c:pt idx="82">
                  <c:v>0.55721036869761464</c:v>
                </c:pt>
                <c:pt idx="83">
                  <c:v>0.65790175920767813</c:v>
                </c:pt>
                <c:pt idx="84">
                  <c:v>0.65155306293535098</c:v>
                </c:pt>
                <c:pt idx="85">
                  <c:v>0.69889954657618891</c:v>
                </c:pt>
                <c:pt idx="86">
                  <c:v>0.72271194168410435</c:v>
                </c:pt>
                <c:pt idx="87">
                  <c:v>0.82998513656200656</c:v>
                </c:pt>
                <c:pt idx="88">
                  <c:v>0.82065750673626092</c:v>
                </c:pt>
                <c:pt idx="89">
                  <c:v>0.50277858097722916</c:v>
                </c:pt>
                <c:pt idx="90">
                  <c:v>0.62114307053638518</c:v>
                </c:pt>
                <c:pt idx="91">
                  <c:v>0.45933786442987246</c:v>
                </c:pt>
                <c:pt idx="92">
                  <c:v>0.3816841207277315</c:v>
                </c:pt>
                <c:pt idx="93">
                  <c:v>0.30443535306837655</c:v>
                </c:pt>
                <c:pt idx="94">
                  <c:v>0.29945747991177307</c:v>
                </c:pt>
                <c:pt idx="95">
                  <c:v>0.27463709284235827</c:v>
                </c:pt>
                <c:pt idx="96">
                  <c:v>0.33061546095039529</c:v>
                </c:pt>
                <c:pt idx="97">
                  <c:v>0.30034966071705926</c:v>
                </c:pt>
                <c:pt idx="98">
                  <c:v>0.30476874620042027</c:v>
                </c:pt>
                <c:pt idx="99">
                  <c:v>0.33640189434017165</c:v>
                </c:pt>
                <c:pt idx="100">
                  <c:v>0.37483563717725477</c:v>
                </c:pt>
                <c:pt idx="101">
                  <c:v>0.28675876723858518</c:v>
                </c:pt>
                <c:pt idx="102">
                  <c:v>0.31803252441033658</c:v>
                </c:pt>
                <c:pt idx="103">
                  <c:v>0.34908678518238445</c:v>
                </c:pt>
                <c:pt idx="104">
                  <c:v>0.29107802041478648</c:v>
                </c:pt>
                <c:pt idx="105">
                  <c:v>0.31271461570580228</c:v>
                </c:pt>
                <c:pt idx="106">
                  <c:v>0.2306346086873976</c:v>
                </c:pt>
                <c:pt idx="107">
                  <c:v>-1.7415597386132631E-2</c:v>
                </c:pt>
                <c:pt idx="108">
                  <c:v>-2.8662805161846272E-2</c:v>
                </c:pt>
                <c:pt idx="109">
                  <c:v>-3.3300782175184729E-2</c:v>
                </c:pt>
                <c:pt idx="110">
                  <c:v>-7.2605935824825663E-2</c:v>
                </c:pt>
                <c:pt idx="111">
                  <c:v>-8.7349268106668321E-2</c:v>
                </c:pt>
                <c:pt idx="112">
                  <c:v>-0.10475448781898089</c:v>
                </c:pt>
                <c:pt idx="113">
                  <c:v>-6.826887171196061E-2</c:v>
                </c:pt>
                <c:pt idx="114">
                  <c:v>-7.3397370564988629E-2</c:v>
                </c:pt>
                <c:pt idx="115">
                  <c:v>-4.5322392006432399E-2</c:v>
                </c:pt>
                <c:pt idx="116">
                  <c:v>5.2620073933682843E-2</c:v>
                </c:pt>
                <c:pt idx="117">
                  <c:v>4.881184369221625E-2</c:v>
                </c:pt>
                <c:pt idx="118">
                  <c:v>0.10756553430971416</c:v>
                </c:pt>
                <c:pt idx="119">
                  <c:v>9.8932701354099262E-2</c:v>
                </c:pt>
                <c:pt idx="120">
                  <c:v>3.7335523464189224E-2</c:v>
                </c:pt>
                <c:pt idx="121">
                  <c:v>8.3514540827236416E-2</c:v>
                </c:pt>
                <c:pt idx="122">
                  <c:v>0.13218054075641161</c:v>
                </c:pt>
                <c:pt idx="123">
                  <c:v>9.6080096609523213E-3</c:v>
                </c:pt>
                <c:pt idx="124">
                  <c:v>0.10889727030713714</c:v>
                </c:pt>
                <c:pt idx="125">
                  <c:v>7.8192240488560438E-2</c:v>
                </c:pt>
                <c:pt idx="126">
                  <c:v>2.680453455988685E-2</c:v>
                </c:pt>
                <c:pt idx="127">
                  <c:v>4.5253515226881813E-3</c:v>
                </c:pt>
                <c:pt idx="128">
                  <c:v>-0.10348672228395128</c:v>
                </c:pt>
                <c:pt idx="129">
                  <c:v>-8.0975703652592212E-2</c:v>
                </c:pt>
                <c:pt idx="130">
                  <c:v>-4.1218696482743789E-2</c:v>
                </c:pt>
                <c:pt idx="131">
                  <c:v>5.7180749870385572E-2</c:v>
                </c:pt>
                <c:pt idx="132">
                  <c:v>5.3587124487150195E-2</c:v>
                </c:pt>
                <c:pt idx="133">
                  <c:v>-2.0118059425339618E-2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AE-45AA-A4AE-569892EA2697}"/>
            </c:ext>
          </c:extLst>
        </c:ser>
        <c:ser>
          <c:idx val="3"/>
          <c:order val="3"/>
          <c:tx>
            <c:strRef>
              <c:f>XGB再投資累積報酬!$B$15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XGB再投資累積報酬!$C$11:$EF$11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XGB再投資累積報酬!$C$15:$EF$15</c:f>
              <c:numCache>
                <c:formatCode>General</c:formatCode>
                <c:ptCount val="134"/>
                <c:pt idx="0">
                  <c:v>-9.650314199451604E-2</c:v>
                </c:pt>
                <c:pt idx="1">
                  <c:v>0.24023846325874021</c:v>
                </c:pt>
                <c:pt idx="2">
                  <c:v>0.25288694378608678</c:v>
                </c:pt>
                <c:pt idx="3">
                  <c:v>0.38890322374083097</c:v>
                </c:pt>
                <c:pt idx="4">
                  <c:v>0.47312204945046776</c:v>
                </c:pt>
                <c:pt idx="5">
                  <c:v>0.39923345222175777</c:v>
                </c:pt>
                <c:pt idx="6">
                  <c:v>0.31747422072373821</c:v>
                </c:pt>
                <c:pt idx="7">
                  <c:v>0.23246460490394738</c:v>
                </c:pt>
                <c:pt idx="8">
                  <c:v>0.58568233954464732</c:v>
                </c:pt>
                <c:pt idx="9">
                  <c:v>0.53405489291492625</c:v>
                </c:pt>
                <c:pt idx="10">
                  <c:v>0.53078272861417108</c:v>
                </c:pt>
                <c:pt idx="11">
                  <c:v>0.34575984578506613</c:v>
                </c:pt>
                <c:pt idx="12">
                  <c:v>0.407804075755545</c:v>
                </c:pt>
                <c:pt idx="13">
                  <c:v>0.43863015602871736</c:v>
                </c:pt>
                <c:pt idx="14">
                  <c:v>0.66239014745849367</c:v>
                </c:pt>
                <c:pt idx="15">
                  <c:v>0.69024421966438587</c:v>
                </c:pt>
                <c:pt idx="16">
                  <c:v>0.61750636185459262</c:v>
                </c:pt>
                <c:pt idx="17">
                  <c:v>0.53770074494074827</c:v>
                </c:pt>
                <c:pt idx="18">
                  <c:v>0.74831663539959781</c:v>
                </c:pt>
                <c:pt idx="19">
                  <c:v>0.55577975822464043</c:v>
                </c:pt>
                <c:pt idx="20">
                  <c:v>0.47694618206387074</c:v>
                </c:pt>
                <c:pt idx="21">
                  <c:v>0.59279254196016806</c:v>
                </c:pt>
                <c:pt idx="22">
                  <c:v>0.50992146044760034</c:v>
                </c:pt>
                <c:pt idx="23">
                  <c:v>0.47420212619677238</c:v>
                </c:pt>
                <c:pt idx="24">
                  <c:v>0.54287948913944262</c:v>
                </c:pt>
                <c:pt idx="25">
                  <c:v>0.42871265285227467</c:v>
                </c:pt>
                <c:pt idx="26">
                  <c:v>0.45225921780514389</c:v>
                </c:pt>
                <c:pt idx="27">
                  <c:v>0.39461835072830853</c:v>
                </c:pt>
                <c:pt idx="28">
                  <c:v>0.46056493824184486</c:v>
                </c:pt>
                <c:pt idx="29">
                  <c:v>0.25940675211593556</c:v>
                </c:pt>
                <c:pt idx="30">
                  <c:v>0.31522938238486353</c:v>
                </c:pt>
                <c:pt idx="31">
                  <c:v>0.33430111189461287</c:v>
                </c:pt>
                <c:pt idx="32">
                  <c:v>0.30114472047292162</c:v>
                </c:pt>
                <c:pt idx="33">
                  <c:v>0.29570016544289723</c:v>
                </c:pt>
                <c:pt idx="34">
                  <c:v>0.20582852165817167</c:v>
                </c:pt>
                <c:pt idx="35">
                  <c:v>0.16680770112834198</c:v>
                </c:pt>
                <c:pt idx="36">
                  <c:v>8.6728280158441029E-2</c:v>
                </c:pt>
                <c:pt idx="37">
                  <c:v>2.0725912177139705E-2</c:v>
                </c:pt>
                <c:pt idx="38">
                  <c:v>-4.395729745412702E-2</c:v>
                </c:pt>
                <c:pt idx="39">
                  <c:v>3.0887168905780804E-2</c:v>
                </c:pt>
                <c:pt idx="40">
                  <c:v>6.9408460458778132E-2</c:v>
                </c:pt>
                <c:pt idx="41">
                  <c:v>4.3153606162240843E-2</c:v>
                </c:pt>
                <c:pt idx="42">
                  <c:v>9.3989841757674997E-2</c:v>
                </c:pt>
                <c:pt idx="43">
                  <c:v>0.16537813865542383</c:v>
                </c:pt>
                <c:pt idx="44">
                  <c:v>0.21192714191569362</c:v>
                </c:pt>
                <c:pt idx="45">
                  <c:v>0.15469167895834879</c:v>
                </c:pt>
                <c:pt idx="46">
                  <c:v>0.17277408050860643</c:v>
                </c:pt>
                <c:pt idx="47">
                  <c:v>7.735651758134332E-2</c:v>
                </c:pt>
                <c:pt idx="48">
                  <c:v>0.10860595367547199</c:v>
                </c:pt>
                <c:pt idx="49">
                  <c:v>7.3644216823562925E-3</c:v>
                </c:pt>
                <c:pt idx="50">
                  <c:v>1.8056098888584726E-2</c:v>
                </c:pt>
                <c:pt idx="51">
                  <c:v>0.1288095054489875</c:v>
                </c:pt>
                <c:pt idx="52">
                  <c:v>9.38878738785347E-2</c:v>
                </c:pt>
                <c:pt idx="53">
                  <c:v>0.15191126799380883</c:v>
                </c:pt>
                <c:pt idx="54">
                  <c:v>9.8673253622611146E-2</c:v>
                </c:pt>
                <c:pt idx="55">
                  <c:v>3.6073022366834184E-2</c:v>
                </c:pt>
                <c:pt idx="56">
                  <c:v>5.0346120150850382E-2</c:v>
                </c:pt>
                <c:pt idx="57">
                  <c:v>-7.1175032803871829E-3</c:v>
                </c:pt>
                <c:pt idx="58">
                  <c:v>6.0980990063340679E-2</c:v>
                </c:pt>
                <c:pt idx="59">
                  <c:v>4.9029010471012713E-2</c:v>
                </c:pt>
                <c:pt idx="60">
                  <c:v>0.12547114485501276</c:v>
                </c:pt>
                <c:pt idx="61">
                  <c:v>0.1255588206370728</c:v>
                </c:pt>
                <c:pt idx="62">
                  <c:v>5.510064546822524E-2</c:v>
                </c:pt>
                <c:pt idx="63">
                  <c:v>0.12479430067051744</c:v>
                </c:pt>
                <c:pt idx="64">
                  <c:v>0.14345401220003628</c:v>
                </c:pt>
                <c:pt idx="65">
                  <c:v>0.15967301627830643</c:v>
                </c:pt>
                <c:pt idx="66">
                  <c:v>0.17452023022496466</c:v>
                </c:pt>
                <c:pt idx="67">
                  <c:v>0.31988136320544358</c:v>
                </c:pt>
                <c:pt idx="68">
                  <c:v>0.29767597289009462</c:v>
                </c:pt>
                <c:pt idx="69">
                  <c:v>0.2501373444692403</c:v>
                </c:pt>
                <c:pt idx="70">
                  <c:v>0.2744855441925218</c:v>
                </c:pt>
                <c:pt idx="71">
                  <c:v>0.34957181892971367</c:v>
                </c:pt>
                <c:pt idx="72">
                  <c:v>0.30106025860472663</c:v>
                </c:pt>
                <c:pt idx="73">
                  <c:v>0.33831728364432512</c:v>
                </c:pt>
                <c:pt idx="74">
                  <c:v>0.21340089978239507</c:v>
                </c:pt>
                <c:pt idx="75">
                  <c:v>0.33826770183293742</c:v>
                </c:pt>
                <c:pt idx="76">
                  <c:v>0.37836756759628276</c:v>
                </c:pt>
                <c:pt idx="77">
                  <c:v>0.55905970558453388</c:v>
                </c:pt>
                <c:pt idx="78">
                  <c:v>0.82979308278191422</c:v>
                </c:pt>
                <c:pt idx="79">
                  <c:v>0.99281761859850715</c:v>
                </c:pt>
                <c:pt idx="80">
                  <c:v>1.13902690087451</c:v>
                </c:pt>
                <c:pt idx="81">
                  <c:v>1.0505793580511034</c:v>
                </c:pt>
                <c:pt idx="82">
                  <c:v>1.5134591531485158</c:v>
                </c:pt>
                <c:pt idx="83">
                  <c:v>1.6715204406012005</c:v>
                </c:pt>
                <c:pt idx="84">
                  <c:v>1.4862856426042232</c:v>
                </c:pt>
                <c:pt idx="85">
                  <c:v>1.7027027753775519</c:v>
                </c:pt>
                <c:pt idx="86">
                  <c:v>1.8558720923937937</c:v>
                </c:pt>
                <c:pt idx="87">
                  <c:v>1.9456092338649071</c:v>
                </c:pt>
                <c:pt idx="88">
                  <c:v>1.8082656794910958</c:v>
                </c:pt>
                <c:pt idx="89">
                  <c:v>1.4062629614653295</c:v>
                </c:pt>
                <c:pt idx="90">
                  <c:v>1.6636831544283046</c:v>
                </c:pt>
                <c:pt idx="91">
                  <c:v>1.3239680979996162</c:v>
                </c:pt>
                <c:pt idx="92">
                  <c:v>1.23710279341477</c:v>
                </c:pt>
                <c:pt idx="93">
                  <c:v>1.129191508726973</c:v>
                </c:pt>
                <c:pt idx="94">
                  <c:v>1.1651982380218691</c:v>
                </c:pt>
                <c:pt idx="95">
                  <c:v>1.1491875173140937</c:v>
                </c:pt>
                <c:pt idx="96">
                  <c:v>1.2849703045635557</c:v>
                </c:pt>
                <c:pt idx="97">
                  <c:v>1.2990042423562196</c:v>
                </c:pt>
                <c:pt idx="98">
                  <c:v>1.3277065290754275</c:v>
                </c:pt>
                <c:pt idx="99">
                  <c:v>1.3693000652246878</c:v>
                </c:pt>
                <c:pt idx="100">
                  <c:v>1.4699258337179666</c:v>
                </c:pt>
                <c:pt idx="101">
                  <c:v>1.272610997213353</c:v>
                </c:pt>
                <c:pt idx="102">
                  <c:v>1.3325530108992516</c:v>
                </c:pt>
                <c:pt idx="103">
                  <c:v>1.4030582002239083</c:v>
                </c:pt>
                <c:pt idx="104">
                  <c:v>1.2403893465450744</c:v>
                </c:pt>
                <c:pt idx="105">
                  <c:v>1.3510504445275604</c:v>
                </c:pt>
                <c:pt idx="106">
                  <c:v>1.2166558556818381</c:v>
                </c:pt>
                <c:pt idx="107">
                  <c:v>0.545628798346526</c:v>
                </c:pt>
                <c:pt idx="108">
                  <c:v>0.52059466351828276</c:v>
                </c:pt>
                <c:pt idx="109">
                  <c:v>0.54904348587132978</c:v>
                </c:pt>
                <c:pt idx="110">
                  <c:v>0.46522734732405202</c:v>
                </c:pt>
                <c:pt idx="111">
                  <c:v>0.39553143130356716</c:v>
                </c:pt>
                <c:pt idx="112">
                  <c:v>0.25350145146903902</c:v>
                </c:pt>
                <c:pt idx="113">
                  <c:v>0.25312039554805765</c:v>
                </c:pt>
                <c:pt idx="114">
                  <c:v>0.2829553712162951</c:v>
                </c:pt>
                <c:pt idx="115">
                  <c:v>0.19696840603181998</c:v>
                </c:pt>
                <c:pt idx="116">
                  <c:v>0.38793922275621906</c:v>
                </c:pt>
                <c:pt idx="117">
                  <c:v>0.44391507919249196</c:v>
                </c:pt>
                <c:pt idx="118">
                  <c:v>0.54923147261343064</c:v>
                </c:pt>
                <c:pt idx="119">
                  <c:v>0.58336919865086667</c:v>
                </c:pt>
                <c:pt idx="120">
                  <c:v>0.52394512497189316</c:v>
                </c:pt>
                <c:pt idx="121">
                  <c:v>0.63391853972905499</c:v>
                </c:pt>
                <c:pt idx="122">
                  <c:v>0.70870418234011945</c:v>
                </c:pt>
                <c:pt idx="123">
                  <c:v>0.46988140627644581</c:v>
                </c:pt>
                <c:pt idx="124">
                  <c:v>0.50742015946140184</c:v>
                </c:pt>
                <c:pt idx="125">
                  <c:v>0.47494178167120094</c:v>
                </c:pt>
                <c:pt idx="126">
                  <c:v>0.59835552150351945</c:v>
                </c:pt>
                <c:pt idx="127">
                  <c:v>0.53986130723505221</c:v>
                </c:pt>
                <c:pt idx="128">
                  <c:v>0.37174397260453285</c:v>
                </c:pt>
                <c:pt idx="129">
                  <c:v>0.44873513361474271</c:v>
                </c:pt>
                <c:pt idx="130">
                  <c:v>0.5590665664434018</c:v>
                </c:pt>
                <c:pt idx="131">
                  <c:v>0.73579776242260042</c:v>
                </c:pt>
                <c:pt idx="132">
                  <c:v>0.74133620792966681</c:v>
                </c:pt>
                <c:pt idx="133">
                  <c:v>0.6269286931627347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AE-45AA-A4AE-569892EA2697}"/>
            </c:ext>
          </c:extLst>
        </c:ser>
        <c:ser>
          <c:idx val="4"/>
          <c:order val="4"/>
          <c:tx>
            <c:strRef>
              <c:f>XGB再投資累積報酬!$B$16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XGB再投資累積報酬!$C$11:$EF$11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XGB再投資累積報酬!$C$16:$EF$16</c:f>
              <c:numCache>
                <c:formatCode>General</c:formatCode>
                <c:ptCount val="134"/>
                <c:pt idx="0">
                  <c:v>-2.738364461037901E-2</c:v>
                </c:pt>
                <c:pt idx="1">
                  <c:v>0.36963346789284746</c:v>
                </c:pt>
                <c:pt idx="2">
                  <c:v>0.37350977249806783</c:v>
                </c:pt>
                <c:pt idx="3">
                  <c:v>0.51001259765029894</c:v>
                </c:pt>
                <c:pt idx="4">
                  <c:v>0.62129488639173047</c:v>
                </c:pt>
                <c:pt idx="5">
                  <c:v>0.52239751213130514</c:v>
                </c:pt>
                <c:pt idx="6">
                  <c:v>0.43481304140338817</c:v>
                </c:pt>
                <c:pt idx="7">
                  <c:v>0.33624994662505903</c:v>
                </c:pt>
                <c:pt idx="8">
                  <c:v>0.71664095417098883</c:v>
                </c:pt>
                <c:pt idx="9">
                  <c:v>0.69966932400262527</c:v>
                </c:pt>
                <c:pt idx="10">
                  <c:v>0.67589530834667055</c:v>
                </c:pt>
                <c:pt idx="11">
                  <c:v>0.46528449660258397</c:v>
                </c:pt>
                <c:pt idx="12">
                  <c:v>0.48817384086033044</c:v>
                </c:pt>
                <c:pt idx="13">
                  <c:v>0.50035927541782765</c:v>
                </c:pt>
                <c:pt idx="14">
                  <c:v>0.73727061174593778</c:v>
                </c:pt>
                <c:pt idx="15">
                  <c:v>0.77059626086476185</c:v>
                </c:pt>
                <c:pt idx="16">
                  <c:v>0.69549609606755269</c:v>
                </c:pt>
                <c:pt idx="17">
                  <c:v>0.65611517287056342</c:v>
                </c:pt>
                <c:pt idx="18">
                  <c:v>0.87151360522640742</c:v>
                </c:pt>
                <c:pt idx="19">
                  <c:v>0.73008054080640949</c:v>
                </c:pt>
                <c:pt idx="20">
                  <c:v>0.55425010749801618</c:v>
                </c:pt>
                <c:pt idx="21">
                  <c:v>0.66876457846740323</c:v>
                </c:pt>
                <c:pt idx="22">
                  <c:v>0.58486104047215592</c:v>
                </c:pt>
                <c:pt idx="23">
                  <c:v>0.55304369531282993</c:v>
                </c:pt>
                <c:pt idx="24">
                  <c:v>0.63104613315570357</c:v>
                </c:pt>
                <c:pt idx="25">
                  <c:v>0.51521555477100933</c:v>
                </c:pt>
                <c:pt idx="26">
                  <c:v>0.58677348245841898</c:v>
                </c:pt>
                <c:pt idx="27">
                  <c:v>0.53153603806202954</c:v>
                </c:pt>
                <c:pt idx="28">
                  <c:v>0.61046373535039655</c:v>
                </c:pt>
                <c:pt idx="29">
                  <c:v>0.37225100912731479</c:v>
                </c:pt>
                <c:pt idx="30">
                  <c:v>0.43232288850044709</c:v>
                </c:pt>
                <c:pt idx="31">
                  <c:v>0.49549838139062818</c:v>
                </c:pt>
                <c:pt idx="32">
                  <c:v>0.44557377656813002</c:v>
                </c:pt>
                <c:pt idx="33">
                  <c:v>0.47105814610373065</c:v>
                </c:pt>
                <c:pt idx="34">
                  <c:v>0.41599136015852189</c:v>
                </c:pt>
                <c:pt idx="35">
                  <c:v>0.40828878823168568</c:v>
                </c:pt>
                <c:pt idx="36">
                  <c:v>0.33485253782584445</c:v>
                </c:pt>
                <c:pt idx="37">
                  <c:v>0.26448959930727778</c:v>
                </c:pt>
                <c:pt idx="38">
                  <c:v>0.186818740642549</c:v>
                </c:pt>
                <c:pt idx="39">
                  <c:v>0.27915130194914184</c:v>
                </c:pt>
                <c:pt idx="40">
                  <c:v>0.3283553919470219</c:v>
                </c:pt>
                <c:pt idx="41">
                  <c:v>0.28519345937363627</c:v>
                </c:pt>
                <c:pt idx="42">
                  <c:v>0.35284953653706363</c:v>
                </c:pt>
                <c:pt idx="43">
                  <c:v>0.41987938264625035</c:v>
                </c:pt>
                <c:pt idx="44">
                  <c:v>0.47926844792565548</c:v>
                </c:pt>
                <c:pt idx="45">
                  <c:v>0.46584777490238216</c:v>
                </c:pt>
                <c:pt idx="46">
                  <c:v>0.52338659511070773</c:v>
                </c:pt>
                <c:pt idx="47">
                  <c:v>0.37010141117540774</c:v>
                </c:pt>
                <c:pt idx="48">
                  <c:v>0.39695793845324201</c:v>
                </c:pt>
                <c:pt idx="49">
                  <c:v>0.25040359077010654</c:v>
                </c:pt>
                <c:pt idx="50">
                  <c:v>0.26906349491955162</c:v>
                </c:pt>
                <c:pt idx="51">
                  <c:v>0.43718234840240755</c:v>
                </c:pt>
                <c:pt idx="52">
                  <c:v>0.38113311073334866</c:v>
                </c:pt>
                <c:pt idx="53">
                  <c:v>0.43076649294026992</c:v>
                </c:pt>
                <c:pt idx="54">
                  <c:v>0.3676136952083473</c:v>
                </c:pt>
                <c:pt idx="55">
                  <c:v>0.29296255197567023</c:v>
                </c:pt>
                <c:pt idx="56">
                  <c:v>0.31795707867457246</c:v>
                </c:pt>
                <c:pt idx="57">
                  <c:v>0.23619098783773262</c:v>
                </c:pt>
                <c:pt idx="58">
                  <c:v>0.28742344949635656</c:v>
                </c:pt>
                <c:pt idx="59">
                  <c:v>0.26102635560918985</c:v>
                </c:pt>
                <c:pt idx="60">
                  <c:v>0.39314812585361691</c:v>
                </c:pt>
                <c:pt idx="61">
                  <c:v>0.38142581893509098</c:v>
                </c:pt>
                <c:pt idx="62">
                  <c:v>0.28499424961880115</c:v>
                </c:pt>
                <c:pt idx="63">
                  <c:v>0.37134325517488098</c:v>
                </c:pt>
                <c:pt idx="64">
                  <c:v>0.39323033097875171</c:v>
                </c:pt>
                <c:pt idx="65">
                  <c:v>0.4222696864913984</c:v>
                </c:pt>
                <c:pt idx="66">
                  <c:v>0.44570586950429569</c:v>
                </c:pt>
                <c:pt idx="67">
                  <c:v>0.63449043312450248</c:v>
                </c:pt>
                <c:pt idx="68">
                  <c:v>0.61292893301711016</c:v>
                </c:pt>
                <c:pt idx="69">
                  <c:v>0.55153105410208725</c:v>
                </c:pt>
                <c:pt idx="70">
                  <c:v>0.64115541639743401</c:v>
                </c:pt>
                <c:pt idx="71">
                  <c:v>0.74079199585181832</c:v>
                </c:pt>
                <c:pt idx="72">
                  <c:v>0.62635071558783162</c:v>
                </c:pt>
                <c:pt idx="73">
                  <c:v>0.67767710411372928</c:v>
                </c:pt>
                <c:pt idx="74">
                  <c:v>0.47804240690204636</c:v>
                </c:pt>
                <c:pt idx="75">
                  <c:v>0.64288234045321691</c:v>
                </c:pt>
                <c:pt idx="76">
                  <c:v>0.6879501675343016</c:v>
                </c:pt>
                <c:pt idx="77">
                  <c:v>0.92309637169196468</c:v>
                </c:pt>
                <c:pt idx="78">
                  <c:v>1.0084590679996945</c:v>
                </c:pt>
                <c:pt idx="79">
                  <c:v>1.184703540970486</c:v>
                </c:pt>
                <c:pt idx="80">
                  <c:v>1.3892228817589687</c:v>
                </c:pt>
                <c:pt idx="81">
                  <c:v>1.2630717121063122</c:v>
                </c:pt>
                <c:pt idx="82">
                  <c:v>1.5939238347114357</c:v>
                </c:pt>
                <c:pt idx="83">
                  <c:v>1.7020837525554651</c:v>
                </c:pt>
                <c:pt idx="84">
                  <c:v>1.544431351953707</c:v>
                </c:pt>
                <c:pt idx="85">
                  <c:v>1.6602629018301025</c:v>
                </c:pt>
                <c:pt idx="86">
                  <c:v>1.8637011434065314</c:v>
                </c:pt>
                <c:pt idx="87">
                  <c:v>1.9091729441642271</c:v>
                </c:pt>
                <c:pt idx="88">
                  <c:v>1.888809528499233</c:v>
                </c:pt>
                <c:pt idx="89">
                  <c:v>1.4255602742547087</c:v>
                </c:pt>
                <c:pt idx="90">
                  <c:v>1.7521382160225651</c:v>
                </c:pt>
                <c:pt idx="91">
                  <c:v>1.3761089218791733</c:v>
                </c:pt>
                <c:pt idx="92">
                  <c:v>1.2776534095883809</c:v>
                </c:pt>
                <c:pt idx="93">
                  <c:v>1.1676432813198017</c:v>
                </c:pt>
                <c:pt idx="94">
                  <c:v>1.214913097668425</c:v>
                </c:pt>
                <c:pt idx="95">
                  <c:v>1.2036892326385025</c:v>
                </c:pt>
                <c:pt idx="96">
                  <c:v>1.3434794974255202</c:v>
                </c:pt>
                <c:pt idx="97">
                  <c:v>1.3827353195283405</c:v>
                </c:pt>
                <c:pt idx="98">
                  <c:v>1.4046425681800963</c:v>
                </c:pt>
                <c:pt idx="99">
                  <c:v>1.4207218784291205</c:v>
                </c:pt>
                <c:pt idx="100">
                  <c:v>1.5396205938296137</c:v>
                </c:pt>
                <c:pt idx="101">
                  <c:v>1.2789710552089764</c:v>
                </c:pt>
                <c:pt idx="102">
                  <c:v>1.3468953179667729</c:v>
                </c:pt>
                <c:pt idx="103">
                  <c:v>1.4471363092441871</c:v>
                </c:pt>
                <c:pt idx="104">
                  <c:v>1.2433778252627992</c:v>
                </c:pt>
                <c:pt idx="105">
                  <c:v>1.4005734071659051</c:v>
                </c:pt>
                <c:pt idx="106">
                  <c:v>1.3176278337108442</c:v>
                </c:pt>
                <c:pt idx="107">
                  <c:v>0.56305560441817426</c:v>
                </c:pt>
                <c:pt idx="108">
                  <c:v>0.5404648436224917</c:v>
                </c:pt>
                <c:pt idx="109">
                  <c:v>0.56993292463945755</c:v>
                </c:pt>
                <c:pt idx="110">
                  <c:v>0.49865875812216776</c:v>
                </c:pt>
                <c:pt idx="111">
                  <c:v>0.4210983401007502</c:v>
                </c:pt>
                <c:pt idx="112">
                  <c:v>0.2312476216533097</c:v>
                </c:pt>
                <c:pt idx="113">
                  <c:v>0.20431669725455315</c:v>
                </c:pt>
                <c:pt idx="114">
                  <c:v>0.24084476649211228</c:v>
                </c:pt>
                <c:pt idx="115">
                  <c:v>0.17047946642775313</c:v>
                </c:pt>
                <c:pt idx="116">
                  <c:v>0.36898218686704398</c:v>
                </c:pt>
                <c:pt idx="117">
                  <c:v>0.40281874923137817</c:v>
                </c:pt>
                <c:pt idx="118">
                  <c:v>0.49759391331893665</c:v>
                </c:pt>
                <c:pt idx="119">
                  <c:v>0.51433426915228964</c:v>
                </c:pt>
                <c:pt idx="120">
                  <c:v>0.48186592371008308</c:v>
                </c:pt>
                <c:pt idx="121">
                  <c:v>0.63084402190307243</c:v>
                </c:pt>
                <c:pt idx="122">
                  <c:v>0.73599062519089475</c:v>
                </c:pt>
                <c:pt idx="123">
                  <c:v>0.49824023032309928</c:v>
                </c:pt>
                <c:pt idx="124">
                  <c:v>0.55954481909266218</c:v>
                </c:pt>
                <c:pt idx="125">
                  <c:v>0.52531635394868137</c:v>
                </c:pt>
                <c:pt idx="126">
                  <c:v>0.67019832072292918</c:v>
                </c:pt>
                <c:pt idx="127">
                  <c:v>0.64907169558180766</c:v>
                </c:pt>
                <c:pt idx="128">
                  <c:v>0.41853309070197309</c:v>
                </c:pt>
                <c:pt idx="129">
                  <c:v>0.51907225302145377</c:v>
                </c:pt>
                <c:pt idx="130">
                  <c:v>0.62313095144294639</c:v>
                </c:pt>
                <c:pt idx="131">
                  <c:v>0.8104674466233206</c:v>
                </c:pt>
                <c:pt idx="132">
                  <c:v>0.81842748413958155</c:v>
                </c:pt>
                <c:pt idx="133">
                  <c:v>0.74119086509068133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AE-45AA-A4AE-569892EA2697}"/>
            </c:ext>
          </c:extLst>
        </c:ser>
        <c:ser>
          <c:idx val="5"/>
          <c:order val="5"/>
          <c:tx>
            <c:strRef>
              <c:f>XGB再投資累積報酬!$B$17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XGB再投資累積報酬!$C$11:$EF$11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XGB再投資累積報酬!$C$17:$EF$17</c:f>
              <c:numCache>
                <c:formatCode>General</c:formatCode>
                <c:ptCount val="134"/>
                <c:pt idx="0">
                  <c:v>-4.1028984252961864E-2</c:v>
                </c:pt>
                <c:pt idx="1">
                  <c:v>0.3805236351940966</c:v>
                </c:pt>
                <c:pt idx="2">
                  <c:v>0.37033674922570059</c:v>
                </c:pt>
                <c:pt idx="3">
                  <c:v>0.52496214288224152</c:v>
                </c:pt>
                <c:pt idx="4">
                  <c:v>0.63357416608279582</c:v>
                </c:pt>
                <c:pt idx="5">
                  <c:v>0.50829892192493764</c:v>
                </c:pt>
                <c:pt idx="6">
                  <c:v>0.3367675850950147</c:v>
                </c:pt>
                <c:pt idx="7">
                  <c:v>0.18263952139368023</c:v>
                </c:pt>
                <c:pt idx="8">
                  <c:v>0.53367833172418599</c:v>
                </c:pt>
                <c:pt idx="9">
                  <c:v>0.51878495090375631</c:v>
                </c:pt>
                <c:pt idx="10">
                  <c:v>0.54104903530364612</c:v>
                </c:pt>
                <c:pt idx="11">
                  <c:v>0.33154583523765835</c:v>
                </c:pt>
                <c:pt idx="12">
                  <c:v>0.36434454576846864</c:v>
                </c:pt>
                <c:pt idx="13">
                  <c:v>0.38260349616409317</c:v>
                </c:pt>
                <c:pt idx="14">
                  <c:v>0.60631053178284389</c:v>
                </c:pt>
                <c:pt idx="15">
                  <c:v>0.60948339871790069</c:v>
                </c:pt>
                <c:pt idx="16">
                  <c:v>0.52074931855494611</c:v>
                </c:pt>
                <c:pt idx="17">
                  <c:v>0.48500016913221478</c:v>
                </c:pt>
                <c:pt idx="18">
                  <c:v>0.69478783969547298</c:v>
                </c:pt>
                <c:pt idx="19">
                  <c:v>0.5299533576635147</c:v>
                </c:pt>
                <c:pt idx="20">
                  <c:v>0.33309845983765407</c:v>
                </c:pt>
                <c:pt idx="21">
                  <c:v>0.46665621814801672</c:v>
                </c:pt>
                <c:pt idx="22">
                  <c:v>0.35867639454808131</c:v>
                </c:pt>
                <c:pt idx="23">
                  <c:v>0.32931744954277842</c:v>
                </c:pt>
                <c:pt idx="24">
                  <c:v>0.41207304003710044</c:v>
                </c:pt>
                <c:pt idx="25">
                  <c:v>0.32970094441246056</c:v>
                </c:pt>
                <c:pt idx="26">
                  <c:v>0.40779253935583704</c:v>
                </c:pt>
                <c:pt idx="27">
                  <c:v>0.31119006415108785</c:v>
                </c:pt>
                <c:pt idx="28">
                  <c:v>0.38913179033044787</c:v>
                </c:pt>
                <c:pt idx="29">
                  <c:v>0.22203823280900226</c:v>
                </c:pt>
                <c:pt idx="30">
                  <c:v>0.29858688071750228</c:v>
                </c:pt>
                <c:pt idx="31">
                  <c:v>0.34003965717671214</c:v>
                </c:pt>
                <c:pt idx="32">
                  <c:v>0.26360650783328032</c:v>
                </c:pt>
                <c:pt idx="33">
                  <c:v>0.29166799821119405</c:v>
                </c:pt>
                <c:pt idx="34">
                  <c:v>0.253724101683521</c:v>
                </c:pt>
                <c:pt idx="35">
                  <c:v>0.21985075551496025</c:v>
                </c:pt>
                <c:pt idx="36">
                  <c:v>0.1059756015104838</c:v>
                </c:pt>
                <c:pt idx="37">
                  <c:v>5.1384233933583268E-2</c:v>
                </c:pt>
                <c:pt idx="38">
                  <c:v>3.8102796501864988E-2</c:v>
                </c:pt>
                <c:pt idx="39">
                  <c:v>0.11828877816051131</c:v>
                </c:pt>
                <c:pt idx="40">
                  <c:v>0.185975596690787</c:v>
                </c:pt>
                <c:pt idx="41">
                  <c:v>0.14446967543267974</c:v>
                </c:pt>
                <c:pt idx="42">
                  <c:v>0.21176787648112949</c:v>
                </c:pt>
                <c:pt idx="43">
                  <c:v>0.27510432531103612</c:v>
                </c:pt>
                <c:pt idx="44">
                  <c:v>0.34466828862182952</c:v>
                </c:pt>
                <c:pt idx="45">
                  <c:v>0.31615338361891565</c:v>
                </c:pt>
                <c:pt idx="46">
                  <c:v>0.32723788006163868</c:v>
                </c:pt>
                <c:pt idx="47">
                  <c:v>0.19767410593183032</c:v>
                </c:pt>
                <c:pt idx="48">
                  <c:v>0.21621176048343327</c:v>
                </c:pt>
                <c:pt idx="49">
                  <c:v>6.3993612700680824E-2</c:v>
                </c:pt>
                <c:pt idx="50">
                  <c:v>7.4447540514289035E-2</c:v>
                </c:pt>
                <c:pt idx="51">
                  <c:v>0.23912949493866598</c:v>
                </c:pt>
                <c:pt idx="52">
                  <c:v>0.20531015124861973</c:v>
                </c:pt>
                <c:pt idx="53">
                  <c:v>0.23225664624617992</c:v>
                </c:pt>
                <c:pt idx="54">
                  <c:v>0.21217408061721899</c:v>
                </c:pt>
                <c:pt idx="55">
                  <c:v>0.11833046759817334</c:v>
                </c:pt>
                <c:pt idx="56">
                  <c:v>0.10362071939665651</c:v>
                </c:pt>
                <c:pt idx="57">
                  <c:v>4.9832459126273321E-2</c:v>
                </c:pt>
                <c:pt idx="58">
                  <c:v>0.14128540702676684</c:v>
                </c:pt>
                <c:pt idx="59">
                  <c:v>0.13003454213019028</c:v>
                </c:pt>
                <c:pt idx="60">
                  <c:v>0.25978035307168046</c:v>
                </c:pt>
                <c:pt idx="61">
                  <c:v>0.26932143198733627</c:v>
                </c:pt>
                <c:pt idx="62">
                  <c:v>0.17035583437770341</c:v>
                </c:pt>
                <c:pt idx="63">
                  <c:v>0.25656046247343389</c:v>
                </c:pt>
                <c:pt idx="64">
                  <c:v>0.2959540082857044</c:v>
                </c:pt>
                <c:pt idx="65">
                  <c:v>0.34260314240109957</c:v>
                </c:pt>
                <c:pt idx="66">
                  <c:v>0.35787728107606442</c:v>
                </c:pt>
                <c:pt idx="67">
                  <c:v>0.51406352106564346</c:v>
                </c:pt>
                <c:pt idx="68">
                  <c:v>0.50785060817545435</c:v>
                </c:pt>
                <c:pt idx="69">
                  <c:v>0.4571150943923048</c:v>
                </c:pt>
                <c:pt idx="70">
                  <c:v>0.56075651272522631</c:v>
                </c:pt>
                <c:pt idx="71">
                  <c:v>0.67033770042352292</c:v>
                </c:pt>
                <c:pt idx="72">
                  <c:v>0.53598957855933937</c:v>
                </c:pt>
                <c:pt idx="73">
                  <c:v>0.58026135183834127</c:v>
                </c:pt>
                <c:pt idx="74">
                  <c:v>0.4287761207896541</c:v>
                </c:pt>
                <c:pt idx="75">
                  <c:v>0.60105531060140116</c:v>
                </c:pt>
                <c:pt idx="76">
                  <c:v>0.64459886666094257</c:v>
                </c:pt>
                <c:pt idx="77">
                  <c:v>0.89068538821756671</c:v>
                </c:pt>
                <c:pt idx="78">
                  <c:v>0.96964088737888043</c:v>
                </c:pt>
                <c:pt idx="79">
                  <c:v>1.0959065782975417</c:v>
                </c:pt>
                <c:pt idx="80">
                  <c:v>1.2965017594808548</c:v>
                </c:pt>
                <c:pt idx="81">
                  <c:v>1.1627562606310864</c:v>
                </c:pt>
                <c:pt idx="82">
                  <c:v>1.5456389659680307</c:v>
                </c:pt>
                <c:pt idx="83">
                  <c:v>1.6949061892768409</c:v>
                </c:pt>
                <c:pt idx="84">
                  <c:v>1.4727033201518056</c:v>
                </c:pt>
                <c:pt idx="85">
                  <c:v>1.5981740269585956</c:v>
                </c:pt>
                <c:pt idx="86">
                  <c:v>1.8365268037086389</c:v>
                </c:pt>
                <c:pt idx="87">
                  <c:v>1.809788724110283</c:v>
                </c:pt>
                <c:pt idx="88">
                  <c:v>1.8144809951155971</c:v>
                </c:pt>
                <c:pt idx="89">
                  <c:v>1.3176370665048269</c:v>
                </c:pt>
                <c:pt idx="90">
                  <c:v>1.636110239783541</c:v>
                </c:pt>
                <c:pt idx="91">
                  <c:v>1.2455460731335775</c:v>
                </c:pt>
                <c:pt idx="92">
                  <c:v>1.1532812261204115</c:v>
                </c:pt>
                <c:pt idx="93">
                  <c:v>1.0441604900856487</c:v>
                </c:pt>
                <c:pt idx="94">
                  <c:v>1.0677613771520136</c:v>
                </c:pt>
                <c:pt idx="95">
                  <c:v>0.96590333511410997</c:v>
                </c:pt>
                <c:pt idx="96">
                  <c:v>1.1121828751522256</c:v>
                </c:pt>
                <c:pt idx="97">
                  <c:v>1.1039884336992061</c:v>
                </c:pt>
                <c:pt idx="98">
                  <c:v>1.1455671457529379</c:v>
                </c:pt>
                <c:pt idx="99">
                  <c:v>1.1991901236602041</c:v>
                </c:pt>
                <c:pt idx="100">
                  <c:v>1.307793386470391</c:v>
                </c:pt>
                <c:pt idx="101">
                  <c:v>1.0210527402090204</c:v>
                </c:pt>
                <c:pt idx="102">
                  <c:v>1.1097685866181228</c:v>
                </c:pt>
                <c:pt idx="103">
                  <c:v>1.1833636669947327</c:v>
                </c:pt>
                <c:pt idx="104">
                  <c:v>0.96753949479697887</c:v>
                </c:pt>
                <c:pt idx="105">
                  <c:v>1.1350438704874546</c:v>
                </c:pt>
                <c:pt idx="106">
                  <c:v>1.0835362288726884</c:v>
                </c:pt>
                <c:pt idx="107">
                  <c:v>0.34966152581331311</c:v>
                </c:pt>
                <c:pt idx="108">
                  <c:v>0.35214393386788445</c:v>
                </c:pt>
                <c:pt idx="109">
                  <c:v>0.40450794001273715</c:v>
                </c:pt>
                <c:pt idx="110">
                  <c:v>0.35528761085405458</c:v>
                </c:pt>
                <c:pt idx="111">
                  <c:v>0.27783766695673884</c:v>
                </c:pt>
                <c:pt idx="112">
                  <c:v>7.8448441692028581E-2</c:v>
                </c:pt>
                <c:pt idx="113">
                  <c:v>7.4210428673463058E-2</c:v>
                </c:pt>
                <c:pt idx="114">
                  <c:v>0.13034105014952879</c:v>
                </c:pt>
                <c:pt idx="115">
                  <c:v>6.1809396002091788E-2</c:v>
                </c:pt>
                <c:pt idx="116">
                  <c:v>0.25268335998655167</c:v>
                </c:pt>
                <c:pt idx="117">
                  <c:v>0.28412249293606884</c:v>
                </c:pt>
                <c:pt idx="118">
                  <c:v>0.3679042279115845</c:v>
                </c:pt>
                <c:pt idx="119">
                  <c:v>0.40309553322661151</c:v>
                </c:pt>
                <c:pt idx="120">
                  <c:v>0.35068417814657704</c:v>
                </c:pt>
                <c:pt idx="121">
                  <c:v>0.47648548385550149</c:v>
                </c:pt>
                <c:pt idx="122">
                  <c:v>0.58239483008577841</c:v>
                </c:pt>
                <c:pt idx="123">
                  <c:v>0.39604347295201081</c:v>
                </c:pt>
                <c:pt idx="124">
                  <c:v>0.46400494012595672</c:v>
                </c:pt>
                <c:pt idx="125">
                  <c:v>0.4977285576903403</c:v>
                </c:pt>
                <c:pt idx="126">
                  <c:v>0.68645813887467111</c:v>
                </c:pt>
                <c:pt idx="127">
                  <c:v>0.69453804961515031</c:v>
                </c:pt>
                <c:pt idx="128">
                  <c:v>0.41566534161520807</c:v>
                </c:pt>
                <c:pt idx="129">
                  <c:v>0.52011450331525033</c:v>
                </c:pt>
                <c:pt idx="130">
                  <c:v>0.70482668309146534</c:v>
                </c:pt>
                <c:pt idx="131">
                  <c:v>0.92359761919435024</c:v>
                </c:pt>
                <c:pt idx="132">
                  <c:v>0.92322536237848807</c:v>
                </c:pt>
                <c:pt idx="133">
                  <c:v>0.83146872843197239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AE-45AA-A4AE-569892EA2697}"/>
            </c:ext>
          </c:extLst>
        </c:ser>
        <c:ser>
          <c:idx val="6"/>
          <c:order val="6"/>
          <c:tx>
            <c:strRef>
              <c:f>XGB再投資累積報酬!$B$18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XGB再投資累積報酬!$C$11:$EF$11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XGB再投資累積報酬!$C$18:$EF$18</c:f>
              <c:numCache>
                <c:formatCode>General</c:formatCode>
                <c:ptCount val="134"/>
                <c:pt idx="0">
                  <c:v>-5.3942228163147199E-2</c:v>
                </c:pt>
                <c:pt idx="1">
                  <c:v>0.32626295202060596</c:v>
                </c:pt>
                <c:pt idx="2">
                  <c:v>0.40451333767483044</c:v>
                </c:pt>
                <c:pt idx="3">
                  <c:v>0.59330011934173932</c:v>
                </c:pt>
                <c:pt idx="4">
                  <c:v>0.72202960276220129</c:v>
                </c:pt>
                <c:pt idx="5">
                  <c:v>0.51209217052333744</c:v>
                </c:pt>
                <c:pt idx="6">
                  <c:v>0.30720340890327336</c:v>
                </c:pt>
                <c:pt idx="7">
                  <c:v>0.14359148631348528</c:v>
                </c:pt>
                <c:pt idx="8">
                  <c:v>0.55377728046017438</c:v>
                </c:pt>
                <c:pt idx="9">
                  <c:v>0.53360538735346141</c:v>
                </c:pt>
                <c:pt idx="10">
                  <c:v>0.57815886963170349</c:v>
                </c:pt>
                <c:pt idx="11">
                  <c:v>0.35249410222207556</c:v>
                </c:pt>
                <c:pt idx="12">
                  <c:v>0.38539199949017733</c:v>
                </c:pt>
                <c:pt idx="13">
                  <c:v>0.39692966300325017</c:v>
                </c:pt>
                <c:pt idx="14">
                  <c:v>0.66091503094905724</c:v>
                </c:pt>
                <c:pt idx="15">
                  <c:v>0.69301420523778434</c:v>
                </c:pt>
                <c:pt idx="16">
                  <c:v>0.57617363960032497</c:v>
                </c:pt>
                <c:pt idx="17">
                  <c:v>0.56824841760300981</c:v>
                </c:pt>
                <c:pt idx="18">
                  <c:v>0.77603353000534581</c:v>
                </c:pt>
                <c:pt idx="19">
                  <c:v>0.5604382242565511</c:v>
                </c:pt>
                <c:pt idx="20">
                  <c:v>0.30119508628440061</c:v>
                </c:pt>
                <c:pt idx="21">
                  <c:v>0.46660666022256092</c:v>
                </c:pt>
                <c:pt idx="22">
                  <c:v>0.31425666924701434</c:v>
                </c:pt>
                <c:pt idx="23">
                  <c:v>0.29203821899934779</c:v>
                </c:pt>
                <c:pt idx="24">
                  <c:v>0.36284772496285833</c:v>
                </c:pt>
                <c:pt idx="25">
                  <c:v>0.27874114397347682</c:v>
                </c:pt>
                <c:pt idx="26">
                  <c:v>0.35268180958089679</c:v>
                </c:pt>
                <c:pt idx="27">
                  <c:v>0.22243769827845772</c:v>
                </c:pt>
                <c:pt idx="28">
                  <c:v>0.31681183424047443</c:v>
                </c:pt>
                <c:pt idx="29">
                  <c:v>0.1185741877504991</c:v>
                </c:pt>
                <c:pt idx="30">
                  <c:v>0.20998404788202318</c:v>
                </c:pt>
                <c:pt idx="31">
                  <c:v>0.25343848379318135</c:v>
                </c:pt>
                <c:pt idx="32">
                  <c:v>0.1513788219842882</c:v>
                </c:pt>
                <c:pt idx="33">
                  <c:v>0.15981548569757908</c:v>
                </c:pt>
                <c:pt idx="34">
                  <c:v>0.13333355167157812</c:v>
                </c:pt>
                <c:pt idx="35">
                  <c:v>9.6145691157062396E-2</c:v>
                </c:pt>
                <c:pt idx="36">
                  <c:v>-9.1424228538444785E-3</c:v>
                </c:pt>
                <c:pt idx="37">
                  <c:v>-6.2313404279028539E-2</c:v>
                </c:pt>
                <c:pt idx="38">
                  <c:v>-6.7402731066040888E-2</c:v>
                </c:pt>
                <c:pt idx="39">
                  <c:v>5.5996699874232281E-3</c:v>
                </c:pt>
                <c:pt idx="40">
                  <c:v>8.2257382890563724E-2</c:v>
                </c:pt>
                <c:pt idx="41">
                  <c:v>1.5488029239701717E-2</c:v>
                </c:pt>
                <c:pt idx="42">
                  <c:v>0.10003058400793208</c:v>
                </c:pt>
                <c:pt idx="43">
                  <c:v>0.14769012388258651</c:v>
                </c:pt>
                <c:pt idx="44">
                  <c:v>0.22180295283609075</c:v>
                </c:pt>
                <c:pt idx="45">
                  <c:v>0.18665320195038793</c:v>
                </c:pt>
                <c:pt idx="46">
                  <c:v>0.21577133885216626</c:v>
                </c:pt>
                <c:pt idx="47">
                  <c:v>6.2505930558091949E-2</c:v>
                </c:pt>
                <c:pt idx="48">
                  <c:v>9.4582303246858457E-2</c:v>
                </c:pt>
                <c:pt idx="49">
                  <c:v>-6.7863651977135397E-2</c:v>
                </c:pt>
                <c:pt idx="50">
                  <c:v>-6.7274251980984023E-2</c:v>
                </c:pt>
                <c:pt idx="51">
                  <c:v>8.8731608418691543E-2</c:v>
                </c:pt>
                <c:pt idx="52">
                  <c:v>0.11915300222196357</c:v>
                </c:pt>
                <c:pt idx="53">
                  <c:v>9.2275119660942817E-2</c:v>
                </c:pt>
                <c:pt idx="54">
                  <c:v>6.7993252547267957E-2</c:v>
                </c:pt>
                <c:pt idx="55">
                  <c:v>2.7256624554217401E-2</c:v>
                </c:pt>
                <c:pt idx="56">
                  <c:v>2.4885472918432683E-2</c:v>
                </c:pt>
                <c:pt idx="57">
                  <c:v>-3.9616087696657254E-2</c:v>
                </c:pt>
                <c:pt idx="58">
                  <c:v>6.5065765388982344E-2</c:v>
                </c:pt>
                <c:pt idx="59">
                  <c:v>7.1409365305590722E-2</c:v>
                </c:pt>
                <c:pt idx="60">
                  <c:v>0.15011041181922291</c:v>
                </c:pt>
                <c:pt idx="61">
                  <c:v>0.18041901788284642</c:v>
                </c:pt>
                <c:pt idx="62">
                  <c:v>9.8046625216737127E-2</c:v>
                </c:pt>
                <c:pt idx="63">
                  <c:v>0.1839234237459495</c:v>
                </c:pt>
                <c:pt idx="64">
                  <c:v>0.19387634981171487</c:v>
                </c:pt>
                <c:pt idx="65">
                  <c:v>0.24981845902764022</c:v>
                </c:pt>
                <c:pt idx="66">
                  <c:v>0.25221409119010052</c:v>
                </c:pt>
                <c:pt idx="67">
                  <c:v>0.40368418403850748</c:v>
                </c:pt>
                <c:pt idx="68">
                  <c:v>0.39809243249454229</c:v>
                </c:pt>
                <c:pt idx="69">
                  <c:v>0.37949899043366719</c:v>
                </c:pt>
                <c:pt idx="70">
                  <c:v>0.49079344303767214</c:v>
                </c:pt>
                <c:pt idx="71">
                  <c:v>0.61143351010503255</c:v>
                </c:pt>
                <c:pt idx="72">
                  <c:v>0.47396036583739787</c:v>
                </c:pt>
                <c:pt idx="73">
                  <c:v>0.50199284378751496</c:v>
                </c:pt>
                <c:pt idx="74">
                  <c:v>0.40783780222315058</c:v>
                </c:pt>
                <c:pt idx="75">
                  <c:v>0.62368747688804071</c:v>
                </c:pt>
                <c:pt idx="76">
                  <c:v>0.67773380599066013</c:v>
                </c:pt>
                <c:pt idx="77">
                  <c:v>0.8569930536782242</c:v>
                </c:pt>
                <c:pt idx="78">
                  <c:v>1.0513471051457883</c:v>
                </c:pt>
                <c:pt idx="79">
                  <c:v>1.1548289397730453</c:v>
                </c:pt>
                <c:pt idx="80">
                  <c:v>1.3213118745549326</c:v>
                </c:pt>
                <c:pt idx="81">
                  <c:v>1.423351506256906</c:v>
                </c:pt>
                <c:pt idx="82">
                  <c:v>1.9725832986287797</c:v>
                </c:pt>
                <c:pt idx="83">
                  <c:v>2.456094919015531</c:v>
                </c:pt>
                <c:pt idx="84">
                  <c:v>2.0492247279095444</c:v>
                </c:pt>
                <c:pt idx="85">
                  <c:v>2.2392331352202475</c:v>
                </c:pt>
                <c:pt idx="86">
                  <c:v>2.532927226396815</c:v>
                </c:pt>
                <c:pt idx="87">
                  <c:v>2.4234434189270737</c:v>
                </c:pt>
                <c:pt idx="88">
                  <c:v>2.4766736859579459</c:v>
                </c:pt>
                <c:pt idx="89">
                  <c:v>2.0561938760766552</c:v>
                </c:pt>
                <c:pt idx="90">
                  <c:v>2.5164490627365628</c:v>
                </c:pt>
                <c:pt idx="91">
                  <c:v>1.9438336306994737</c:v>
                </c:pt>
                <c:pt idx="92">
                  <c:v>1.8025986893363379</c:v>
                </c:pt>
                <c:pt idx="93">
                  <c:v>1.6480181952863506</c:v>
                </c:pt>
                <c:pt idx="94">
                  <c:v>1.7225031350700686</c:v>
                </c:pt>
                <c:pt idx="95">
                  <c:v>1.4760745958392323</c:v>
                </c:pt>
                <c:pt idx="96">
                  <c:v>1.6534820999573347</c:v>
                </c:pt>
                <c:pt idx="97">
                  <c:v>1.4119083406841999</c:v>
                </c:pt>
                <c:pt idx="98">
                  <c:v>1.4323036439868186</c:v>
                </c:pt>
                <c:pt idx="99">
                  <c:v>1.3980598549445276</c:v>
                </c:pt>
                <c:pt idx="100">
                  <c:v>1.5212180071716079</c:v>
                </c:pt>
                <c:pt idx="101">
                  <c:v>1.1862921880909454</c:v>
                </c:pt>
                <c:pt idx="102">
                  <c:v>1.2898807660250746</c:v>
                </c:pt>
                <c:pt idx="103">
                  <c:v>1.394608940708709</c:v>
                </c:pt>
                <c:pt idx="104">
                  <c:v>1.1962881293539818</c:v>
                </c:pt>
                <c:pt idx="105">
                  <c:v>1.3773992174545517</c:v>
                </c:pt>
                <c:pt idx="106">
                  <c:v>1.286058142830119</c:v>
                </c:pt>
                <c:pt idx="107">
                  <c:v>0.44777888834126012</c:v>
                </c:pt>
                <c:pt idx="108">
                  <c:v>0.45881020071915657</c:v>
                </c:pt>
                <c:pt idx="109">
                  <c:v>0.49971234045418478</c:v>
                </c:pt>
                <c:pt idx="110">
                  <c:v>0.47179782268703208</c:v>
                </c:pt>
                <c:pt idx="111">
                  <c:v>0.39724462308467334</c:v>
                </c:pt>
                <c:pt idx="112">
                  <c:v>0.17576230994413011</c:v>
                </c:pt>
                <c:pt idx="113">
                  <c:v>0.17125881805869891</c:v>
                </c:pt>
                <c:pt idx="114">
                  <c:v>0.24915706436378771</c:v>
                </c:pt>
                <c:pt idx="115">
                  <c:v>0.17811093112025578</c:v>
                </c:pt>
                <c:pt idx="116">
                  <c:v>0.43767258097831441</c:v>
                </c:pt>
                <c:pt idx="117">
                  <c:v>0.46859739946970436</c:v>
                </c:pt>
                <c:pt idx="118">
                  <c:v>0.55958512819395012</c:v>
                </c:pt>
                <c:pt idx="119">
                  <c:v>0.57588474042392268</c:v>
                </c:pt>
                <c:pt idx="120">
                  <c:v>0.55811194028442035</c:v>
                </c:pt>
                <c:pt idx="121">
                  <c:v>0.73888002109696949</c:v>
                </c:pt>
                <c:pt idx="122">
                  <c:v>0.90736912430657246</c:v>
                </c:pt>
                <c:pt idx="123">
                  <c:v>0.7058734888083853</c:v>
                </c:pt>
                <c:pt idx="124">
                  <c:v>0.84559935547926157</c:v>
                </c:pt>
                <c:pt idx="125">
                  <c:v>0.97142732446129676</c:v>
                </c:pt>
                <c:pt idx="126">
                  <c:v>1.2982172383795074</c:v>
                </c:pt>
                <c:pt idx="127">
                  <c:v>1.3975642396186263</c:v>
                </c:pt>
                <c:pt idx="128">
                  <c:v>0.92057902819563853</c:v>
                </c:pt>
                <c:pt idx="129">
                  <c:v>1.1069571825702398</c:v>
                </c:pt>
                <c:pt idx="130">
                  <c:v>1.4083368238142127</c:v>
                </c:pt>
                <c:pt idx="131">
                  <c:v>1.6744051120956875</c:v>
                </c:pt>
                <c:pt idx="132">
                  <c:v>1.6773771455276494</c:v>
                </c:pt>
                <c:pt idx="133">
                  <c:v>1.5463061015573052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AE-45AA-A4AE-569892EA2697}"/>
            </c:ext>
          </c:extLst>
        </c:ser>
        <c:ser>
          <c:idx val="7"/>
          <c:order val="7"/>
          <c:tx>
            <c:strRef>
              <c:f>XGB再投資累積報酬!$B$19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XGB再投資累積報酬!$C$11:$EF$11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XGB再投資累積報酬!$C$19:$EF$19</c:f>
              <c:numCache>
                <c:formatCode>General</c:formatCode>
                <c:ptCount val="134"/>
                <c:pt idx="0">
                  <c:v>-7.7959416087486244E-2</c:v>
                </c:pt>
                <c:pt idx="1">
                  <c:v>0.29779121739985026</c:v>
                </c:pt>
                <c:pt idx="2">
                  <c:v>0.36903748134319114</c:v>
                </c:pt>
                <c:pt idx="3">
                  <c:v>0.42194623737500625</c:v>
                </c:pt>
                <c:pt idx="4">
                  <c:v>0.56060318764764427</c:v>
                </c:pt>
                <c:pt idx="5">
                  <c:v>0.32823854617650361</c:v>
                </c:pt>
                <c:pt idx="6">
                  <c:v>0.14938547082037523</c:v>
                </c:pt>
                <c:pt idx="7">
                  <c:v>-3.018342711804467E-2</c:v>
                </c:pt>
                <c:pt idx="8">
                  <c:v>0.37552755381612823</c:v>
                </c:pt>
                <c:pt idx="9">
                  <c:v>0.31631252642589414</c:v>
                </c:pt>
                <c:pt idx="10">
                  <c:v>0.25880252129084136</c:v>
                </c:pt>
                <c:pt idx="11">
                  <c:v>0.13877836238454244</c:v>
                </c:pt>
                <c:pt idx="12">
                  <c:v>0.11623347291302921</c:v>
                </c:pt>
                <c:pt idx="13">
                  <c:v>0.14247965007934571</c:v>
                </c:pt>
                <c:pt idx="14">
                  <c:v>0.36773446616835748</c:v>
                </c:pt>
                <c:pt idx="15">
                  <c:v>0.42510084606777809</c:v>
                </c:pt>
                <c:pt idx="16">
                  <c:v>0.31295073748802182</c:v>
                </c:pt>
                <c:pt idx="17">
                  <c:v>0.16914867681042223</c:v>
                </c:pt>
                <c:pt idx="18">
                  <c:v>0.32780020986730785</c:v>
                </c:pt>
                <c:pt idx="19">
                  <c:v>0.20472863948378905</c:v>
                </c:pt>
                <c:pt idx="20">
                  <c:v>-5.7793341798302311E-3</c:v>
                </c:pt>
                <c:pt idx="21">
                  <c:v>0.11643339812529652</c:v>
                </c:pt>
                <c:pt idx="22">
                  <c:v>1.2953550267136293E-3</c:v>
                </c:pt>
                <c:pt idx="23">
                  <c:v>-2.0956671256924464E-2</c:v>
                </c:pt>
                <c:pt idx="24">
                  <c:v>2.5352197439155288E-2</c:v>
                </c:pt>
                <c:pt idx="25">
                  <c:v>-3.6950613158645895E-2</c:v>
                </c:pt>
                <c:pt idx="26">
                  <c:v>-9.5491282030667479E-3</c:v>
                </c:pt>
                <c:pt idx="27">
                  <c:v>-0.10462585292989568</c:v>
                </c:pt>
                <c:pt idx="28">
                  <c:v>-1.4502156464215599E-3</c:v>
                </c:pt>
                <c:pt idx="29">
                  <c:v>-0.1700359556047274</c:v>
                </c:pt>
                <c:pt idx="30">
                  <c:v>-0.13560315143984147</c:v>
                </c:pt>
                <c:pt idx="31">
                  <c:v>-0.12169544891223538</c:v>
                </c:pt>
                <c:pt idx="32">
                  <c:v>-0.16364885393002815</c:v>
                </c:pt>
                <c:pt idx="33">
                  <c:v>-0.17382489854905236</c:v>
                </c:pt>
                <c:pt idx="34">
                  <c:v>-0.20735234252410373</c:v>
                </c:pt>
                <c:pt idx="35">
                  <c:v>-0.21917437124477079</c:v>
                </c:pt>
                <c:pt idx="36">
                  <c:v>-0.26690165930700771</c:v>
                </c:pt>
                <c:pt idx="37">
                  <c:v>-0.31243541204211689</c:v>
                </c:pt>
                <c:pt idx="38">
                  <c:v>-0.33023845525557061</c:v>
                </c:pt>
                <c:pt idx="39">
                  <c:v>-0.27158467718199064</c:v>
                </c:pt>
                <c:pt idx="40">
                  <c:v>-0.20730001665807751</c:v>
                </c:pt>
                <c:pt idx="41">
                  <c:v>-0.26644883017009746</c:v>
                </c:pt>
                <c:pt idx="42">
                  <c:v>-0.18634586689726018</c:v>
                </c:pt>
                <c:pt idx="43">
                  <c:v>-0.14623680124237304</c:v>
                </c:pt>
                <c:pt idx="44">
                  <c:v>-8.0984776437746486E-2</c:v>
                </c:pt>
                <c:pt idx="45">
                  <c:v>-0.1269658841390745</c:v>
                </c:pt>
                <c:pt idx="46">
                  <c:v>-0.10744818664058986</c:v>
                </c:pt>
                <c:pt idx="47">
                  <c:v>-0.30749028655336219</c:v>
                </c:pt>
                <c:pt idx="48">
                  <c:v>-0.26159542223336862</c:v>
                </c:pt>
                <c:pt idx="49">
                  <c:v>-0.39958818778002869</c:v>
                </c:pt>
                <c:pt idx="50">
                  <c:v>-0.42022066961981042</c:v>
                </c:pt>
                <c:pt idx="51">
                  <c:v>-0.3032200929860529</c:v>
                </c:pt>
                <c:pt idx="52">
                  <c:v>-0.17461417872604479</c:v>
                </c:pt>
                <c:pt idx="53">
                  <c:v>-0.17728380054333603</c:v>
                </c:pt>
                <c:pt idx="54">
                  <c:v>-0.20228669794358811</c:v>
                </c:pt>
                <c:pt idx="55">
                  <c:v>-0.24172286533639942</c:v>
                </c:pt>
                <c:pt idx="56">
                  <c:v>-0.24099247755259601</c:v>
                </c:pt>
                <c:pt idx="57">
                  <c:v>-0.28435796349041453</c:v>
                </c:pt>
                <c:pt idx="58">
                  <c:v>-0.19289989249909623</c:v>
                </c:pt>
                <c:pt idx="59">
                  <c:v>-0.1753799270937545</c:v>
                </c:pt>
                <c:pt idx="60">
                  <c:v>-9.5360095689823399E-2</c:v>
                </c:pt>
                <c:pt idx="61">
                  <c:v>-7.1842656269231919E-2</c:v>
                </c:pt>
                <c:pt idx="62">
                  <c:v>-0.15366603453705263</c:v>
                </c:pt>
                <c:pt idx="63">
                  <c:v>-8.4763227190577828E-2</c:v>
                </c:pt>
                <c:pt idx="64">
                  <c:v>-0.10175213995484123</c:v>
                </c:pt>
                <c:pt idx="65">
                  <c:v>-4.5325280516718469E-2</c:v>
                </c:pt>
                <c:pt idx="66">
                  <c:v>-3.5841499413953204E-2</c:v>
                </c:pt>
                <c:pt idx="67">
                  <c:v>9.609321274866689E-2</c:v>
                </c:pt>
                <c:pt idx="68">
                  <c:v>6.9506004484707562E-2</c:v>
                </c:pt>
                <c:pt idx="69">
                  <c:v>8.3616712918648028E-2</c:v>
                </c:pt>
                <c:pt idx="70">
                  <c:v>0.16590250387245775</c:v>
                </c:pt>
                <c:pt idx="71">
                  <c:v>0.2750953840339232</c:v>
                </c:pt>
                <c:pt idx="72">
                  <c:v>0.13615211456143461</c:v>
                </c:pt>
                <c:pt idx="73">
                  <c:v>0.17488102387877236</c:v>
                </c:pt>
                <c:pt idx="74">
                  <c:v>0.14236561301781148</c:v>
                </c:pt>
                <c:pt idx="75">
                  <c:v>0.22084855795578329</c:v>
                </c:pt>
                <c:pt idx="76">
                  <c:v>0.26432272518394617</c:v>
                </c:pt>
                <c:pt idx="77">
                  <c:v>0.42595147809702771</c:v>
                </c:pt>
                <c:pt idx="78">
                  <c:v>0.45804427416506477</c:v>
                </c:pt>
                <c:pt idx="79">
                  <c:v>0.58586365016825814</c:v>
                </c:pt>
                <c:pt idx="80">
                  <c:v>0.72617271291126984</c:v>
                </c:pt>
                <c:pt idx="81">
                  <c:v>0.86262929822991352</c:v>
                </c:pt>
                <c:pt idx="82">
                  <c:v>1.354164380410785</c:v>
                </c:pt>
                <c:pt idx="83">
                  <c:v>1.7140922595454624</c:v>
                </c:pt>
                <c:pt idx="84">
                  <c:v>1.2657176711427405</c:v>
                </c:pt>
                <c:pt idx="85">
                  <c:v>1.406057356475205</c:v>
                </c:pt>
                <c:pt idx="86">
                  <c:v>1.656209648764972</c:v>
                </c:pt>
                <c:pt idx="87">
                  <c:v>1.5413543998806363</c:v>
                </c:pt>
                <c:pt idx="88">
                  <c:v>1.7334347202925997</c:v>
                </c:pt>
                <c:pt idx="89">
                  <c:v>1.3420254270850092</c:v>
                </c:pt>
                <c:pt idx="90">
                  <c:v>1.7311448900173647</c:v>
                </c:pt>
                <c:pt idx="91">
                  <c:v>1.2968038199605862</c:v>
                </c:pt>
                <c:pt idx="92">
                  <c:v>1.3030738834381257</c:v>
                </c:pt>
                <c:pt idx="93">
                  <c:v>1.1886244933213632</c:v>
                </c:pt>
                <c:pt idx="94">
                  <c:v>1.2844315020169033</c:v>
                </c:pt>
                <c:pt idx="95">
                  <c:v>1.0043135366325084</c:v>
                </c:pt>
                <c:pt idx="96">
                  <c:v>1.1715462368157294</c:v>
                </c:pt>
                <c:pt idx="97">
                  <c:v>0.95009225230879402</c:v>
                </c:pt>
                <c:pt idx="98">
                  <c:v>0.99280279797583093</c:v>
                </c:pt>
                <c:pt idx="99">
                  <c:v>0.99504987168435677</c:v>
                </c:pt>
                <c:pt idx="100">
                  <c:v>1.1365425384583672</c:v>
                </c:pt>
                <c:pt idx="101">
                  <c:v>0.89542980602306499</c:v>
                </c:pt>
                <c:pt idx="102">
                  <c:v>1.005789077348592</c:v>
                </c:pt>
                <c:pt idx="103">
                  <c:v>1.0774376664464413</c:v>
                </c:pt>
                <c:pt idx="104">
                  <c:v>0.94118354746068666</c:v>
                </c:pt>
                <c:pt idx="105">
                  <c:v>1.1474485398131486</c:v>
                </c:pt>
                <c:pt idx="106">
                  <c:v>1.0765431934736229</c:v>
                </c:pt>
                <c:pt idx="107">
                  <c:v>0.64980994241283896</c:v>
                </c:pt>
                <c:pt idx="108">
                  <c:v>0.67083920345114367</c:v>
                </c:pt>
                <c:pt idx="109">
                  <c:v>0.67110149701803379</c:v>
                </c:pt>
                <c:pt idx="110">
                  <c:v>0.57309635235723699</c:v>
                </c:pt>
                <c:pt idx="111">
                  <c:v>0.44646272143981092</c:v>
                </c:pt>
                <c:pt idx="112">
                  <c:v>0.26689220314144246</c:v>
                </c:pt>
                <c:pt idx="113">
                  <c:v>0.25171130510145034</c:v>
                </c:pt>
                <c:pt idx="114">
                  <c:v>0.35429186920605837</c:v>
                </c:pt>
                <c:pt idx="115">
                  <c:v>0.26721849372275064</c:v>
                </c:pt>
                <c:pt idx="116">
                  <c:v>0.5830878487107658</c:v>
                </c:pt>
                <c:pt idx="117">
                  <c:v>0.58942409597603396</c:v>
                </c:pt>
                <c:pt idx="118">
                  <c:v>0.66988578449296554</c:v>
                </c:pt>
                <c:pt idx="119">
                  <c:v>0.69918359539542019</c:v>
                </c:pt>
                <c:pt idx="120">
                  <c:v>0.70883039339280618</c:v>
                </c:pt>
                <c:pt idx="121">
                  <c:v>0.93632442147796358</c:v>
                </c:pt>
                <c:pt idx="122">
                  <c:v>1.2128909902575211</c:v>
                </c:pt>
                <c:pt idx="123">
                  <c:v>0.96609897218399232</c:v>
                </c:pt>
                <c:pt idx="124">
                  <c:v>1.0852625387466679</c:v>
                </c:pt>
                <c:pt idx="125">
                  <c:v>1.2825579717888753</c:v>
                </c:pt>
                <c:pt idx="126">
                  <c:v>1.6297793428454139</c:v>
                </c:pt>
                <c:pt idx="127">
                  <c:v>1.8392243531263719</c:v>
                </c:pt>
                <c:pt idx="128">
                  <c:v>1.1775549563290642</c:v>
                </c:pt>
                <c:pt idx="129">
                  <c:v>1.4089111510618051</c:v>
                </c:pt>
                <c:pt idx="130">
                  <c:v>1.7552504314819912</c:v>
                </c:pt>
                <c:pt idx="131">
                  <c:v>2.1711150287449921</c:v>
                </c:pt>
                <c:pt idx="132">
                  <c:v>2.147945192191226</c:v>
                </c:pt>
                <c:pt idx="133">
                  <c:v>2.0944995207699568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4AE-45AA-A4AE-569892EA2697}"/>
            </c:ext>
          </c:extLst>
        </c:ser>
        <c:ser>
          <c:idx val="8"/>
          <c:order val="8"/>
          <c:tx>
            <c:strRef>
              <c:f>XGB再投資累積報酬!$B$20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XGB再投資累積報酬!$C$11:$EF$11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XGB再投資累積報酬!$C$20:$EF$20</c:f>
              <c:numCache>
                <c:formatCode>General</c:formatCode>
                <c:ptCount val="134"/>
                <c:pt idx="0">
                  <c:v>-0.13932460396499158</c:v>
                </c:pt>
                <c:pt idx="1">
                  <c:v>0.18947493145954319</c:v>
                </c:pt>
                <c:pt idx="2">
                  <c:v>0.17103808412393784</c:v>
                </c:pt>
                <c:pt idx="3">
                  <c:v>0.27785833046109909</c:v>
                </c:pt>
                <c:pt idx="4">
                  <c:v>0.40611174710094433</c:v>
                </c:pt>
                <c:pt idx="5">
                  <c:v>0.17498634963776727</c:v>
                </c:pt>
                <c:pt idx="6">
                  <c:v>-1.0837227619710732E-2</c:v>
                </c:pt>
                <c:pt idx="7">
                  <c:v>-0.14260092294105664</c:v>
                </c:pt>
                <c:pt idx="8">
                  <c:v>-6.5341846061252484E-2</c:v>
                </c:pt>
                <c:pt idx="9">
                  <c:v>-0.15479670263791823</c:v>
                </c:pt>
                <c:pt idx="10">
                  <c:v>-0.2204844054548416</c:v>
                </c:pt>
                <c:pt idx="11">
                  <c:v>-0.29993647711882665</c:v>
                </c:pt>
                <c:pt idx="12">
                  <c:v>-0.3770236394830353</c:v>
                </c:pt>
                <c:pt idx="13">
                  <c:v>-0.35014926231155041</c:v>
                </c:pt>
                <c:pt idx="14">
                  <c:v>-0.20930988094439051</c:v>
                </c:pt>
                <c:pt idx="15">
                  <c:v>-0.1567529988437798</c:v>
                </c:pt>
                <c:pt idx="16">
                  <c:v>-0.20510569476634566</c:v>
                </c:pt>
                <c:pt idx="17">
                  <c:v>-0.28526723469085435</c:v>
                </c:pt>
                <c:pt idx="18">
                  <c:v>-0.17902243775795723</c:v>
                </c:pt>
                <c:pt idx="19">
                  <c:v>-0.26400806728602311</c:v>
                </c:pt>
                <c:pt idx="20">
                  <c:v>-0.43066877579339569</c:v>
                </c:pt>
                <c:pt idx="21">
                  <c:v>-0.34524500283170023</c:v>
                </c:pt>
                <c:pt idx="22">
                  <c:v>-0.42968550649993853</c:v>
                </c:pt>
                <c:pt idx="23">
                  <c:v>-0.41305664717188995</c:v>
                </c:pt>
                <c:pt idx="24">
                  <c:v>-0.37375375883343709</c:v>
                </c:pt>
                <c:pt idx="25">
                  <c:v>-0.41159382642147646</c:v>
                </c:pt>
                <c:pt idx="26">
                  <c:v>-0.37838221338916833</c:v>
                </c:pt>
                <c:pt idx="27">
                  <c:v>-0.45909519193593984</c:v>
                </c:pt>
                <c:pt idx="28">
                  <c:v>-0.44973150786955907</c:v>
                </c:pt>
                <c:pt idx="29">
                  <c:v>-0.57271531607530712</c:v>
                </c:pt>
                <c:pt idx="30">
                  <c:v>-0.55897245244290872</c:v>
                </c:pt>
                <c:pt idx="31">
                  <c:v>-0.54670893073251103</c:v>
                </c:pt>
                <c:pt idx="32">
                  <c:v>-0.58445871804208194</c:v>
                </c:pt>
                <c:pt idx="33">
                  <c:v>-0.5916233626939047</c:v>
                </c:pt>
                <c:pt idx="34">
                  <c:v>-0.5949918635379432</c:v>
                </c:pt>
                <c:pt idx="35">
                  <c:v>-0.60340803998476267</c:v>
                </c:pt>
                <c:pt idx="36">
                  <c:v>-0.63018983943776952</c:v>
                </c:pt>
                <c:pt idx="37">
                  <c:v>-0.61801691546592052</c:v>
                </c:pt>
                <c:pt idx="38">
                  <c:v>-0.63531505075817074</c:v>
                </c:pt>
                <c:pt idx="39">
                  <c:v>-0.58727493418164689</c:v>
                </c:pt>
                <c:pt idx="40">
                  <c:v>-0.59860526299756645</c:v>
                </c:pt>
                <c:pt idx="41">
                  <c:v>-0.60393950727441403</c:v>
                </c:pt>
                <c:pt idx="42">
                  <c:v>-0.58718942921942185</c:v>
                </c:pt>
                <c:pt idx="43">
                  <c:v>-0.58477086547939705</c:v>
                </c:pt>
                <c:pt idx="44">
                  <c:v>-0.55334118117913533</c:v>
                </c:pt>
                <c:pt idx="45">
                  <c:v>-0.57774023797446361</c:v>
                </c:pt>
                <c:pt idx="46">
                  <c:v>-0.57484131146689377</c:v>
                </c:pt>
                <c:pt idx="47">
                  <c:v>-0.66171790624119775</c:v>
                </c:pt>
                <c:pt idx="48">
                  <c:v>-0.68947653516211793</c:v>
                </c:pt>
                <c:pt idx="49">
                  <c:v>-0.75586720688199027</c:v>
                </c:pt>
                <c:pt idx="50">
                  <c:v>-0.76485101654396626</c:v>
                </c:pt>
                <c:pt idx="51">
                  <c:v>-0.71048136738465661</c:v>
                </c:pt>
                <c:pt idx="52">
                  <c:v>-0.64095616752610651</c:v>
                </c:pt>
                <c:pt idx="53">
                  <c:v>-0.66013981243355313</c:v>
                </c:pt>
                <c:pt idx="54">
                  <c:v>-0.67321315732354625</c:v>
                </c:pt>
                <c:pt idx="55">
                  <c:v>-0.69125731379387667</c:v>
                </c:pt>
                <c:pt idx="56">
                  <c:v>-0.70722770640882227</c:v>
                </c:pt>
                <c:pt idx="57">
                  <c:v>-0.72242237686716249</c:v>
                </c:pt>
                <c:pt idx="58">
                  <c:v>-0.68585283877065883</c:v>
                </c:pt>
                <c:pt idx="59">
                  <c:v>-0.67905798902948677</c:v>
                </c:pt>
                <c:pt idx="60">
                  <c:v>-0.64129904191838927</c:v>
                </c:pt>
                <c:pt idx="61">
                  <c:v>-0.63420273836676833</c:v>
                </c:pt>
                <c:pt idx="62">
                  <c:v>-0.6541591409708134</c:v>
                </c:pt>
                <c:pt idx="63">
                  <c:v>-0.66060493232665785</c:v>
                </c:pt>
                <c:pt idx="64">
                  <c:v>-0.6631879137435629</c:v>
                </c:pt>
                <c:pt idx="65">
                  <c:v>-0.64284193064981299</c:v>
                </c:pt>
                <c:pt idx="66">
                  <c:v>-0.63732322882351333</c:v>
                </c:pt>
                <c:pt idx="67">
                  <c:v>-0.57163264374275069</c:v>
                </c:pt>
                <c:pt idx="68">
                  <c:v>-0.56931624461168551</c:v>
                </c:pt>
                <c:pt idx="69">
                  <c:v>-0.54671929158033494</c:v>
                </c:pt>
                <c:pt idx="70">
                  <c:v>-0.50195557817099268</c:v>
                </c:pt>
                <c:pt idx="71">
                  <c:v>-0.44422309974827923</c:v>
                </c:pt>
                <c:pt idx="72">
                  <c:v>-0.51953267701464556</c:v>
                </c:pt>
                <c:pt idx="73">
                  <c:v>-0.5047853875647621</c:v>
                </c:pt>
                <c:pt idx="74">
                  <c:v>-0.52617047920732563</c:v>
                </c:pt>
                <c:pt idx="75">
                  <c:v>-0.48339722298539367</c:v>
                </c:pt>
                <c:pt idx="76">
                  <c:v>-0.4574550711738854</c:v>
                </c:pt>
                <c:pt idx="77">
                  <c:v>-0.38882582556973422</c:v>
                </c:pt>
                <c:pt idx="78">
                  <c:v>-0.38093242097217317</c:v>
                </c:pt>
                <c:pt idx="79">
                  <c:v>-0.32146191212591047</c:v>
                </c:pt>
                <c:pt idx="80">
                  <c:v>-0.26325815490691684</c:v>
                </c:pt>
                <c:pt idx="81">
                  <c:v>-0.18532200039868152</c:v>
                </c:pt>
                <c:pt idx="82">
                  <c:v>7.6954230942785529E-2</c:v>
                </c:pt>
                <c:pt idx="83">
                  <c:v>0.15434849736220424</c:v>
                </c:pt>
                <c:pt idx="84">
                  <c:v>2.5681374195534179E-3</c:v>
                </c:pt>
                <c:pt idx="85">
                  <c:v>0.12632546901148878</c:v>
                </c:pt>
                <c:pt idx="86">
                  <c:v>0.22879675440096592</c:v>
                </c:pt>
                <c:pt idx="87">
                  <c:v>0.11552020646469763</c:v>
                </c:pt>
                <c:pt idx="88">
                  <c:v>0.20415356013461783</c:v>
                </c:pt>
                <c:pt idx="89">
                  <c:v>-4.2567670786825773E-2</c:v>
                </c:pt>
                <c:pt idx="90">
                  <c:v>0.1762230447528863</c:v>
                </c:pt>
                <c:pt idx="91">
                  <c:v>-4.96484840080198E-2</c:v>
                </c:pt>
                <c:pt idx="92">
                  <c:v>-5.5456422280673712E-2</c:v>
                </c:pt>
                <c:pt idx="93">
                  <c:v>-0.12451790145563069</c:v>
                </c:pt>
                <c:pt idx="94">
                  <c:v>-0.10500074562494488</c:v>
                </c:pt>
                <c:pt idx="95">
                  <c:v>-0.18597494165101403</c:v>
                </c:pt>
                <c:pt idx="96">
                  <c:v>-0.1087502905951846</c:v>
                </c:pt>
                <c:pt idx="97">
                  <c:v>-0.19120075992546004</c:v>
                </c:pt>
                <c:pt idx="98">
                  <c:v>-0.19925078965260745</c:v>
                </c:pt>
                <c:pt idx="99">
                  <c:v>-0.19173484245394357</c:v>
                </c:pt>
                <c:pt idx="100">
                  <c:v>-0.18164790936266995</c:v>
                </c:pt>
                <c:pt idx="101">
                  <c:v>-0.30862476605724387</c:v>
                </c:pt>
                <c:pt idx="102">
                  <c:v>-0.27580387482137736</c:v>
                </c:pt>
                <c:pt idx="103">
                  <c:v>-0.23459515290309696</c:v>
                </c:pt>
                <c:pt idx="104">
                  <c:v>-0.26316948480175861</c:v>
                </c:pt>
                <c:pt idx="105">
                  <c:v>-0.15403839082708337</c:v>
                </c:pt>
                <c:pt idx="106">
                  <c:v>-0.16285222932314114</c:v>
                </c:pt>
                <c:pt idx="107">
                  <c:v>-0.36843412780701223</c:v>
                </c:pt>
                <c:pt idx="108">
                  <c:v>-0.36578015499141914</c:v>
                </c:pt>
                <c:pt idx="109">
                  <c:v>-0.35881933105716823</c:v>
                </c:pt>
                <c:pt idx="110">
                  <c:v>-0.40642592853999848</c:v>
                </c:pt>
                <c:pt idx="111">
                  <c:v>-0.45466986031238921</c:v>
                </c:pt>
                <c:pt idx="112">
                  <c:v>-0.50099782688138506</c:v>
                </c:pt>
                <c:pt idx="113">
                  <c:v>-0.5107110904754264</c:v>
                </c:pt>
                <c:pt idx="114">
                  <c:v>-0.51525347759705975</c:v>
                </c:pt>
                <c:pt idx="115">
                  <c:v>-0.54650082129931854</c:v>
                </c:pt>
                <c:pt idx="116">
                  <c:v>-0.42949741486700077</c:v>
                </c:pt>
                <c:pt idx="117">
                  <c:v>-0.41713390400691475</c:v>
                </c:pt>
                <c:pt idx="118">
                  <c:v>-0.39467006334680987</c:v>
                </c:pt>
                <c:pt idx="119">
                  <c:v>-0.36103914743162424</c:v>
                </c:pt>
                <c:pt idx="120">
                  <c:v>-0.3562528860864721</c:v>
                </c:pt>
                <c:pt idx="121">
                  <c:v>-0.27035385609376072</c:v>
                </c:pt>
                <c:pt idx="122">
                  <c:v>-0.14480429553560892</c:v>
                </c:pt>
                <c:pt idx="123">
                  <c:v>-0.25541998744412076</c:v>
                </c:pt>
                <c:pt idx="124">
                  <c:v>-0.20399913991393193</c:v>
                </c:pt>
                <c:pt idx="125">
                  <c:v>-0.12610948606250105</c:v>
                </c:pt>
                <c:pt idx="126">
                  <c:v>3.7659195503277454E-2</c:v>
                </c:pt>
                <c:pt idx="127">
                  <c:v>1.886186789999833E-2</c:v>
                </c:pt>
                <c:pt idx="128">
                  <c:v>-0.28036765774525785</c:v>
                </c:pt>
                <c:pt idx="129">
                  <c:v>-0.2038619121413745</c:v>
                </c:pt>
                <c:pt idx="130">
                  <c:v>-9.9562929756633722E-2</c:v>
                </c:pt>
                <c:pt idx="131">
                  <c:v>5.9741371173338109E-2</c:v>
                </c:pt>
                <c:pt idx="132">
                  <c:v>5.7896382903922738E-2</c:v>
                </c:pt>
                <c:pt idx="133">
                  <c:v>3.6440745625786919E-2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4AE-45AA-A4AE-569892EA2697}"/>
            </c:ext>
          </c:extLst>
        </c:ser>
        <c:ser>
          <c:idx val="9"/>
          <c:order val="9"/>
          <c:tx>
            <c:strRef>
              <c:f>XGB再投資累積報酬!$B$21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XGB再投資累積報酬!$C$11:$EF$11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XGB再投資累積報酬!$C$21:$EF$21</c:f>
              <c:numCache>
                <c:formatCode>General</c:formatCode>
                <c:ptCount val="134"/>
                <c:pt idx="0">
                  <c:v>-0.19764916434148616</c:v>
                </c:pt>
                <c:pt idx="1">
                  <c:v>-9.6241713706486598E-2</c:v>
                </c:pt>
                <c:pt idx="2">
                  <c:v>-9.5989246776963633E-2</c:v>
                </c:pt>
                <c:pt idx="3">
                  <c:v>-4.979657191717024E-2</c:v>
                </c:pt>
                <c:pt idx="4">
                  <c:v>-4.2863756551340226E-2</c:v>
                </c:pt>
                <c:pt idx="5">
                  <c:v>-0.2330161581307425</c:v>
                </c:pt>
                <c:pt idx="6">
                  <c:v>-0.34595883018914553</c:v>
                </c:pt>
                <c:pt idx="7">
                  <c:v>-0.435394326501372</c:v>
                </c:pt>
                <c:pt idx="8">
                  <c:v>-0.38515965611499936</c:v>
                </c:pt>
                <c:pt idx="9">
                  <c:v>-0.45259510367932998</c:v>
                </c:pt>
                <c:pt idx="10">
                  <c:v>-0.50716293819871994</c:v>
                </c:pt>
                <c:pt idx="11">
                  <c:v>-0.55624330578178371</c:v>
                </c:pt>
                <c:pt idx="12">
                  <c:v>-0.61804862585281883</c:v>
                </c:pt>
                <c:pt idx="13">
                  <c:v>-0.60281192748930401</c:v>
                </c:pt>
                <c:pt idx="14">
                  <c:v>-0.50061143512222372</c:v>
                </c:pt>
                <c:pt idx="15">
                  <c:v>-0.45821073356596553</c:v>
                </c:pt>
                <c:pt idx="16">
                  <c:v>-0.47802033253106102</c:v>
                </c:pt>
                <c:pt idx="17">
                  <c:v>-0.54646249493210841</c:v>
                </c:pt>
                <c:pt idx="18">
                  <c:v>-0.50733199666726614</c:v>
                </c:pt>
                <c:pt idx="19">
                  <c:v>-0.55924480372462138</c:v>
                </c:pt>
                <c:pt idx="20">
                  <c:v>-0.70157371354303621</c:v>
                </c:pt>
                <c:pt idx="21">
                  <c:v>-0.63956035300572889</c:v>
                </c:pt>
                <c:pt idx="22">
                  <c:v>-0.6729836417509516</c:v>
                </c:pt>
                <c:pt idx="23">
                  <c:v>-0.66008032326446564</c:v>
                </c:pt>
                <c:pt idx="24">
                  <c:v>-0.65055119989783039</c:v>
                </c:pt>
                <c:pt idx="25">
                  <c:v>-0.67336587164292272</c:v>
                </c:pt>
                <c:pt idx="26">
                  <c:v>-0.64909658687735949</c:v>
                </c:pt>
                <c:pt idx="27">
                  <c:v>-0.69430160174747058</c:v>
                </c:pt>
                <c:pt idx="28">
                  <c:v>-0.69114935887489271</c:v>
                </c:pt>
                <c:pt idx="29">
                  <c:v>-0.78230485220833368</c:v>
                </c:pt>
                <c:pt idx="30">
                  <c:v>-0.7799000670610301</c:v>
                </c:pt>
                <c:pt idx="31">
                  <c:v>-0.77034632518267976</c:v>
                </c:pt>
                <c:pt idx="32">
                  <c:v>-0.78590069522555961</c:v>
                </c:pt>
                <c:pt idx="33">
                  <c:v>-0.78701099830091614</c:v>
                </c:pt>
                <c:pt idx="34">
                  <c:v>-0.78310938719416601</c:v>
                </c:pt>
                <c:pt idx="35">
                  <c:v>-0.7912192495356537</c:v>
                </c:pt>
                <c:pt idx="36">
                  <c:v>-0.77803981475645057</c:v>
                </c:pt>
                <c:pt idx="37">
                  <c:v>-0.77389015087904922</c:v>
                </c:pt>
                <c:pt idx="38">
                  <c:v>-0.78468155899713909</c:v>
                </c:pt>
                <c:pt idx="39">
                  <c:v>-0.7690634049657239</c:v>
                </c:pt>
                <c:pt idx="40">
                  <c:v>-0.78681446343032302</c:v>
                </c:pt>
                <c:pt idx="41">
                  <c:v>-0.7765840857562768</c:v>
                </c:pt>
                <c:pt idx="42">
                  <c:v>-0.76643951037106606</c:v>
                </c:pt>
                <c:pt idx="43">
                  <c:v>-0.76702175594955979</c:v>
                </c:pt>
                <c:pt idx="44">
                  <c:v>-0.75588315195190448</c:v>
                </c:pt>
                <c:pt idx="45">
                  <c:v>-0.76943670978184397</c:v>
                </c:pt>
                <c:pt idx="46">
                  <c:v>-0.76717925770100281</c:v>
                </c:pt>
                <c:pt idx="47">
                  <c:v>-0.81786859450509708</c:v>
                </c:pt>
                <c:pt idx="48">
                  <c:v>-0.82983868841707886</c:v>
                </c:pt>
                <c:pt idx="49">
                  <c:v>-0.87321472444004355</c:v>
                </c:pt>
                <c:pt idx="50">
                  <c:v>-0.88222055916392106</c:v>
                </c:pt>
                <c:pt idx="51">
                  <c:v>-0.84753302546157294</c:v>
                </c:pt>
                <c:pt idx="52">
                  <c:v>-0.82245822572740435</c:v>
                </c:pt>
                <c:pt idx="53">
                  <c:v>-0.82631991260218651</c:v>
                </c:pt>
                <c:pt idx="54">
                  <c:v>-0.83336929773877999</c:v>
                </c:pt>
                <c:pt idx="55">
                  <c:v>-0.8437487157469834</c:v>
                </c:pt>
                <c:pt idx="56">
                  <c:v>-0.85601835713395835</c:v>
                </c:pt>
                <c:pt idx="57">
                  <c:v>-0.86579711957837446</c:v>
                </c:pt>
                <c:pt idx="58">
                  <c:v>-0.84352352170882028</c:v>
                </c:pt>
                <c:pt idx="59">
                  <c:v>-0.83983395873036959</c:v>
                </c:pt>
                <c:pt idx="60">
                  <c:v>-0.82818618533227095</c:v>
                </c:pt>
                <c:pt idx="61">
                  <c:v>-0.82754140270492438</c:v>
                </c:pt>
                <c:pt idx="62">
                  <c:v>-0.84391985691168458</c:v>
                </c:pt>
                <c:pt idx="63">
                  <c:v>-0.84794528342931552</c:v>
                </c:pt>
                <c:pt idx="64">
                  <c:v>-0.84566383884436624</c:v>
                </c:pt>
                <c:pt idx="65">
                  <c:v>-0.82953430100405656</c:v>
                </c:pt>
                <c:pt idx="66">
                  <c:v>-0.82023672150005456</c:v>
                </c:pt>
                <c:pt idx="67">
                  <c:v>-0.79469928843718041</c:v>
                </c:pt>
                <c:pt idx="68">
                  <c:v>-0.79349619080066169</c:v>
                </c:pt>
                <c:pt idx="69">
                  <c:v>-0.78093647578729808</c:v>
                </c:pt>
                <c:pt idx="70">
                  <c:v>-0.75125414325972628</c:v>
                </c:pt>
                <c:pt idx="71">
                  <c:v>-0.71589666089896276</c:v>
                </c:pt>
                <c:pt idx="72">
                  <c:v>-0.75756871052506258</c:v>
                </c:pt>
                <c:pt idx="73">
                  <c:v>-0.75829377870076964</c:v>
                </c:pt>
                <c:pt idx="74">
                  <c:v>-0.76189916028422577</c:v>
                </c:pt>
                <c:pt idx="75">
                  <c:v>-0.75055057693251026</c:v>
                </c:pt>
                <c:pt idx="76">
                  <c:v>-0.72683805600211437</c:v>
                </c:pt>
                <c:pt idx="77">
                  <c:v>-0.67005592425077198</c:v>
                </c:pt>
                <c:pt idx="78">
                  <c:v>-0.67270173070618122</c:v>
                </c:pt>
                <c:pt idx="79">
                  <c:v>-0.64507004857869243</c:v>
                </c:pt>
                <c:pt idx="80">
                  <c:v>-0.62323657437304503</c:v>
                </c:pt>
                <c:pt idx="81">
                  <c:v>-0.58008730690756871</c:v>
                </c:pt>
                <c:pt idx="82">
                  <c:v>-0.44564521065953167</c:v>
                </c:pt>
                <c:pt idx="83">
                  <c:v>-0.40124121404322444</c:v>
                </c:pt>
                <c:pt idx="84">
                  <c:v>-0.47506418845715048</c:v>
                </c:pt>
                <c:pt idx="85">
                  <c:v>-0.43011511233709898</c:v>
                </c:pt>
                <c:pt idx="86">
                  <c:v>-0.35771092578628627</c:v>
                </c:pt>
                <c:pt idx="87">
                  <c:v>-0.44370728266345127</c:v>
                </c:pt>
                <c:pt idx="88">
                  <c:v>-0.40866399405972276</c:v>
                </c:pt>
                <c:pt idx="89">
                  <c:v>-0.45647440236516512</c:v>
                </c:pt>
                <c:pt idx="90">
                  <c:v>-0.32722837370360547</c:v>
                </c:pt>
                <c:pt idx="91">
                  <c:v>-0.47705465583674489</c:v>
                </c:pt>
                <c:pt idx="92">
                  <c:v>-0.47877414809556285</c:v>
                </c:pt>
                <c:pt idx="93">
                  <c:v>-0.52611410975912687</c:v>
                </c:pt>
                <c:pt idx="94">
                  <c:v>-0.51146736518103786</c:v>
                </c:pt>
                <c:pt idx="95">
                  <c:v>-0.55167011918338993</c:v>
                </c:pt>
                <c:pt idx="96">
                  <c:v>-0.5235716894222493</c:v>
                </c:pt>
                <c:pt idx="97">
                  <c:v>-0.5703691613416304</c:v>
                </c:pt>
                <c:pt idx="98">
                  <c:v>-0.59829749328539883</c:v>
                </c:pt>
                <c:pt idx="99">
                  <c:v>-0.59291647773148592</c:v>
                </c:pt>
                <c:pt idx="100">
                  <c:v>-0.58946362932619345</c:v>
                </c:pt>
                <c:pt idx="101">
                  <c:v>-0.6869460533165499</c:v>
                </c:pt>
                <c:pt idx="102">
                  <c:v>-0.68731929390578861</c:v>
                </c:pt>
                <c:pt idx="103">
                  <c:v>-0.67117732953221476</c:v>
                </c:pt>
                <c:pt idx="104">
                  <c:v>-0.72178471534348376</c:v>
                </c:pt>
                <c:pt idx="105">
                  <c:v>-0.75553854176236879</c:v>
                </c:pt>
                <c:pt idx="106">
                  <c:v>-0.7626224816205629</c:v>
                </c:pt>
                <c:pt idx="107">
                  <c:v>-0.83410877152908869</c:v>
                </c:pt>
                <c:pt idx="108">
                  <c:v>-0.83541041683587836</c:v>
                </c:pt>
                <c:pt idx="109">
                  <c:v>-0.83772731480692253</c:v>
                </c:pt>
                <c:pt idx="110">
                  <c:v>-0.85235606799995833</c:v>
                </c:pt>
                <c:pt idx="111">
                  <c:v>-0.86317878036390394</c:v>
                </c:pt>
                <c:pt idx="112">
                  <c:v>-0.88226571085340322</c:v>
                </c:pt>
                <c:pt idx="113">
                  <c:v>-0.88376529149364125</c:v>
                </c:pt>
                <c:pt idx="114">
                  <c:v>-0.88029753129348165</c:v>
                </c:pt>
                <c:pt idx="115">
                  <c:v>-0.88590856480707947</c:v>
                </c:pt>
                <c:pt idx="116">
                  <c:v>-0.84807278669003217</c:v>
                </c:pt>
                <c:pt idx="117">
                  <c:v>-0.84243497547367552</c:v>
                </c:pt>
                <c:pt idx="118">
                  <c:v>-0.83798911254000363</c:v>
                </c:pt>
                <c:pt idx="119">
                  <c:v>-0.82931229709173504</c:v>
                </c:pt>
                <c:pt idx="120">
                  <c:v>-0.82902689109187655</c:v>
                </c:pt>
                <c:pt idx="121">
                  <c:v>-0.79986387066778919</c:v>
                </c:pt>
                <c:pt idx="122">
                  <c:v>-0.79424198795555023</c:v>
                </c:pt>
                <c:pt idx="123">
                  <c:v>-0.82310489409388954</c:v>
                </c:pt>
                <c:pt idx="124">
                  <c:v>-0.80041847378431685</c:v>
                </c:pt>
                <c:pt idx="125">
                  <c:v>-0.77710158563702381</c:v>
                </c:pt>
                <c:pt idx="126">
                  <c:v>-0.72680191013805473</c:v>
                </c:pt>
                <c:pt idx="127">
                  <c:v>-0.77594779365661115</c:v>
                </c:pt>
                <c:pt idx="128">
                  <c:v>-0.83555841394153152</c:v>
                </c:pt>
                <c:pt idx="129">
                  <c:v>-0.81857232838282767</c:v>
                </c:pt>
                <c:pt idx="130">
                  <c:v>-0.79315539689826098</c:v>
                </c:pt>
                <c:pt idx="131">
                  <c:v>-0.78188260258742281</c:v>
                </c:pt>
                <c:pt idx="132">
                  <c:v>-0.77723439165591024</c:v>
                </c:pt>
                <c:pt idx="133">
                  <c:v>-0.7730527996021801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4AE-45AA-A4AE-569892EA2697}"/>
            </c:ext>
          </c:extLst>
        </c:ser>
        <c:ser>
          <c:idx val="10"/>
          <c:order val="10"/>
          <c:tx>
            <c:strRef>
              <c:f>XGB再投資累積報酬!$B$22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XGB再投資累積報酬!$C$11:$EF$11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XGB再投資累積報酬!$C$22:$EF$22</c:f>
              <c:numCache>
                <c:formatCode>General</c:formatCode>
                <c:ptCount val="134"/>
                <c:pt idx="0">
                  <c:v>6.4235717628454703E-2</c:v>
                </c:pt>
                <c:pt idx="1">
                  <c:v>0.21581252499432435</c:v>
                </c:pt>
                <c:pt idx="2">
                  <c:v>0.2656943122702824</c:v>
                </c:pt>
                <c:pt idx="3">
                  <c:v>0.38901596629637347</c:v>
                </c:pt>
                <c:pt idx="4">
                  <c:v>0.43479074334583467</c:v>
                </c:pt>
                <c:pt idx="5">
                  <c:v>0.178322667755759</c:v>
                </c:pt>
                <c:pt idx="6">
                  <c:v>3.2807867011710901E-2</c:v>
                </c:pt>
                <c:pt idx="7">
                  <c:v>-7.4865970778207003E-2</c:v>
                </c:pt>
                <c:pt idx="8">
                  <c:v>6.6944836983796163E-2</c:v>
                </c:pt>
                <c:pt idx="9">
                  <c:v>-0.11569836453321058</c:v>
                </c:pt>
                <c:pt idx="10">
                  <c:v>-0.18122516769221308</c:v>
                </c:pt>
                <c:pt idx="11">
                  <c:v>-0.29035182042788332</c:v>
                </c:pt>
                <c:pt idx="12">
                  <c:v>-0.33750250049526898</c:v>
                </c:pt>
                <c:pt idx="13">
                  <c:v>-0.30910885901888585</c:v>
                </c:pt>
                <c:pt idx="14">
                  <c:v>-0.11788615504135991</c:v>
                </c:pt>
                <c:pt idx="15">
                  <c:v>-5.9050667698212322E-2</c:v>
                </c:pt>
                <c:pt idx="16">
                  <c:v>-9.5968008862953535E-2</c:v>
                </c:pt>
                <c:pt idx="17">
                  <c:v>-0.19075482941022448</c:v>
                </c:pt>
                <c:pt idx="18">
                  <c:v>-0.10126038705633778</c:v>
                </c:pt>
                <c:pt idx="19">
                  <c:v>-0.15251023574600653</c:v>
                </c:pt>
                <c:pt idx="20">
                  <c:v>-0.44590567098853506</c:v>
                </c:pt>
                <c:pt idx="21">
                  <c:v>-0.30339130677272141</c:v>
                </c:pt>
                <c:pt idx="22">
                  <c:v>-0.33678556570796503</c:v>
                </c:pt>
                <c:pt idx="23">
                  <c:v>-0.320957209246029</c:v>
                </c:pt>
                <c:pt idx="24">
                  <c:v>-0.24074825761873009</c:v>
                </c:pt>
                <c:pt idx="25">
                  <c:v>-0.26980790012630362</c:v>
                </c:pt>
                <c:pt idx="26">
                  <c:v>-0.21546672596703176</c:v>
                </c:pt>
                <c:pt idx="27">
                  <c:v>-0.22611503038037029</c:v>
                </c:pt>
                <c:pt idx="28">
                  <c:v>-0.29200954474093221</c:v>
                </c:pt>
                <c:pt idx="29">
                  <c:v>-0.59638651307517609</c:v>
                </c:pt>
                <c:pt idx="30">
                  <c:v>-0.59202260346441105</c:v>
                </c:pt>
                <c:pt idx="31">
                  <c:v>-0.59222208237809859</c:v>
                </c:pt>
                <c:pt idx="32">
                  <c:v>-0.61970341921493899</c:v>
                </c:pt>
                <c:pt idx="33">
                  <c:v>-0.62467828477102327</c:v>
                </c:pt>
                <c:pt idx="34">
                  <c:v>-0.59518709248525958</c:v>
                </c:pt>
                <c:pt idx="35">
                  <c:v>-0.59565049243620283</c:v>
                </c:pt>
                <c:pt idx="36">
                  <c:v>-0.57285579261974751</c:v>
                </c:pt>
                <c:pt idx="37">
                  <c:v>-0.55779292702083472</c:v>
                </c:pt>
                <c:pt idx="38">
                  <c:v>-0.59083347800995667</c:v>
                </c:pt>
                <c:pt idx="39">
                  <c:v>-0.56524569559166826</c:v>
                </c:pt>
                <c:pt idx="40">
                  <c:v>-0.59977654204792841</c:v>
                </c:pt>
                <c:pt idx="41">
                  <c:v>-0.57259156869956929</c:v>
                </c:pt>
                <c:pt idx="42">
                  <c:v>-0.60415298982593679</c:v>
                </c:pt>
                <c:pt idx="43">
                  <c:v>-0.6141031435069646</c:v>
                </c:pt>
                <c:pt idx="44">
                  <c:v>-0.60117542442346383</c:v>
                </c:pt>
                <c:pt idx="45">
                  <c:v>-0.62503038922510601</c:v>
                </c:pt>
                <c:pt idx="46">
                  <c:v>-0.63633549396115896</c:v>
                </c:pt>
                <c:pt idx="47">
                  <c:v>-0.63274423932035662</c:v>
                </c:pt>
                <c:pt idx="48">
                  <c:v>-0.66890287390393099</c:v>
                </c:pt>
                <c:pt idx="49">
                  <c:v>-0.72019106972748703</c:v>
                </c:pt>
                <c:pt idx="50">
                  <c:v>-0.73294991629570583</c:v>
                </c:pt>
                <c:pt idx="51">
                  <c:v>-0.63426140209340787</c:v>
                </c:pt>
                <c:pt idx="52">
                  <c:v>-0.5627134102102842</c:v>
                </c:pt>
                <c:pt idx="53">
                  <c:v>-0.57240988240485458</c:v>
                </c:pt>
                <c:pt idx="54">
                  <c:v>-0.60169255219255846</c:v>
                </c:pt>
                <c:pt idx="55">
                  <c:v>-0.62355406025155946</c:v>
                </c:pt>
                <c:pt idx="56">
                  <c:v>-0.65976007703338868</c:v>
                </c:pt>
                <c:pt idx="57">
                  <c:v>-0.66247975493813149</c:v>
                </c:pt>
                <c:pt idx="58">
                  <c:v>-0.62498506313929059</c:v>
                </c:pt>
                <c:pt idx="59">
                  <c:v>-0.60436058598397757</c:v>
                </c:pt>
                <c:pt idx="60">
                  <c:v>-0.58524517232625417</c:v>
                </c:pt>
                <c:pt idx="61">
                  <c:v>-0.57783604097006624</c:v>
                </c:pt>
                <c:pt idx="62">
                  <c:v>-0.62889239622359194</c:v>
                </c:pt>
                <c:pt idx="63">
                  <c:v>-0.65967128125807295</c:v>
                </c:pt>
                <c:pt idx="64">
                  <c:v>-0.6466196534659161</c:v>
                </c:pt>
                <c:pt idx="65">
                  <c:v>-0.62017424081903583</c:v>
                </c:pt>
                <c:pt idx="66">
                  <c:v>-0.60960365294664154</c:v>
                </c:pt>
                <c:pt idx="67">
                  <c:v>-0.56800037054922359</c:v>
                </c:pt>
                <c:pt idx="68">
                  <c:v>-0.57507340646907901</c:v>
                </c:pt>
                <c:pt idx="69">
                  <c:v>-0.61277552598387119</c:v>
                </c:pt>
                <c:pt idx="70">
                  <c:v>-0.53031655202369654</c:v>
                </c:pt>
                <c:pt idx="71">
                  <c:v>-0.45585107241212763</c:v>
                </c:pt>
                <c:pt idx="72">
                  <c:v>-0.55089674824281964</c:v>
                </c:pt>
                <c:pt idx="73">
                  <c:v>-0.53444275224647764</c:v>
                </c:pt>
                <c:pt idx="74">
                  <c:v>-0.51938063656224176</c:v>
                </c:pt>
                <c:pt idx="75">
                  <c:v>-0.49666765363430876</c:v>
                </c:pt>
                <c:pt idx="76">
                  <c:v>-0.42414816536478384</c:v>
                </c:pt>
                <c:pt idx="77">
                  <c:v>-0.27745609760777157</c:v>
                </c:pt>
                <c:pt idx="78">
                  <c:v>-0.36784922659116726</c:v>
                </c:pt>
                <c:pt idx="79">
                  <c:v>-0.30746710584417525</c:v>
                </c:pt>
                <c:pt idx="80">
                  <c:v>-0.26117810634051308</c:v>
                </c:pt>
                <c:pt idx="81">
                  <c:v>-0.18672676033186275</c:v>
                </c:pt>
                <c:pt idx="82">
                  <c:v>0.1742045662947973</c:v>
                </c:pt>
                <c:pt idx="83">
                  <c:v>0.31031691685040763</c:v>
                </c:pt>
                <c:pt idx="84">
                  <c:v>8.3554748061895889E-3</c:v>
                </c:pt>
                <c:pt idx="85">
                  <c:v>0.1125987647460045</c:v>
                </c:pt>
                <c:pt idx="86">
                  <c:v>0.1528340550570606</c:v>
                </c:pt>
                <c:pt idx="87">
                  <c:v>-0.12459753380862038</c:v>
                </c:pt>
                <c:pt idx="88">
                  <c:v>-8.3942723661088126E-2</c:v>
                </c:pt>
                <c:pt idx="89">
                  <c:v>-0.22391986350816417</c:v>
                </c:pt>
                <c:pt idx="90">
                  <c:v>-8.0123267223082606E-2</c:v>
                </c:pt>
                <c:pt idx="91">
                  <c:v>-0.31874716306247142</c:v>
                </c:pt>
                <c:pt idx="92">
                  <c:v>-0.31034474090670094</c:v>
                </c:pt>
                <c:pt idx="93">
                  <c:v>-0.42196573514367208</c:v>
                </c:pt>
                <c:pt idx="94">
                  <c:v>-0.40783881653582577</c:v>
                </c:pt>
                <c:pt idx="95">
                  <c:v>-0.44232185529808887</c:v>
                </c:pt>
                <c:pt idx="96">
                  <c:v>-0.37527125723561616</c:v>
                </c:pt>
                <c:pt idx="97">
                  <c:v>-0.44538687253812015</c:v>
                </c:pt>
                <c:pt idx="98">
                  <c:v>-0.46560321614524991</c:v>
                </c:pt>
                <c:pt idx="99">
                  <c:v>-0.44033402200063831</c:v>
                </c:pt>
                <c:pt idx="100">
                  <c:v>-0.43586294801104075</c:v>
                </c:pt>
                <c:pt idx="101">
                  <c:v>-0.5841861351003641</c:v>
                </c:pt>
                <c:pt idx="102">
                  <c:v>-0.58252630849099307</c:v>
                </c:pt>
                <c:pt idx="103">
                  <c:v>-0.55815273037206115</c:v>
                </c:pt>
                <c:pt idx="104">
                  <c:v>-0.62052708803556178</c:v>
                </c:pt>
                <c:pt idx="105">
                  <c:v>-0.67664889380123083</c:v>
                </c:pt>
                <c:pt idx="106">
                  <c:v>-0.67090730875165849</c:v>
                </c:pt>
                <c:pt idx="107">
                  <c:v>-0.79914407901643048</c:v>
                </c:pt>
                <c:pt idx="108">
                  <c:v>-0.80556846430214135</c:v>
                </c:pt>
                <c:pt idx="109">
                  <c:v>-0.8082798793764383</c:v>
                </c:pt>
                <c:pt idx="110">
                  <c:v>-0.82382944402473446</c:v>
                </c:pt>
                <c:pt idx="111">
                  <c:v>-0.83136547817834971</c:v>
                </c:pt>
                <c:pt idx="112">
                  <c:v>-0.86157377498552257</c:v>
                </c:pt>
                <c:pt idx="113">
                  <c:v>-0.8620185842300182</c:v>
                </c:pt>
                <c:pt idx="114">
                  <c:v>-0.85326144865446041</c:v>
                </c:pt>
                <c:pt idx="115">
                  <c:v>-0.8654662379410597</c:v>
                </c:pt>
                <c:pt idx="116">
                  <c:v>-0.85527990435983048</c:v>
                </c:pt>
                <c:pt idx="117">
                  <c:v>-0.84006995837381326</c:v>
                </c:pt>
                <c:pt idx="118">
                  <c:v>-0.83177755343559634</c:v>
                </c:pt>
                <c:pt idx="119">
                  <c:v>-0.81979400882038644</c:v>
                </c:pt>
                <c:pt idx="120">
                  <c:v>-0.8132441946060347</c:v>
                </c:pt>
                <c:pt idx="121">
                  <c:v>-0.80234568439046083</c:v>
                </c:pt>
                <c:pt idx="122">
                  <c:v>-0.79098147226390247</c:v>
                </c:pt>
                <c:pt idx="123">
                  <c:v>-0.81725617088988811</c:v>
                </c:pt>
                <c:pt idx="124">
                  <c:v>-0.80293093261678783</c:v>
                </c:pt>
                <c:pt idx="125">
                  <c:v>-0.77054221280947166</c:v>
                </c:pt>
                <c:pt idx="126">
                  <c:v>-0.6976309976566023</c:v>
                </c:pt>
                <c:pt idx="127">
                  <c:v>-0.74771124048976589</c:v>
                </c:pt>
                <c:pt idx="128">
                  <c:v>-0.78312152249053835</c:v>
                </c:pt>
                <c:pt idx="129">
                  <c:v>-0.75212371584143056</c:v>
                </c:pt>
                <c:pt idx="130">
                  <c:v>-0.75917054406801721</c:v>
                </c:pt>
                <c:pt idx="131">
                  <c:v>-0.74052707683177954</c:v>
                </c:pt>
                <c:pt idx="132">
                  <c:v>-0.72816665357126276</c:v>
                </c:pt>
                <c:pt idx="133">
                  <c:v>-0.71870950447683501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4AE-45AA-A4AE-569892EA2697}"/>
            </c:ext>
          </c:extLst>
        </c:ser>
        <c:ser>
          <c:idx val="11"/>
          <c:order val="11"/>
          <c:tx>
            <c:strRef>
              <c:f>XGB再投資累積報酬!$B$23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XGB再投資累積報酬!$C$11:$EF$11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XGB再投資累積報酬!$C$23:$EF$23</c:f>
              <c:numCache>
                <c:formatCode>General</c:formatCode>
                <c:ptCount val="134"/>
                <c:pt idx="0">
                  <c:v>-3.4987009286289172E-2</c:v>
                </c:pt>
                <c:pt idx="1">
                  <c:v>0.21021567704895006</c:v>
                </c:pt>
                <c:pt idx="2">
                  <c:v>0.30817195301270184</c:v>
                </c:pt>
                <c:pt idx="3">
                  <c:v>0.49349401376049506</c:v>
                </c:pt>
                <c:pt idx="4">
                  <c:v>0.57149050477382768</c:v>
                </c:pt>
                <c:pt idx="5">
                  <c:v>0.2513491182934271</c:v>
                </c:pt>
                <c:pt idx="6">
                  <c:v>6.5959207931066688E-2</c:v>
                </c:pt>
                <c:pt idx="7">
                  <c:v>-5.6495527299647019E-2</c:v>
                </c:pt>
                <c:pt idx="8">
                  <c:v>0.13644120837205898</c:v>
                </c:pt>
                <c:pt idx="9">
                  <c:v>7.5023914089186183E-2</c:v>
                </c:pt>
                <c:pt idx="10">
                  <c:v>-0.20281592659070447</c:v>
                </c:pt>
                <c:pt idx="11">
                  <c:v>-0.32751085160895765</c:v>
                </c:pt>
                <c:pt idx="12">
                  <c:v>-0.41015957111346368</c:v>
                </c:pt>
                <c:pt idx="13">
                  <c:v>-0.40385800808396333</c:v>
                </c:pt>
                <c:pt idx="14">
                  <c:v>-0.43936900433352777</c:v>
                </c:pt>
                <c:pt idx="15">
                  <c:v>-0.40414905627460307</c:v>
                </c:pt>
                <c:pt idx="16">
                  <c:v>-0.44739154687583926</c:v>
                </c:pt>
                <c:pt idx="17">
                  <c:v>-0.49418431738386592</c:v>
                </c:pt>
                <c:pt idx="18">
                  <c:v>-0.44676034275164622</c:v>
                </c:pt>
                <c:pt idx="19">
                  <c:v>-0.41170873171330757</c:v>
                </c:pt>
                <c:pt idx="20">
                  <c:v>-0.70816007417049587</c:v>
                </c:pt>
                <c:pt idx="21">
                  <c:v>-0.65138073088904613</c:v>
                </c:pt>
                <c:pt idx="22">
                  <c:v>-0.65402632004900785</c:v>
                </c:pt>
                <c:pt idx="23">
                  <c:v>-0.63982342012277149</c:v>
                </c:pt>
                <c:pt idx="24">
                  <c:v>-0.58520288243779572</c:v>
                </c:pt>
                <c:pt idx="25">
                  <c:v>-0.605009007281337</c:v>
                </c:pt>
                <c:pt idx="26">
                  <c:v>-0.5748528913862827</c:v>
                </c:pt>
                <c:pt idx="27">
                  <c:v>-0.60530569754618047</c:v>
                </c:pt>
                <c:pt idx="28">
                  <c:v>-0.69281464850358554</c:v>
                </c:pt>
                <c:pt idx="29">
                  <c:v>-0.79254523756696271</c:v>
                </c:pt>
                <c:pt idx="30">
                  <c:v>-0.82281162046719336</c:v>
                </c:pt>
                <c:pt idx="31">
                  <c:v>-0.82941711295578113</c:v>
                </c:pt>
                <c:pt idx="32">
                  <c:v>-0.84228762073791497</c:v>
                </c:pt>
                <c:pt idx="33">
                  <c:v>-0.84600765206738793</c:v>
                </c:pt>
                <c:pt idx="34">
                  <c:v>-0.83196366939160782</c:v>
                </c:pt>
                <c:pt idx="35">
                  <c:v>-0.84058566580508765</c:v>
                </c:pt>
                <c:pt idx="36">
                  <c:v>-0.8438489638361979</c:v>
                </c:pt>
                <c:pt idx="37">
                  <c:v>-0.82391946973634866</c:v>
                </c:pt>
                <c:pt idx="38">
                  <c:v>-0.82297973636449095</c:v>
                </c:pt>
                <c:pt idx="39">
                  <c:v>-0.8235322341946687</c:v>
                </c:pt>
                <c:pt idx="40">
                  <c:v>-0.83931286278588124</c:v>
                </c:pt>
                <c:pt idx="41">
                  <c:v>-0.81583066089473644</c:v>
                </c:pt>
                <c:pt idx="42">
                  <c:v>-0.83087059596283686</c:v>
                </c:pt>
                <c:pt idx="43">
                  <c:v>-0.83787724186379686</c:v>
                </c:pt>
                <c:pt idx="44">
                  <c:v>-0.83250359774796823</c:v>
                </c:pt>
                <c:pt idx="45">
                  <c:v>-0.83713302983789317</c:v>
                </c:pt>
                <c:pt idx="46">
                  <c:v>-0.84560649501017093</c:v>
                </c:pt>
                <c:pt idx="47">
                  <c:v>-0.84331949814040252</c:v>
                </c:pt>
                <c:pt idx="48">
                  <c:v>-0.85242883986305062</c:v>
                </c:pt>
                <c:pt idx="49">
                  <c:v>-0.8618370351458523</c:v>
                </c:pt>
                <c:pt idx="50">
                  <c:v>-0.86050420740868971</c:v>
                </c:pt>
                <c:pt idx="51">
                  <c:v>-0.78143429189592295</c:v>
                </c:pt>
                <c:pt idx="52">
                  <c:v>-0.72616576009626399</c:v>
                </c:pt>
                <c:pt idx="53">
                  <c:v>-0.70019781778335743</c:v>
                </c:pt>
                <c:pt idx="54">
                  <c:v>-0.72614041857383238</c:v>
                </c:pt>
                <c:pt idx="55">
                  <c:v>-0.74257553819425759</c:v>
                </c:pt>
                <c:pt idx="56">
                  <c:v>-0.75413612960783838</c:v>
                </c:pt>
                <c:pt idx="57">
                  <c:v>-0.74095859719989954</c:v>
                </c:pt>
                <c:pt idx="58">
                  <c:v>-0.69145265607997408</c:v>
                </c:pt>
                <c:pt idx="59">
                  <c:v>-0.65936270939517816</c:v>
                </c:pt>
                <c:pt idx="60">
                  <c:v>-0.6430634455485873</c:v>
                </c:pt>
                <c:pt idx="61">
                  <c:v>-0.66213535803232881</c:v>
                </c:pt>
                <c:pt idx="62">
                  <c:v>-0.72435239100064042</c:v>
                </c:pt>
                <c:pt idx="63">
                  <c:v>-0.73495193390420677</c:v>
                </c:pt>
                <c:pt idx="64">
                  <c:v>-0.7185678604839405</c:v>
                </c:pt>
                <c:pt idx="65">
                  <c:v>-0.69091253751132109</c:v>
                </c:pt>
                <c:pt idx="66">
                  <c:v>-0.66864343447906016</c:v>
                </c:pt>
                <c:pt idx="67">
                  <c:v>-0.63457249413893213</c:v>
                </c:pt>
                <c:pt idx="68">
                  <c:v>-0.6613493366571932</c:v>
                </c:pt>
                <c:pt idx="69">
                  <c:v>-0.73523839926216339</c:v>
                </c:pt>
                <c:pt idx="70">
                  <c:v>-0.68078018506744931</c:v>
                </c:pt>
                <c:pt idx="71">
                  <c:v>-0.64455908889466351</c:v>
                </c:pt>
                <c:pt idx="72">
                  <c:v>-0.71641229841624476</c:v>
                </c:pt>
                <c:pt idx="73">
                  <c:v>-0.71874143816252867</c:v>
                </c:pt>
                <c:pt idx="74">
                  <c:v>-0.70750812621104697</c:v>
                </c:pt>
                <c:pt idx="75">
                  <c:v>-0.70526478302584061</c:v>
                </c:pt>
                <c:pt idx="76">
                  <c:v>-0.64443947391541667</c:v>
                </c:pt>
                <c:pt idx="77">
                  <c:v>-0.53202305377401637</c:v>
                </c:pt>
                <c:pt idx="78">
                  <c:v>-0.57158798438855729</c:v>
                </c:pt>
                <c:pt idx="79">
                  <c:v>-0.5110782384014293</c:v>
                </c:pt>
                <c:pt idx="80">
                  <c:v>-0.4819373759916028</c:v>
                </c:pt>
                <c:pt idx="81">
                  <c:v>-0.47356505118252679</c:v>
                </c:pt>
                <c:pt idx="82">
                  <c:v>-0.31937018151107943</c:v>
                </c:pt>
                <c:pt idx="83">
                  <c:v>-0.19672310518933955</c:v>
                </c:pt>
                <c:pt idx="84">
                  <c:v>-0.24421482244811932</c:v>
                </c:pt>
                <c:pt idx="85">
                  <c:v>-0.22919331425512335</c:v>
                </c:pt>
                <c:pt idx="86">
                  <c:v>-0.1551056921051055</c:v>
                </c:pt>
                <c:pt idx="87">
                  <c:v>-0.50038105556637069</c:v>
                </c:pt>
                <c:pt idx="88">
                  <c:v>-0.49689620892577013</c:v>
                </c:pt>
                <c:pt idx="89">
                  <c:v>-0.6363084136386945</c:v>
                </c:pt>
                <c:pt idx="90">
                  <c:v>-0.53867505198854604</c:v>
                </c:pt>
                <c:pt idx="91">
                  <c:v>-0.68231353064091249</c:v>
                </c:pt>
                <c:pt idx="92">
                  <c:v>-0.67939597927527318</c:v>
                </c:pt>
                <c:pt idx="93">
                  <c:v>-0.6831142818118876</c:v>
                </c:pt>
                <c:pt idx="94">
                  <c:v>-0.66124429645187821</c:v>
                </c:pt>
                <c:pt idx="95">
                  <c:v>-0.67671274289506944</c:v>
                </c:pt>
                <c:pt idx="96">
                  <c:v>-0.66990541382295343</c:v>
                </c:pt>
                <c:pt idx="97">
                  <c:v>-0.66256241436913466</c:v>
                </c:pt>
                <c:pt idx="98">
                  <c:v>-0.69661031615948166</c:v>
                </c:pt>
                <c:pt idx="99">
                  <c:v>-0.71003654736266819</c:v>
                </c:pt>
                <c:pt idx="100">
                  <c:v>-0.71642923553859295</c:v>
                </c:pt>
                <c:pt idx="101">
                  <c:v>-0.76803877264377607</c:v>
                </c:pt>
                <c:pt idx="102">
                  <c:v>-0.76085211829869615</c:v>
                </c:pt>
                <c:pt idx="103">
                  <c:v>-0.75703647633174187</c:v>
                </c:pt>
                <c:pt idx="104">
                  <c:v>-0.7954122974696276</c:v>
                </c:pt>
                <c:pt idx="105">
                  <c:v>-0.83907357273946237</c:v>
                </c:pt>
                <c:pt idx="106">
                  <c:v>-0.82940415587808625</c:v>
                </c:pt>
                <c:pt idx="107">
                  <c:v>-0.89914287042392704</c:v>
                </c:pt>
                <c:pt idx="108">
                  <c:v>-0.90300267397045331</c:v>
                </c:pt>
                <c:pt idx="109">
                  <c:v>-0.90837763018548046</c:v>
                </c:pt>
                <c:pt idx="110">
                  <c:v>-0.9253197712095913</c:v>
                </c:pt>
                <c:pt idx="111">
                  <c:v>-0.92279374411311244</c:v>
                </c:pt>
                <c:pt idx="112">
                  <c:v>-0.94424420652463159</c:v>
                </c:pt>
                <c:pt idx="113">
                  <c:v>-0.94278102663364016</c:v>
                </c:pt>
                <c:pt idx="114">
                  <c:v>-0.94166541086274314</c:v>
                </c:pt>
                <c:pt idx="115">
                  <c:v>-0.94856083664633406</c:v>
                </c:pt>
                <c:pt idx="116">
                  <c:v>-0.94217885979189253</c:v>
                </c:pt>
                <c:pt idx="117">
                  <c:v>-0.93995827383553598</c:v>
                </c:pt>
                <c:pt idx="118">
                  <c:v>-0.93268529698461311</c:v>
                </c:pt>
                <c:pt idx="119">
                  <c:v>-0.92579053499725417</c:v>
                </c:pt>
                <c:pt idx="120">
                  <c:v>-0.91713949302348607</c:v>
                </c:pt>
                <c:pt idx="121">
                  <c:v>-0.90686850038706213</c:v>
                </c:pt>
                <c:pt idx="122">
                  <c:v>-0.91006171736736663</c:v>
                </c:pt>
                <c:pt idx="123">
                  <c:v>-0.9349091113606719</c:v>
                </c:pt>
                <c:pt idx="124">
                  <c:v>-0.92571644020089328</c:v>
                </c:pt>
                <c:pt idx="125">
                  <c:v>-0.91301374444930816</c:v>
                </c:pt>
                <c:pt idx="126">
                  <c:v>-0.88968212315664497</c:v>
                </c:pt>
                <c:pt idx="127">
                  <c:v>-0.90394986683805922</c:v>
                </c:pt>
                <c:pt idx="128">
                  <c:v>-0.90118758221096051</c:v>
                </c:pt>
                <c:pt idx="129">
                  <c:v>-0.88752918683774995</c:v>
                </c:pt>
                <c:pt idx="130">
                  <c:v>-0.90138614695758212</c:v>
                </c:pt>
                <c:pt idx="131">
                  <c:v>-0.89237028623513692</c:v>
                </c:pt>
                <c:pt idx="132">
                  <c:v>-0.88492101030780024</c:v>
                </c:pt>
                <c:pt idx="133">
                  <c:v>-0.87942227396228079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4AE-45AA-A4AE-569892EA2697}"/>
            </c:ext>
          </c:extLst>
        </c:ser>
        <c:ser>
          <c:idx val="12"/>
          <c:order val="12"/>
          <c:tx>
            <c:strRef>
              <c:f>XGB再投資累積報酬!$B$24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XGB再投資累積報酬!$C$11:$EF$11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XGB再投資累積報酬!$C$24:$EF$24</c:f>
              <c:numCache>
                <c:formatCode>General</c:formatCode>
                <c:ptCount val="134"/>
                <c:pt idx="0">
                  <c:v>0.16299313693108508</c:v>
                </c:pt>
                <c:pt idx="1">
                  <c:v>0.28000177514012226</c:v>
                </c:pt>
                <c:pt idx="2">
                  <c:v>0.18860922577783135</c:v>
                </c:pt>
                <c:pt idx="3">
                  <c:v>0.45861315863378049</c:v>
                </c:pt>
                <c:pt idx="4">
                  <c:v>0.12931661830853969</c:v>
                </c:pt>
                <c:pt idx="5">
                  <c:v>-0.1492708036920275</c:v>
                </c:pt>
                <c:pt idx="6">
                  <c:v>-0.14747412045546116</c:v>
                </c:pt>
                <c:pt idx="7">
                  <c:v>-0.24590914405754427</c:v>
                </c:pt>
                <c:pt idx="8">
                  <c:v>-0.22968466938701215</c:v>
                </c:pt>
                <c:pt idx="9">
                  <c:v>-0.30334472521689615</c:v>
                </c:pt>
                <c:pt idx="10">
                  <c:v>-0.40562719210140685</c:v>
                </c:pt>
                <c:pt idx="11">
                  <c:v>-0.49129441379834682</c:v>
                </c:pt>
                <c:pt idx="12">
                  <c:v>-0.61555992748931998</c:v>
                </c:pt>
                <c:pt idx="13">
                  <c:v>-0.5856749072308608</c:v>
                </c:pt>
                <c:pt idx="14">
                  <c:v>-0.61093422062079938</c:v>
                </c:pt>
                <c:pt idx="15">
                  <c:v>-0.6217591292801814</c:v>
                </c:pt>
                <c:pt idx="16">
                  <c:v>-0.6259403779343844</c:v>
                </c:pt>
                <c:pt idx="17">
                  <c:v>-0.7336009478710932</c:v>
                </c:pt>
                <c:pt idx="18">
                  <c:v>-0.69403571383439955</c:v>
                </c:pt>
                <c:pt idx="19">
                  <c:v>-0.65837853902061516</c:v>
                </c:pt>
                <c:pt idx="20">
                  <c:v>-0.87801843037551164</c:v>
                </c:pt>
                <c:pt idx="21">
                  <c:v>-0.87812807673761295</c:v>
                </c:pt>
                <c:pt idx="22">
                  <c:v>-0.88171096985896269</c:v>
                </c:pt>
                <c:pt idx="23">
                  <c:v>-0.88459657737127828</c:v>
                </c:pt>
                <c:pt idx="24">
                  <c:v>-0.87370715855674819</c:v>
                </c:pt>
                <c:pt idx="25">
                  <c:v>-0.89697679426554977</c:v>
                </c:pt>
                <c:pt idx="26">
                  <c:v>-0.88405970550180379</c:v>
                </c:pt>
                <c:pt idx="27">
                  <c:v>-0.89578999949357141</c:v>
                </c:pt>
                <c:pt idx="28">
                  <c:v>-0.91405476279424769</c:v>
                </c:pt>
                <c:pt idx="29">
                  <c:v>-0.95663112338691969</c:v>
                </c:pt>
                <c:pt idx="30">
                  <c:v>-0.9731136988139788</c:v>
                </c:pt>
                <c:pt idx="31">
                  <c:v>-0.97126892753614236</c:v>
                </c:pt>
                <c:pt idx="32">
                  <c:v>-0.97563351287245015</c:v>
                </c:pt>
                <c:pt idx="33">
                  <c:v>-0.97771526861712688</c:v>
                </c:pt>
                <c:pt idx="34">
                  <c:v>-0.97519310135424886</c:v>
                </c:pt>
                <c:pt idx="35">
                  <c:v>-0.97785871241665279</c:v>
                </c:pt>
                <c:pt idx="36">
                  <c:v>-0.97752733383228074</c:v>
                </c:pt>
                <c:pt idx="37">
                  <c:v>-0.97386559846274845</c:v>
                </c:pt>
                <c:pt idx="38">
                  <c:v>-0.97559282398292912</c:v>
                </c:pt>
                <c:pt idx="39">
                  <c:v>-0.97503507814069468</c:v>
                </c:pt>
                <c:pt idx="40">
                  <c:v>-0.97621035108887422</c:v>
                </c:pt>
                <c:pt idx="41">
                  <c:v>-0.97214628433377859</c:v>
                </c:pt>
                <c:pt idx="42">
                  <c:v>-0.9722378331940621</c:v>
                </c:pt>
                <c:pt idx="43">
                  <c:v>-0.97139221959509492</c:v>
                </c:pt>
                <c:pt idx="44">
                  <c:v>-0.97013075036750651</c:v>
                </c:pt>
                <c:pt idx="45">
                  <c:v>-0.97273391378333607</c:v>
                </c:pt>
                <c:pt idx="46">
                  <c:v>-0.97259792304648685</c:v>
                </c:pt>
                <c:pt idx="47">
                  <c:v>-0.97565301724031506</c:v>
                </c:pt>
                <c:pt idx="48">
                  <c:v>-0.98216427070552004</c:v>
                </c:pt>
                <c:pt idx="49">
                  <c:v>-0.98148888383162225</c:v>
                </c:pt>
                <c:pt idx="50">
                  <c:v>-0.98248468436648773</c:v>
                </c:pt>
                <c:pt idx="51">
                  <c:v>-0.97038551538713236</c:v>
                </c:pt>
                <c:pt idx="52">
                  <c:v>-0.97051483798013394</c:v>
                </c:pt>
                <c:pt idx="53">
                  <c:v>-0.9650425328705402</c:v>
                </c:pt>
                <c:pt idx="54">
                  <c:v>-0.96868269317474676</c:v>
                </c:pt>
                <c:pt idx="55">
                  <c:v>-0.97182168024579463</c:v>
                </c:pt>
                <c:pt idx="56">
                  <c:v>-0.97679863471028472</c:v>
                </c:pt>
                <c:pt idx="57">
                  <c:v>-0.97657661038163701</c:v>
                </c:pt>
                <c:pt idx="58">
                  <c:v>-0.97133845870015212</c:v>
                </c:pt>
                <c:pt idx="59">
                  <c:v>-0.97124249080985847</c:v>
                </c:pt>
                <c:pt idx="60">
                  <c:v>-0.97024093442621651</c:v>
                </c:pt>
                <c:pt idx="61">
                  <c:v>-0.97116044823255443</c:v>
                </c:pt>
                <c:pt idx="62">
                  <c:v>-0.98203054703839276</c:v>
                </c:pt>
                <c:pt idx="63">
                  <c:v>-0.98398765874654626</c:v>
                </c:pt>
                <c:pt idx="64">
                  <c:v>-0.98407771890389373</c:v>
                </c:pt>
                <c:pt idx="65">
                  <c:v>-0.9821136867244159</c:v>
                </c:pt>
                <c:pt idx="66">
                  <c:v>-0.98326144488893774</c:v>
                </c:pt>
                <c:pt idx="67">
                  <c:v>-0.98160565213367534</c:v>
                </c:pt>
                <c:pt idx="68">
                  <c:v>-0.98162928367399438</c:v>
                </c:pt>
                <c:pt idx="69">
                  <c:v>-0.98671281022151747</c:v>
                </c:pt>
                <c:pt idx="70">
                  <c:v>-0.98367899093649891</c:v>
                </c:pt>
                <c:pt idx="71">
                  <c:v>-0.98192075386419619</c:v>
                </c:pt>
                <c:pt idx="72">
                  <c:v>-0.98303870002446903</c:v>
                </c:pt>
                <c:pt idx="73">
                  <c:v>-0.98529387541413738</c:v>
                </c:pt>
                <c:pt idx="74">
                  <c:v>-0.98956360566895474</c:v>
                </c:pt>
                <c:pt idx="75">
                  <c:v>-0.98686169728704876</c:v>
                </c:pt>
                <c:pt idx="76">
                  <c:v>-0.98554753966588982</c:v>
                </c:pt>
                <c:pt idx="77">
                  <c:v>-0.97630232776373271</c:v>
                </c:pt>
                <c:pt idx="78">
                  <c:v>-0.98062643917029924</c:v>
                </c:pt>
                <c:pt idx="79">
                  <c:v>-0.98004613271479246</c:v>
                </c:pt>
                <c:pt idx="80">
                  <c:v>-0.97674247319208163</c:v>
                </c:pt>
                <c:pt idx="81">
                  <c:v>-0.97776498184586091</c:v>
                </c:pt>
                <c:pt idx="82">
                  <c:v>-0.9724891048801757</c:v>
                </c:pt>
                <c:pt idx="83">
                  <c:v>-0.96274261932340666</c:v>
                </c:pt>
                <c:pt idx="84">
                  <c:v>-0.96492248001012404</c:v>
                </c:pt>
                <c:pt idx="85">
                  <c:v>-0.96538232824698067</c:v>
                </c:pt>
                <c:pt idx="86">
                  <c:v>-0.96214453466219607</c:v>
                </c:pt>
                <c:pt idx="87">
                  <c:v>-0.95677832055326295</c:v>
                </c:pt>
                <c:pt idx="88">
                  <c:v>-0.95484680687488277</c:v>
                </c:pt>
                <c:pt idx="89">
                  <c:v>-0.98237567910706314</c:v>
                </c:pt>
                <c:pt idx="90">
                  <c:v>-0.97228734846289855</c:v>
                </c:pt>
                <c:pt idx="91">
                  <c:v>-0.97673091153692582</c:v>
                </c:pt>
                <c:pt idx="92">
                  <c:v>-0.97939957753113083</c:v>
                </c:pt>
                <c:pt idx="93">
                  <c:v>-0.98065795100530828</c:v>
                </c:pt>
                <c:pt idx="94">
                  <c:v>-0.98117738023246015</c:v>
                </c:pt>
                <c:pt idx="95">
                  <c:v>-0.98299223856118201</c:v>
                </c:pt>
                <c:pt idx="96">
                  <c:v>-0.98175490099588414</c:v>
                </c:pt>
                <c:pt idx="97">
                  <c:v>-0.98202974603464277</c:v>
                </c:pt>
                <c:pt idx="98">
                  <c:v>-0.98517664598265031</c:v>
                </c:pt>
                <c:pt idx="99">
                  <c:v>-0.98439448787099948</c:v>
                </c:pt>
                <c:pt idx="100">
                  <c:v>-0.98314500281955808</c:v>
                </c:pt>
                <c:pt idx="101">
                  <c:v>-0.98503624522561817</c:v>
                </c:pt>
                <c:pt idx="102">
                  <c:v>-0.9854030248739345</c:v>
                </c:pt>
                <c:pt idx="103">
                  <c:v>-0.98254989029914319</c:v>
                </c:pt>
                <c:pt idx="104">
                  <c:v>-0.98748355595365478</c:v>
                </c:pt>
                <c:pt idx="105">
                  <c:v>-0.98940334542342701</c:v>
                </c:pt>
                <c:pt idx="106">
                  <c:v>-0.99079771248163984</c:v>
                </c:pt>
                <c:pt idx="107">
                  <c:v>-0.99563429682352056</c:v>
                </c:pt>
                <c:pt idx="108">
                  <c:v>-0.99589233535130572</c:v>
                </c:pt>
                <c:pt idx="109">
                  <c:v>-0.99589581259239102</c:v>
                </c:pt>
                <c:pt idx="110">
                  <c:v>-0.99763228935841053</c:v>
                </c:pt>
                <c:pt idx="111">
                  <c:v>-0.99768220418201137</c:v>
                </c:pt>
                <c:pt idx="112">
                  <c:v>-0.99846911721057918</c:v>
                </c:pt>
                <c:pt idx="113">
                  <c:v>-0.9983751814569477</c:v>
                </c:pt>
                <c:pt idx="114">
                  <c:v>-0.99814536789038888</c:v>
                </c:pt>
                <c:pt idx="115">
                  <c:v>-0.9984217697520501</c:v>
                </c:pt>
                <c:pt idx="116">
                  <c:v>-0.99823930746760747</c:v>
                </c:pt>
                <c:pt idx="117">
                  <c:v>-0.99798518558337301</c:v>
                </c:pt>
                <c:pt idx="118">
                  <c:v>-0.99788346527895544</c:v>
                </c:pt>
                <c:pt idx="119">
                  <c:v>-0.99783395586752965</c:v>
                </c:pt>
                <c:pt idx="120">
                  <c:v>-0.99768804562063773</c:v>
                </c:pt>
                <c:pt idx="121">
                  <c:v>-0.99759935242419084</c:v>
                </c:pt>
                <c:pt idx="122">
                  <c:v>-0.99748498896513704</c:v>
                </c:pt>
                <c:pt idx="123">
                  <c:v>-0.99788292582821414</c:v>
                </c:pt>
                <c:pt idx="124">
                  <c:v>-0.9976524672947894</c:v>
                </c:pt>
                <c:pt idx="125">
                  <c:v>-0.99724461322944657</c:v>
                </c:pt>
                <c:pt idx="126">
                  <c:v>-0.99715625752111881</c:v>
                </c:pt>
                <c:pt idx="127">
                  <c:v>-0.99701718524995064</c:v>
                </c:pt>
                <c:pt idx="128">
                  <c:v>-0.99685336851551276</c:v>
                </c:pt>
                <c:pt idx="129">
                  <c:v>-0.99650966582135259</c:v>
                </c:pt>
                <c:pt idx="130">
                  <c:v>-0.99740546490483628</c:v>
                </c:pt>
                <c:pt idx="131">
                  <c:v>-0.99725972248631456</c:v>
                </c:pt>
                <c:pt idx="132">
                  <c:v>-0.9969651956581389</c:v>
                </c:pt>
                <c:pt idx="133">
                  <c:v>-0.99716936720973792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4AE-45AA-A4AE-569892EA2697}"/>
            </c:ext>
          </c:extLst>
        </c:ser>
        <c:ser>
          <c:idx val="13"/>
          <c:order val="13"/>
          <c:tx>
            <c:strRef>
              <c:f>XGB再投資累積報酬!$B$25</c:f>
              <c:strCache>
                <c:ptCount val="1"/>
                <c:pt idx="0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XGB再投資累積報酬!$C$11:$EF$11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XGB再投資累積報酬!$C$25:$EF$25</c:f>
              <c:numCache>
                <c:formatCode>#,##0.0000</c:formatCode>
                <c:ptCount val="134"/>
                <c:pt idx="0">
                  <c:v>-1.7446770539390338E-2</c:v>
                </c:pt>
                <c:pt idx="1">
                  <c:v>2.070106053181563E-2</c:v>
                </c:pt>
                <c:pt idx="2">
                  <c:v>2.3982129254766709E-2</c:v>
                </c:pt>
                <c:pt idx="3">
                  <c:v>-6.557578972823077E-3</c:v>
                </c:pt>
                <c:pt idx="4">
                  <c:v>3.1845129800519692E-2</c:v>
                </c:pt>
                <c:pt idx="5">
                  <c:v>3.4348532736990518E-2</c:v>
                </c:pt>
                <c:pt idx="6">
                  <c:v>-8.2549327813252367E-3</c:v>
                </c:pt>
                <c:pt idx="7">
                  <c:v>1.2843524394052759E-2</c:v>
                </c:pt>
                <c:pt idx="8">
                  <c:v>-5.1018524626790823E-2</c:v>
                </c:pt>
                <c:pt idx="9">
                  <c:v>8.7394274103658827E-4</c:v>
                </c:pt>
                <c:pt idx="10">
                  <c:v>2.3389575505495919E-2</c:v>
                </c:pt>
                <c:pt idx="11">
                  <c:v>1.2988972200332851E-2</c:v>
                </c:pt>
                <c:pt idx="12">
                  <c:v>5.8545887256348812E-3</c:v>
                </c:pt>
                <c:pt idx="13">
                  <c:v>2.7413206571790558E-2</c:v>
                </c:pt>
                <c:pt idx="14">
                  <c:v>-3.7129361176928542E-3</c:v>
                </c:pt>
                <c:pt idx="15">
                  <c:v>2.4076614047823328E-2</c:v>
                </c:pt>
                <c:pt idx="16">
                  <c:v>-1.219002529903996E-2</c:v>
                </c:pt>
                <c:pt idx="17">
                  <c:v>-3.9749578159589592E-2</c:v>
                </c:pt>
                <c:pt idx="18">
                  <c:v>-7.3155449831649552E-2</c:v>
                </c:pt>
                <c:pt idx="19">
                  <c:v>-5.8260229910114661E-2</c:v>
                </c:pt>
                <c:pt idx="20">
                  <c:v>7.7279756550837221E-4</c:v>
                </c:pt>
                <c:pt idx="21">
                  <c:v>4.459152113521897E-2</c:v>
                </c:pt>
                <c:pt idx="22">
                  <c:v>-2.7699680050213091E-2</c:v>
                </c:pt>
                <c:pt idx="23">
                  <c:v>2.0950059497436462E-3</c:v>
                </c:pt>
                <c:pt idx="24">
                  <c:v>-2.340055099256411E-2</c:v>
                </c:pt>
                <c:pt idx="25">
                  <c:v>3.2129371097322189E-2</c:v>
                </c:pt>
                <c:pt idx="26">
                  <c:v>3.890327309406643E-2</c:v>
                </c:pt>
                <c:pt idx="27">
                  <c:v>-4.286538217110427E-2</c:v>
                </c:pt>
                <c:pt idx="28">
                  <c:v>1.8647194550152159E-2</c:v>
                </c:pt>
                <c:pt idx="29">
                  <c:v>1.5229768322528949E-2</c:v>
                </c:pt>
                <c:pt idx="30">
                  <c:v>3.6016603778892417E-2</c:v>
                </c:pt>
                <c:pt idx="31">
                  <c:v>9.3546113853161701E-3</c:v>
                </c:pt>
                <c:pt idx="32">
                  <c:v>1.0748251336838139E-2</c:v>
                </c:pt>
                <c:pt idx="33">
                  <c:v>1.335775405308097E-2</c:v>
                </c:pt>
                <c:pt idx="34">
                  <c:v>-5.3327473290953921E-3</c:v>
                </c:pt>
                <c:pt idx="35">
                  <c:v>1.383135807261675E-3</c:v>
                </c:pt>
                <c:pt idx="36">
                  <c:v>2.079592842007446E-2</c:v>
                </c:pt>
                <c:pt idx="37">
                  <c:v>3.1517702220390638E-2</c:v>
                </c:pt>
                <c:pt idx="38">
                  <c:v>6.2417165333294418E-3</c:v>
                </c:pt>
                <c:pt idx="39">
                  <c:v>6.1452616535713897E-3</c:v>
                </c:pt>
                <c:pt idx="40">
                  <c:v>1.694635767669651E-2</c:v>
                </c:pt>
                <c:pt idx="41">
                  <c:v>3.4682830454308228E-2</c:v>
                </c:pt>
                <c:pt idx="42">
                  <c:v>3.0985886171969678E-3</c:v>
                </c:pt>
                <c:pt idx="43">
                  <c:v>1.508134714348611E-2</c:v>
                </c:pt>
                <c:pt idx="44">
                  <c:v>-1.9251209229863991E-2</c:v>
                </c:pt>
                <c:pt idx="45">
                  <c:v>3.8711513387631437E-2</c:v>
                </c:pt>
                <c:pt idx="46">
                  <c:v>-2.1856951135736599E-2</c:v>
                </c:pt>
                <c:pt idx="47">
                  <c:v>7.7743007097896798E-3</c:v>
                </c:pt>
                <c:pt idx="48">
                  <c:v>4.2397246695325942E-2</c:v>
                </c:pt>
                <c:pt idx="49">
                  <c:v>-2.630897486115975E-2</c:v>
                </c:pt>
                <c:pt idx="50">
                  <c:v>9.5717493087162323E-3</c:v>
                </c:pt>
                <c:pt idx="51">
                  <c:v>-2.424974126627483E-2</c:v>
                </c:pt>
                <c:pt idx="52">
                  <c:v>2.0163374143915822E-2</c:v>
                </c:pt>
                <c:pt idx="53">
                  <c:v>-3.5049987821160239E-3</c:v>
                </c:pt>
                <c:pt idx="54">
                  <c:v>2.0151935098542271E-2</c:v>
                </c:pt>
                <c:pt idx="55">
                  <c:v>5.8133623077027128E-4</c:v>
                </c:pt>
                <c:pt idx="56">
                  <c:v>-5.2197009532526043E-3</c:v>
                </c:pt>
                <c:pt idx="57">
                  <c:v>-0.11587176140213</c:v>
                </c:pt>
                <c:pt idx="58">
                  <c:v>8.7252256924373536E-3</c:v>
                </c:pt>
                <c:pt idx="59">
                  <c:v>-1.6377260977822151E-2</c:v>
                </c:pt>
                <c:pt idx="60">
                  <c:v>2.0840371600260421E-2</c:v>
                </c:pt>
                <c:pt idx="61">
                  <c:v>4.4975872102114713E-2</c:v>
                </c:pt>
                <c:pt idx="62">
                  <c:v>2.3954306081863871E-2</c:v>
                </c:pt>
                <c:pt idx="63">
                  <c:v>3.0239101391442601E-2</c:v>
                </c:pt>
                <c:pt idx="64">
                  <c:v>-4.372588759108751E-2</c:v>
                </c:pt>
                <c:pt idx="65">
                  <c:v>2.1889469568198618E-2</c:v>
                </c:pt>
                <c:pt idx="66">
                  <c:v>8.6274302635084028E-3</c:v>
                </c:pt>
                <c:pt idx="67">
                  <c:v>-1.9192953994658781E-2</c:v>
                </c:pt>
                <c:pt idx="68">
                  <c:v>1.973512988813305E-2</c:v>
                </c:pt>
                <c:pt idx="69">
                  <c:v>4.7694337483699438E-2</c:v>
                </c:pt>
                <c:pt idx="70">
                  <c:v>1.145481680658339E-2</c:v>
                </c:pt>
                <c:pt idx="71">
                  <c:v>4.3228620735213191E-2</c:v>
                </c:pt>
                <c:pt idx="72">
                  <c:v>-4.2747430436922793E-2</c:v>
                </c:pt>
                <c:pt idx="73">
                  <c:v>-1.781129242779457E-2</c:v>
                </c:pt>
                <c:pt idx="74">
                  <c:v>-0.1511530968690756</c:v>
                </c:pt>
                <c:pt idx="75">
                  <c:v>0.12422400361957529</c:v>
                </c:pt>
                <c:pt idx="76">
                  <c:v>-4.5572538445296431E-3</c:v>
                </c:pt>
                <c:pt idx="77">
                  <c:v>6.0211240204911178E-2</c:v>
                </c:pt>
                <c:pt idx="78">
                  <c:v>8.5992033482502284E-2</c:v>
                </c:pt>
                <c:pt idx="79">
                  <c:v>-5.8084795823660634E-3</c:v>
                </c:pt>
                <c:pt idx="80">
                  <c:v>-6.0413469889680736E-3</c:v>
                </c:pt>
                <c:pt idx="81">
                  <c:v>2.4523243722520739E-3</c:v>
                </c:pt>
                <c:pt idx="82">
                  <c:v>8.963625193702289E-2</c:v>
                </c:pt>
                <c:pt idx="83">
                  <c:v>7.099273252675789E-2</c:v>
                </c:pt>
                <c:pt idx="84">
                  <c:v>2.7170642901783448E-2</c:v>
                </c:pt>
                <c:pt idx="85">
                  <c:v>5.2468428425330033E-2</c:v>
                </c:pt>
                <c:pt idx="86">
                  <c:v>2.9480660943049509E-2</c:v>
                </c:pt>
                <c:pt idx="87">
                  <c:v>6.6825081060201283E-2</c:v>
                </c:pt>
                <c:pt idx="88">
                  <c:v>-2.8772229019816971E-2</c:v>
                </c:pt>
                <c:pt idx="89">
                  <c:v>3.9462515901637851E-2</c:v>
                </c:pt>
                <c:pt idx="90">
                  <c:v>-2.9031086977359909E-2</c:v>
                </c:pt>
                <c:pt idx="91">
                  <c:v>1.3983882519467901E-2</c:v>
                </c:pt>
                <c:pt idx="92">
                  <c:v>-3.2276964959333833E-2</c:v>
                </c:pt>
                <c:pt idx="93">
                  <c:v>3.1035766128940231E-3</c:v>
                </c:pt>
                <c:pt idx="94">
                  <c:v>2.5591855767083171E-2</c:v>
                </c:pt>
                <c:pt idx="95">
                  <c:v>4.4391886287193302E-2</c:v>
                </c:pt>
                <c:pt idx="96">
                  <c:v>-3.0338958549577438E-2</c:v>
                </c:pt>
                <c:pt idx="97">
                  <c:v>-1.2579764545717069E-3</c:v>
                </c:pt>
                <c:pt idx="98">
                  <c:v>2.336356455857952E-3</c:v>
                </c:pt>
                <c:pt idx="99">
                  <c:v>-6.4264144925906069E-2</c:v>
                </c:pt>
                <c:pt idx="100">
                  <c:v>1.2909779458992439E-2</c:v>
                </c:pt>
                <c:pt idx="101">
                  <c:v>-0.12547709467085871</c:v>
                </c:pt>
                <c:pt idx="102">
                  <c:v>1.1690682939792569E-2</c:v>
                </c:pt>
                <c:pt idx="103">
                  <c:v>6.3378437007417512E-3</c:v>
                </c:pt>
                <c:pt idx="104">
                  <c:v>-0.1173053564693855</c:v>
                </c:pt>
                <c:pt idx="105">
                  <c:v>-3.6010872049446613E-2</c:v>
                </c:pt>
                <c:pt idx="106">
                  <c:v>0.1389113040722679</c:v>
                </c:pt>
                <c:pt idx="107">
                  <c:v>-5.1143506226105737E-2</c:v>
                </c:pt>
                <c:pt idx="108">
                  <c:v>7.6731447181969059E-2</c:v>
                </c:pt>
                <c:pt idx="109">
                  <c:v>1.550878219700816E-2</c:v>
                </c:pt>
                <c:pt idx="110">
                  <c:v>2.3223773674755831E-2</c:v>
                </c:pt>
                <c:pt idx="111">
                  <c:v>-1.8372876361227891E-2</c:v>
                </c:pt>
                <c:pt idx="112">
                  <c:v>6.2199014085099431E-2</c:v>
                </c:pt>
                <c:pt idx="113">
                  <c:v>2.0098304486957191E-2</c:v>
                </c:pt>
                <c:pt idx="114">
                  <c:v>1.349893974806809E-2</c:v>
                </c:pt>
                <c:pt idx="115">
                  <c:v>-3.025221272842088E-2</c:v>
                </c:pt>
                <c:pt idx="116">
                  <c:v>-1.7022835708053841E-2</c:v>
                </c:pt>
                <c:pt idx="117">
                  <c:v>-2.1788523272461981E-2</c:v>
                </c:pt>
                <c:pt idx="118">
                  <c:v>8.5745624585137223E-2</c:v>
                </c:pt>
                <c:pt idx="119">
                  <c:v>2.8106743604973752E-2</c:v>
                </c:pt>
                <c:pt idx="120">
                  <c:v>-2.3031598073594501E-3</c:v>
                </c:pt>
                <c:pt idx="121">
                  <c:v>5.8471198131487503E-2</c:v>
                </c:pt>
                <c:pt idx="122">
                  <c:v>6.7658949048647651E-2</c:v>
                </c:pt>
                <c:pt idx="123">
                  <c:v>5.0207706404322644E-3</c:v>
                </c:pt>
                <c:pt idx="124">
                  <c:v>3.7416183675207063E-2</c:v>
                </c:pt>
                <c:pt idx="125">
                  <c:v>8.4111003746042121E-2</c:v>
                </c:pt>
                <c:pt idx="126">
                  <c:v>-3.6832398544012837E-2</c:v>
                </c:pt>
                <c:pt idx="127">
                  <c:v>3.0917028169369942E-3</c:v>
                </c:pt>
                <c:pt idx="128">
                  <c:v>-1.957628214294549E-3</c:v>
                </c:pt>
                <c:pt idx="129">
                  <c:v>2.6459103603519739E-2</c:v>
                </c:pt>
                <c:pt idx="130">
                  <c:v>-2.4752538760690269E-2</c:v>
                </c:pt>
                <c:pt idx="131">
                  <c:v>3.4115490982559941E-2</c:v>
                </c:pt>
                <c:pt idx="132">
                  <c:v>2.1061973989032982E-2</c:v>
                </c:pt>
                <c:pt idx="133" formatCode="General">
                  <c:v>-2.0277392706005901E-2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4AE-45AA-A4AE-569892EA2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0100063"/>
        <c:axId val="2120103903"/>
      </c:lineChart>
      <c:catAx>
        <c:axId val="212010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0103903"/>
        <c:crosses val="autoZero"/>
        <c:auto val="1"/>
        <c:lblAlgn val="ctr"/>
        <c:lblOffset val="100"/>
        <c:noMultiLvlLbl val="0"/>
      </c:catAx>
      <c:valAx>
        <c:axId val="212010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010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60960</xdr:colOff>
      <xdr:row>26</xdr:row>
      <xdr:rowOff>38100</xdr:rowOff>
    </xdr:from>
    <xdr:to>
      <xdr:col>128</xdr:col>
      <xdr:colOff>209550</xdr:colOff>
      <xdr:row>49</xdr:row>
      <xdr:rowOff>83820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E67D0EE-A797-685E-B642-186AC49CA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117</xdr:col>
      <xdr:colOff>276225</xdr:colOff>
      <xdr:row>26</xdr:row>
      <xdr:rowOff>22859</xdr:rowOff>
    </xdr:from>
    <xdr:to>
      <xdr:col>128</xdr:col>
      <xdr:colOff>445770</xdr:colOff>
      <xdr:row>44</xdr:row>
      <xdr:rowOff>161924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A312046-48AC-A4DC-CBCB-145FF340A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G25"/>
  <sheetViews>
    <sheetView zoomScale="96" workbookViewId="0"/>
  </sheetViews>
  <sheetFormatPr defaultRowHeight="15" x14ac:dyDescent="0.3"/>
  <sheetData>
    <row r="1" spans="1:137" x14ac:dyDescent="0.3">
      <c r="A1" t="s">
        <v>148</v>
      </c>
    </row>
    <row r="2" spans="1:13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143</v>
      </c>
    </row>
    <row r="3" spans="1:137" x14ac:dyDescent="0.3">
      <c r="B3" s="1" t="s">
        <v>135</v>
      </c>
      <c r="C3" s="7">
        <v>4.0547288954257972E-2</v>
      </c>
      <c r="D3" s="7">
        <v>1.474617514759302E-2</v>
      </c>
      <c r="E3" s="7">
        <v>-5.1652342081069953E-2</v>
      </c>
      <c r="F3" s="7">
        <v>-5.4286114871501923E-2</v>
      </c>
      <c r="G3" s="7">
        <v>-5.7552006095647812E-2</v>
      </c>
      <c r="H3" s="7">
        <v>-7.6259449124336243E-2</v>
      </c>
      <c r="I3" s="7">
        <v>-0.107886478304863</v>
      </c>
      <c r="J3" s="7">
        <v>1.373711228370667E-2</v>
      </c>
      <c r="K3" s="7">
        <v>-5.9229228645563133E-2</v>
      </c>
      <c r="L3" s="7">
        <v>-0.1078036949038506</v>
      </c>
      <c r="M3" s="7">
        <v>2.4141319096088409E-2</v>
      </c>
      <c r="N3" s="7">
        <v>-0.1346741318702698</v>
      </c>
      <c r="O3" s="7">
        <v>-7.92685616761446E-3</v>
      </c>
      <c r="P3" s="7">
        <v>-7.5651742517948151E-2</v>
      </c>
      <c r="Q3" s="7">
        <v>-8.6447760462760925E-2</v>
      </c>
      <c r="R3" s="7">
        <v>-3.0133344698697329E-3</v>
      </c>
      <c r="S3" s="7">
        <v>-4.0853243321180337E-2</v>
      </c>
      <c r="T3" s="7">
        <v>-3.2101776450872421E-2</v>
      </c>
      <c r="U3" s="7">
        <v>-0.10543976724147799</v>
      </c>
      <c r="V3" s="7">
        <v>-4.5746464282274253E-2</v>
      </c>
      <c r="W3" s="7">
        <v>-6.8120560608804226E-3</v>
      </c>
      <c r="X3" s="7">
        <v>9.7701430320739746E-2</v>
      </c>
      <c r="Y3" s="7">
        <v>6.1205495148897171E-2</v>
      </c>
      <c r="Z3" s="7">
        <v>1.6075653955340389E-2</v>
      </c>
      <c r="AA3" s="7">
        <v>-1.270355191081762E-2</v>
      </c>
      <c r="AB3" s="7">
        <v>-1.026225462555885E-2</v>
      </c>
      <c r="AC3" s="7">
        <v>2.934014052152634E-2</v>
      </c>
      <c r="AD3" s="7">
        <v>-5.8081243187189102E-3</v>
      </c>
      <c r="AE3" s="7">
        <v>1.1994774453341959E-2</v>
      </c>
      <c r="AF3" s="7">
        <v>3.9971381425857537E-2</v>
      </c>
      <c r="AG3" s="7">
        <v>-1.210324652493E-2</v>
      </c>
      <c r="AH3" s="7">
        <v>2.2090664133429531E-2</v>
      </c>
      <c r="AI3" s="7">
        <v>2.1936081349849701E-2</v>
      </c>
      <c r="AJ3" s="7">
        <v>2.584474720060825E-2</v>
      </c>
      <c r="AK3" s="7">
        <v>-2.3109074681997299E-3</v>
      </c>
      <c r="AL3" s="7">
        <v>-2.0252099260687832E-2</v>
      </c>
      <c r="AM3" s="7">
        <v>2.2393656894564629E-2</v>
      </c>
      <c r="AN3" s="7">
        <v>-3.5141657572239642E-3</v>
      </c>
      <c r="AO3" s="7">
        <v>-2.9745671898126599E-2</v>
      </c>
      <c r="AP3" s="7">
        <v>-2.683783695101738E-2</v>
      </c>
      <c r="AQ3" s="7">
        <v>-2.169711887836456E-2</v>
      </c>
      <c r="AR3" s="7">
        <v>2.3448716849088669E-2</v>
      </c>
      <c r="AS3" s="7">
        <v>1.5802856534719471E-2</v>
      </c>
      <c r="AT3" s="7">
        <v>6.6039755940437317E-2</v>
      </c>
      <c r="AU3" s="7">
        <v>6.2266789376735687E-2</v>
      </c>
      <c r="AV3" s="7">
        <v>5.7940512895584113E-2</v>
      </c>
      <c r="AW3" s="7">
        <v>0.1063941121101379</v>
      </c>
      <c r="AX3" s="7">
        <v>-5.7518132962286472E-3</v>
      </c>
      <c r="AY3" s="7">
        <v>3.4562649670988321E-3</v>
      </c>
      <c r="AZ3" s="7">
        <v>8.6036309599876404E-2</v>
      </c>
      <c r="BA3" s="7">
        <v>0.10234846919775011</v>
      </c>
      <c r="BB3" s="7">
        <v>6.3502728939056396E-2</v>
      </c>
      <c r="BC3" s="7">
        <v>4.844263568520546E-2</v>
      </c>
      <c r="BD3" s="7">
        <v>7.7497914433479309E-2</v>
      </c>
      <c r="BE3" s="7">
        <v>2.7031764388084412E-2</v>
      </c>
      <c r="BF3" s="7">
        <v>2.1175272762775421E-2</v>
      </c>
      <c r="BG3" s="7">
        <v>-1.226798165589571E-2</v>
      </c>
      <c r="BH3" s="7">
        <v>5.1240973174571991E-2</v>
      </c>
      <c r="BI3" s="7">
        <v>5.5158428847789757E-2</v>
      </c>
      <c r="BJ3" s="7">
        <v>8.664897084236145E-2</v>
      </c>
      <c r="BK3" s="7">
        <v>8.1092678010463715E-2</v>
      </c>
      <c r="BL3" s="7">
        <v>5.7930886745452881E-2</v>
      </c>
      <c r="BM3" s="7">
        <v>1.4249543659389021E-2</v>
      </c>
      <c r="BN3" s="7">
        <v>-4.6854224056005478E-3</v>
      </c>
      <c r="BO3" s="7">
        <v>4.5861139893531799E-2</v>
      </c>
      <c r="BP3" s="7">
        <v>8.6037963628768921E-2</v>
      </c>
      <c r="BQ3" s="7">
        <v>0.144142210483551</v>
      </c>
      <c r="BR3" s="7">
        <v>3.7985831499099731E-2</v>
      </c>
      <c r="BS3" s="7">
        <v>8.1880234181880951E-2</v>
      </c>
      <c r="BT3" s="7">
        <v>4.3688308447599411E-2</v>
      </c>
      <c r="BU3" s="7">
        <v>0.10545723885297779</v>
      </c>
      <c r="BV3" s="7">
        <v>0.1175376549363136</v>
      </c>
      <c r="BW3" s="7">
        <v>9.2942401766777039E-2</v>
      </c>
      <c r="BX3" s="7">
        <v>3.5637497901916497E-2</v>
      </c>
      <c r="BY3" s="7">
        <v>4.2925089597702033E-2</v>
      </c>
      <c r="BZ3" s="7">
        <v>9.8455093801021576E-2</v>
      </c>
      <c r="CA3" s="7">
        <v>1.8217885866761211E-2</v>
      </c>
      <c r="CB3" s="7">
        <v>1.9438756629824638E-2</v>
      </c>
      <c r="CC3" s="7">
        <v>-5.0573386251926422E-3</v>
      </c>
      <c r="CD3" s="7">
        <v>-5.7951014488935471E-2</v>
      </c>
      <c r="CE3" s="7">
        <v>-1.193848438560963E-2</v>
      </c>
      <c r="CF3" s="7">
        <v>6.4156758598983288E-3</v>
      </c>
      <c r="CG3" s="7">
        <v>5.6247138418257236E-3</v>
      </c>
      <c r="CH3" s="7">
        <v>5.8184977620840073E-2</v>
      </c>
      <c r="CI3" s="7">
        <v>1.276898570358753E-2</v>
      </c>
      <c r="CJ3" s="7">
        <v>-8.0891326069831848E-2</v>
      </c>
      <c r="CK3" s="7">
        <v>7.3738843202590942E-2</v>
      </c>
      <c r="CL3" s="7">
        <v>6.7692369222640991E-2</v>
      </c>
      <c r="CM3" s="7">
        <v>-1.829254254698753E-2</v>
      </c>
      <c r="CN3" s="7">
        <v>4.6888105571269989E-3</v>
      </c>
      <c r="CO3" s="7">
        <v>-1.2873713858425621E-2</v>
      </c>
      <c r="CP3" s="7">
        <v>-5.2108332514762878E-2</v>
      </c>
      <c r="CQ3" s="7">
        <v>-7.2693914175033569E-2</v>
      </c>
      <c r="CR3" s="7">
        <v>-6.0804408043622971E-2</v>
      </c>
      <c r="CS3" s="7">
        <v>1.5148262493312361E-2</v>
      </c>
      <c r="CT3" s="7">
        <v>-6.339031457901001E-2</v>
      </c>
      <c r="CU3" s="7">
        <v>-6.1079829931259162E-2</v>
      </c>
      <c r="CV3" s="7">
        <v>-2.170033194124699E-2</v>
      </c>
      <c r="CW3" s="7">
        <v>-6.0720678418874741E-2</v>
      </c>
      <c r="CX3" s="7">
        <v>-4.0655191987752907E-2</v>
      </c>
      <c r="CY3" s="7">
        <v>-4.5480586588382721E-2</v>
      </c>
      <c r="CZ3" s="7">
        <v>-6.9138072431087494E-2</v>
      </c>
      <c r="DA3" s="7">
        <v>-8.9778468012809753E-2</v>
      </c>
      <c r="DB3" s="7">
        <v>-6.527487188577652E-2</v>
      </c>
      <c r="DC3" s="7">
        <v>-1.3747443445026869E-2</v>
      </c>
      <c r="DD3" s="7">
        <v>-5.9340178966522217E-2</v>
      </c>
      <c r="DE3" s="7">
        <v>-2.9697688296437259E-3</v>
      </c>
      <c r="DF3" s="7">
        <v>2.9266869649291039E-2</v>
      </c>
      <c r="DG3" s="7">
        <v>-2.4713881313800808E-2</v>
      </c>
      <c r="DH3" s="7">
        <v>-3.5376153886318207E-2</v>
      </c>
      <c r="DI3" s="7">
        <v>-2.7640743181109428E-2</v>
      </c>
      <c r="DJ3" s="7">
        <v>-5.7575446553528309E-3</v>
      </c>
      <c r="DK3" s="7">
        <v>-4.8771854490041733E-2</v>
      </c>
      <c r="DL3" s="7">
        <v>-1.13038681447506E-2</v>
      </c>
      <c r="DM3" s="7">
        <v>-4.967803880572319E-2</v>
      </c>
      <c r="DN3" s="7">
        <v>-1.280778273940086E-2</v>
      </c>
      <c r="DO3" s="7">
        <v>-1.587224006652832E-2</v>
      </c>
      <c r="DP3" s="7">
        <v>-7.589586079120636E-3</v>
      </c>
      <c r="DQ3" s="7">
        <v>4.0078632533550262E-2</v>
      </c>
      <c r="DR3" s="7">
        <v>-1.5922309830784801E-2</v>
      </c>
      <c r="DS3" s="7">
        <v>2.3432238027453419E-2</v>
      </c>
      <c r="DT3" s="7">
        <v>-5.3663063794374473E-2</v>
      </c>
      <c r="DU3" s="7">
        <v>-4.4161681085824973E-2</v>
      </c>
      <c r="DV3" s="7">
        <v>-2.3813089355826381E-2</v>
      </c>
      <c r="DW3" s="7">
        <v>2.5176366791129109E-2</v>
      </c>
      <c r="DX3" s="7">
        <v>-3.2621368765830987E-2</v>
      </c>
      <c r="DY3" s="7">
        <v>1.3060665689408779E-2</v>
      </c>
      <c r="DZ3" s="7">
        <v>-4.7912493348121643E-2</v>
      </c>
      <c r="EA3" s="7">
        <v>1.4760352671146389E-2</v>
      </c>
      <c r="EB3" s="7">
        <v>-2.9227724298834801E-2</v>
      </c>
      <c r="EC3" s="7">
        <v>-3.5695001482963562E-2</v>
      </c>
      <c r="ED3" s="7">
        <v>-5.2812475711107247E-2</v>
      </c>
      <c r="EE3" s="7">
        <v>-1.3054582290351391E-2</v>
      </c>
      <c r="EF3" s="7">
        <v>-6.9071874022483826E-2</v>
      </c>
      <c r="EG3" s="1"/>
    </row>
    <row r="4" spans="1:137" x14ac:dyDescent="0.3">
      <c r="B4" s="1" t="s">
        <v>136</v>
      </c>
      <c r="C4" s="7">
        <v>-1.8580827862024311E-2</v>
      </c>
      <c r="D4" s="7">
        <v>-4.8252779990434647E-2</v>
      </c>
      <c r="E4" s="7">
        <v>7.8275678679347038E-3</v>
      </c>
      <c r="F4" s="7">
        <v>-2.6776634156703949E-2</v>
      </c>
      <c r="G4" s="7">
        <v>1.6258874908089641E-2</v>
      </c>
      <c r="H4" s="7">
        <v>-8.7667405605316162E-3</v>
      </c>
      <c r="I4" s="7">
        <v>-7.0548905059695244E-3</v>
      </c>
      <c r="J4" s="7">
        <v>-3.2917611300945282E-2</v>
      </c>
      <c r="K4" s="7">
        <v>7.3888557963073254E-3</v>
      </c>
      <c r="L4" s="7">
        <v>3.5096999257802963E-2</v>
      </c>
      <c r="M4" s="7">
        <v>-1.934842579066753E-2</v>
      </c>
      <c r="N4" s="7">
        <v>-1.2498205527663229E-2</v>
      </c>
      <c r="O4" s="7">
        <v>-6.7216232419013977E-2</v>
      </c>
      <c r="P4" s="7">
        <v>-2.768821083009243E-2</v>
      </c>
      <c r="Q4" s="7">
        <v>-5.9864789247512817E-2</v>
      </c>
      <c r="R4" s="7">
        <v>-7.7407129108905792E-2</v>
      </c>
      <c r="S4" s="7">
        <v>-8.372652530670166E-2</v>
      </c>
      <c r="T4" s="7">
        <v>-5.9324655681848533E-2</v>
      </c>
      <c r="U4" s="7">
        <v>-2.3863557726144791E-3</v>
      </c>
      <c r="V4" s="7">
        <v>4.6488689258694649E-3</v>
      </c>
      <c r="W4" s="7">
        <v>-7.4044972658157349E-2</v>
      </c>
      <c r="X4" s="7">
        <v>-9.8803862929344177E-2</v>
      </c>
      <c r="Y4" s="7">
        <v>-9.1002114117145538E-2</v>
      </c>
      <c r="Z4" s="7">
        <v>-6.800408661365509E-2</v>
      </c>
      <c r="AA4" s="7">
        <v>-8.6181230843067169E-2</v>
      </c>
      <c r="AB4" s="7">
        <v>-8.889392763376236E-2</v>
      </c>
      <c r="AC4" s="7">
        <v>-1.6588440164923671E-2</v>
      </c>
      <c r="AD4" s="7">
        <v>6.3448823988437653E-2</v>
      </c>
      <c r="AE4" s="7">
        <v>-5.9580553323030472E-2</v>
      </c>
      <c r="AF4" s="7">
        <v>1.096150139346719E-3</v>
      </c>
      <c r="AG4" s="7">
        <v>2.8850741684436802E-2</v>
      </c>
      <c r="AH4" s="7">
        <v>2.907080203294754E-2</v>
      </c>
      <c r="AI4" s="7">
        <v>-1.015707012265921E-2</v>
      </c>
      <c r="AJ4" s="7">
        <v>4.4545106589794159E-2</v>
      </c>
      <c r="AK4" s="7">
        <v>-1.327527966350317E-2</v>
      </c>
      <c r="AL4" s="7">
        <v>1.4735002070665359E-2</v>
      </c>
      <c r="AM4" s="7">
        <v>5.2847121842205516E-3</v>
      </c>
      <c r="AN4" s="7">
        <v>4.7137059271335602E-2</v>
      </c>
      <c r="AO4" s="7">
        <v>7.4655739590525627E-3</v>
      </c>
      <c r="AP4" s="7">
        <v>4.6993391588330269E-3</v>
      </c>
      <c r="AQ4" s="7">
        <v>2.0851189270615581E-2</v>
      </c>
      <c r="AR4" s="7">
        <v>5.4104723036289222E-2</v>
      </c>
      <c r="AS4" s="7">
        <v>-5.646181758493185E-3</v>
      </c>
      <c r="AT4" s="7">
        <v>4.0453299880027771E-3</v>
      </c>
      <c r="AU4" s="7">
        <v>2.0628450438380241E-2</v>
      </c>
      <c r="AV4" s="7">
        <v>2.111388556659222E-2</v>
      </c>
      <c r="AW4" s="7">
        <v>-4.1878089308738708E-2</v>
      </c>
      <c r="AX4" s="7">
        <v>1.5781458467245098E-2</v>
      </c>
      <c r="AY4" s="7">
        <v>-2.299829013645649E-2</v>
      </c>
      <c r="AZ4" s="7">
        <v>5.878029391169548E-3</v>
      </c>
      <c r="BA4" s="7">
        <v>-2.1811418235301971E-2</v>
      </c>
      <c r="BB4" s="7">
        <v>-7.6676465570926666E-2</v>
      </c>
      <c r="BC4" s="7">
        <v>1.004549115896225E-2</v>
      </c>
      <c r="BD4" s="7">
        <v>-4.7882307320833213E-2</v>
      </c>
      <c r="BE4" s="7">
        <v>-6.8554230034351349E-2</v>
      </c>
      <c r="BF4" s="7">
        <v>-8.2745306193828583E-2</v>
      </c>
      <c r="BG4" s="7">
        <v>-0.1204242408275604</v>
      </c>
      <c r="BH4" s="7">
        <v>-0.10103762894868849</v>
      </c>
      <c r="BI4" s="7">
        <v>-3.9490096271038062E-2</v>
      </c>
      <c r="BJ4" s="7">
        <v>-6.4256303012371063E-2</v>
      </c>
      <c r="BK4" s="7">
        <v>-0.14447127282619479</v>
      </c>
      <c r="BL4" s="7">
        <v>-0.1120113208889961</v>
      </c>
      <c r="BM4" s="7">
        <v>-3.4826010465621948E-2</v>
      </c>
      <c r="BN4" s="7">
        <v>-8.5986465215682983E-2</v>
      </c>
      <c r="BO4" s="7">
        <v>-7.0973977446556091E-2</v>
      </c>
      <c r="BP4" s="7">
        <v>-3.4846525639295578E-2</v>
      </c>
      <c r="BQ4" s="7">
        <v>-2.0351750776171681E-2</v>
      </c>
      <c r="BR4" s="7">
        <v>-2.315560914576054E-2</v>
      </c>
      <c r="BS4" s="7">
        <v>-3.2191596925258643E-2</v>
      </c>
      <c r="BT4" s="7">
        <v>-6.8826571106910706E-2</v>
      </c>
      <c r="BU4" s="7">
        <v>-9.2764981091022491E-2</v>
      </c>
      <c r="BV4" s="7">
        <v>-8.1678107380867004E-2</v>
      </c>
      <c r="BW4" s="7">
        <v>-6.8563610315322876E-2</v>
      </c>
      <c r="BX4" s="7">
        <v>-1.983198523521423E-2</v>
      </c>
      <c r="BY4" s="7">
        <v>-6.1186797916889191E-2</v>
      </c>
      <c r="BZ4" s="7">
        <v>-7.0581048727035522E-2</v>
      </c>
      <c r="CA4" s="7">
        <v>-7.2609454393386841E-2</v>
      </c>
      <c r="CB4" s="7">
        <v>-8.8862821459770203E-2</v>
      </c>
      <c r="CC4" s="7">
        <v>-6.5672166645526886E-2</v>
      </c>
      <c r="CD4" s="7">
        <v>-7.0492014288902283E-2</v>
      </c>
      <c r="CE4" s="7">
        <v>-8.9266888797283173E-2</v>
      </c>
      <c r="CF4" s="7">
        <v>-1.9554028287529949E-2</v>
      </c>
      <c r="CG4" s="7">
        <v>-3.8807325065135963E-2</v>
      </c>
      <c r="CH4" s="7">
        <v>-2.6853706687688831E-2</v>
      </c>
      <c r="CI4" s="7">
        <v>-2.3996761068701741E-2</v>
      </c>
      <c r="CJ4" s="7">
        <v>-6.9834161549806586E-3</v>
      </c>
      <c r="CK4" s="7">
        <v>-1.185638178139925E-2</v>
      </c>
      <c r="CL4" s="7">
        <v>-1.1220706626772881E-2</v>
      </c>
      <c r="CM4" s="7">
        <v>-1.975167170166969E-2</v>
      </c>
      <c r="CN4" s="7">
        <v>-1.7389096319675449E-2</v>
      </c>
      <c r="CO4" s="7">
        <v>9.1980240540578961E-4</v>
      </c>
      <c r="CP4" s="7">
        <v>-2.7678526937961578E-2</v>
      </c>
      <c r="CQ4" s="7">
        <v>-2.722612768411636E-2</v>
      </c>
      <c r="CR4" s="7">
        <v>-3.4191105514764793E-2</v>
      </c>
      <c r="CS4" s="7">
        <v>-3.7506073713302612E-2</v>
      </c>
      <c r="CT4" s="7">
        <v>-4.9283858388662338E-2</v>
      </c>
      <c r="CU4" s="7">
        <v>-2.3866469040513039E-2</v>
      </c>
      <c r="CV4" s="7">
        <v>-2.7314594481140379E-3</v>
      </c>
      <c r="CW4" s="7">
        <v>2.5829777121543881E-2</v>
      </c>
      <c r="CX4" s="7">
        <v>-7.7818602323532104E-2</v>
      </c>
      <c r="CY4" s="7">
        <v>-1.714335381984711E-2</v>
      </c>
      <c r="CZ4" s="7">
        <v>6.4833508804440498E-3</v>
      </c>
      <c r="DA4" s="7">
        <v>2.1121479570865631E-2</v>
      </c>
      <c r="DB4" s="7">
        <v>1.6250079497694969E-3</v>
      </c>
      <c r="DC4" s="7">
        <v>1.4495826326310629E-2</v>
      </c>
      <c r="DD4" s="7">
        <v>3.7542592734098428E-2</v>
      </c>
      <c r="DE4" s="7">
        <v>-4.7325566411018372E-2</v>
      </c>
      <c r="DF4" s="7">
        <v>3.3347133547067642E-2</v>
      </c>
      <c r="DG4" s="7">
        <v>-1.8042853102087971E-2</v>
      </c>
      <c r="DH4" s="7">
        <v>-1.2872833758592611E-2</v>
      </c>
      <c r="DI4" s="7">
        <v>2.5734813883900639E-2</v>
      </c>
      <c r="DJ4" s="7">
        <v>1.416372787207365E-2</v>
      </c>
      <c r="DK4" s="7">
        <v>-3.316790983080864E-2</v>
      </c>
      <c r="DL4" s="7">
        <v>-2.1062262356281281E-2</v>
      </c>
      <c r="DM4" s="7">
        <v>1.4148561283946041E-2</v>
      </c>
      <c r="DN4" s="7">
        <v>-1.9859654828906059E-2</v>
      </c>
      <c r="DO4" s="7">
        <v>-3.856055811047554E-2</v>
      </c>
      <c r="DP4" s="7">
        <v>5.259593203663826E-2</v>
      </c>
      <c r="DQ4" s="7">
        <v>5.0834372639656067E-2</v>
      </c>
      <c r="DR4" s="7">
        <v>3.4424390643835068E-2</v>
      </c>
      <c r="DS4" s="7">
        <v>2.6739172637462619E-2</v>
      </c>
      <c r="DT4" s="7">
        <v>-2.2692034021019939E-2</v>
      </c>
      <c r="DU4" s="7">
        <v>2.356254868209362E-2</v>
      </c>
      <c r="DV4" s="7">
        <v>1.1204046197235581E-2</v>
      </c>
      <c r="DW4" s="7">
        <v>9.7593218088150024E-3</v>
      </c>
      <c r="DX4" s="7">
        <v>-1.200891844928265E-2</v>
      </c>
      <c r="DY4" s="7">
        <v>-1.29100177437067E-2</v>
      </c>
      <c r="DZ4" s="7">
        <v>1.4516728930175299E-2</v>
      </c>
      <c r="EA4" s="7">
        <v>2.0058911293745041E-2</v>
      </c>
      <c r="EB4" s="7">
        <v>5.2505847066640847E-2</v>
      </c>
      <c r="EC4" s="7">
        <v>3.2138381153345108E-2</v>
      </c>
      <c r="ED4" s="7">
        <v>-9.5858694985508919E-3</v>
      </c>
      <c r="EE4" s="7">
        <v>1.6591379418969151E-2</v>
      </c>
      <c r="EF4" s="7">
        <v>2.4656090885400769E-2</v>
      </c>
      <c r="EG4" s="1"/>
    </row>
    <row r="5" spans="1:137" x14ac:dyDescent="0.3">
      <c r="B5" s="1" t="s">
        <v>137</v>
      </c>
      <c r="C5" s="7">
        <v>-1.9821943715214729E-2</v>
      </c>
      <c r="D5" s="7">
        <v>-2.4067563936114311E-2</v>
      </c>
      <c r="E5" s="7">
        <v>-7.5782481580972672E-3</v>
      </c>
      <c r="F5" s="7">
        <v>3.8560427725315087E-2</v>
      </c>
      <c r="G5" s="7">
        <v>-7.0930332876741886E-3</v>
      </c>
      <c r="H5" s="7">
        <v>-2.8790984302759171E-2</v>
      </c>
      <c r="I5" s="7">
        <v>-5.0696283578872681E-2</v>
      </c>
      <c r="J5" s="7">
        <v>-1.75021740142256E-3</v>
      </c>
      <c r="K5" s="7">
        <v>-4.8410315066576004E-3</v>
      </c>
      <c r="L5" s="7">
        <v>-2.5085138157010078E-2</v>
      </c>
      <c r="M5" s="7">
        <v>3.4981705248355872E-2</v>
      </c>
      <c r="N5" s="7">
        <v>7.1464717388153076E-2</v>
      </c>
      <c r="O5" s="7">
        <v>4.9568243324756622E-2</v>
      </c>
      <c r="P5" s="7">
        <v>9.211605042219162E-2</v>
      </c>
      <c r="Q5" s="7">
        <v>7.458747923374176E-2</v>
      </c>
      <c r="R5" s="7">
        <v>3.6225240677595139E-2</v>
      </c>
      <c r="S5" s="7">
        <v>6.8880669772624969E-2</v>
      </c>
      <c r="T5" s="7">
        <v>5.0580024719238281E-2</v>
      </c>
      <c r="U5" s="7">
        <v>5.0022769719362259E-2</v>
      </c>
      <c r="V5" s="7">
        <v>6.5072879195213318E-2</v>
      </c>
      <c r="W5" s="7">
        <v>8.2305394113063812E-2</v>
      </c>
      <c r="X5" s="7">
        <v>4.979049414396286E-2</v>
      </c>
      <c r="Y5" s="7">
        <v>0.16213490068912509</v>
      </c>
      <c r="Z5" s="7">
        <v>4.9829393625259399E-2</v>
      </c>
      <c r="AA5" s="7">
        <v>-9.6141993999481201E-3</v>
      </c>
      <c r="AB5" s="7">
        <v>-9.4462800770998001E-3</v>
      </c>
      <c r="AC5" s="7">
        <v>-1.5571466647088529E-2</v>
      </c>
      <c r="AD5" s="7">
        <v>-5.6024580262601384E-3</v>
      </c>
      <c r="AE5" s="7">
        <v>2.4225909262895581E-2</v>
      </c>
      <c r="AF5" s="7">
        <v>6.4355872571468353E-2</v>
      </c>
      <c r="AG5" s="7">
        <v>6.0781430453062057E-2</v>
      </c>
      <c r="AH5" s="7">
        <v>2.877256274223328E-2</v>
      </c>
      <c r="AI5" s="7">
        <v>4.2393732815980911E-2</v>
      </c>
      <c r="AJ5" s="7">
        <v>1.3549104332923889E-2</v>
      </c>
      <c r="AK5" s="7">
        <v>0.104340173304081</v>
      </c>
      <c r="AL5" s="7">
        <v>2.3477694019675251E-2</v>
      </c>
      <c r="AM5" s="7">
        <v>4.9679871648550027E-2</v>
      </c>
      <c r="AN5" s="7">
        <v>-1.9429741427302361E-2</v>
      </c>
      <c r="AO5" s="7">
        <v>-9.9202198907732964E-3</v>
      </c>
      <c r="AP5" s="7">
        <v>1.375884562730789E-2</v>
      </c>
      <c r="AQ5" s="7">
        <v>-4.9647921696305266E-3</v>
      </c>
      <c r="AR5" s="7">
        <v>-1.355784293264151E-2</v>
      </c>
      <c r="AS5" s="7">
        <v>-2.6926254853606221E-2</v>
      </c>
      <c r="AT5" s="7">
        <v>-7.0274341851472846E-3</v>
      </c>
      <c r="AU5" s="7">
        <v>9.5545966178178787E-3</v>
      </c>
      <c r="AV5" s="7">
        <v>3.9484385401010513E-2</v>
      </c>
      <c r="AW5" s="7">
        <v>1.0149263776838779E-2</v>
      </c>
      <c r="AX5" s="7">
        <v>2.7402361854910851E-2</v>
      </c>
      <c r="AY5" s="7">
        <v>3.636043518781662E-2</v>
      </c>
      <c r="AZ5" s="7">
        <v>-1.262158527970314E-2</v>
      </c>
      <c r="BA5" s="7">
        <v>5.0261570140719414E-3</v>
      </c>
      <c r="BB5" s="7">
        <v>3.7919752299785607E-2</v>
      </c>
      <c r="BC5" s="7">
        <v>5.3017329424619668E-2</v>
      </c>
      <c r="BD5" s="7">
        <v>-5.6791070848703377E-2</v>
      </c>
      <c r="BE5" s="7">
        <v>-1.0663941502571109E-2</v>
      </c>
      <c r="BF5" s="7">
        <v>-4.5907318592071533E-2</v>
      </c>
      <c r="BG5" s="7">
        <v>-4.1811093688011169E-2</v>
      </c>
      <c r="BH5" s="7">
        <v>-8.6124790832400322E-3</v>
      </c>
      <c r="BI5" s="7">
        <v>5.799414124339819E-3</v>
      </c>
      <c r="BJ5" s="7">
        <v>-1.243619527667761E-2</v>
      </c>
      <c r="BK5" s="7">
        <v>2.8031732887029651E-2</v>
      </c>
      <c r="BL5" s="7">
        <v>1.237457524985075E-2</v>
      </c>
      <c r="BM5" s="7">
        <v>3.3071968704462051E-2</v>
      </c>
      <c r="BN5" s="7">
        <v>5.3148314356803887E-2</v>
      </c>
      <c r="BO5" s="7">
        <v>-2.6408641133457422E-4</v>
      </c>
      <c r="BP5" s="7">
        <v>2.5249753147363659E-2</v>
      </c>
      <c r="BQ5" s="7">
        <v>1.6997437924146649E-2</v>
      </c>
      <c r="BR5" s="7">
        <v>3.9869185537099838E-2</v>
      </c>
      <c r="BS5" s="7">
        <v>1.4649398624897E-2</v>
      </c>
      <c r="BT5" s="7">
        <v>-1.352826133370399E-3</v>
      </c>
      <c r="BU5" s="7">
        <v>-1.624243147671223E-2</v>
      </c>
      <c r="BV5" s="7">
        <v>-1.9686918705701831E-2</v>
      </c>
      <c r="BW5" s="7">
        <v>1.865353994071484E-2</v>
      </c>
      <c r="BX5" s="7">
        <v>1.243885513395071E-2</v>
      </c>
      <c r="BY5" s="7">
        <v>1.172025687992573E-2</v>
      </c>
      <c r="BZ5" s="7">
        <v>2.6449056342244152E-2</v>
      </c>
      <c r="CA5" s="7">
        <v>2.04578060656786E-2</v>
      </c>
      <c r="CB5" s="7">
        <v>-1.0790687054395681E-2</v>
      </c>
      <c r="CC5" s="7">
        <v>2.7279853820800781E-2</v>
      </c>
      <c r="CD5" s="7">
        <v>-2.825878094881773E-3</v>
      </c>
      <c r="CE5" s="7">
        <v>-3.9107587188482278E-2</v>
      </c>
      <c r="CF5" s="7">
        <v>2.643934823572636E-2</v>
      </c>
      <c r="CG5" s="7">
        <v>-1.353815849870443E-2</v>
      </c>
      <c r="CH5" s="7">
        <v>3.3741135150194168E-2</v>
      </c>
      <c r="CI5" s="7">
        <v>-1.802918687462807E-2</v>
      </c>
      <c r="CJ5" s="7">
        <v>7.7282674610614777E-3</v>
      </c>
      <c r="CK5" s="7">
        <v>4.5171476900577552E-2</v>
      </c>
      <c r="CL5" s="7">
        <v>-1.4336470048874621E-3</v>
      </c>
      <c r="CM5" s="7">
        <v>-4.3408293277025223E-2</v>
      </c>
      <c r="CN5" s="7">
        <v>-4.8494711518287659E-2</v>
      </c>
      <c r="CO5" s="7">
        <v>-3.4412361681461327E-2</v>
      </c>
      <c r="CP5" s="7">
        <v>-3.1831637024879463E-2</v>
      </c>
      <c r="CQ5" s="7">
        <v>-2.954593114554882E-2</v>
      </c>
      <c r="CR5" s="7">
        <v>-4.6193767338991172E-2</v>
      </c>
      <c r="CS5" s="7">
        <v>-2.2423639893531799E-2</v>
      </c>
      <c r="CT5" s="7">
        <v>2.7818739414215091E-2</v>
      </c>
      <c r="CU5" s="7">
        <v>3.4685932099819183E-2</v>
      </c>
      <c r="CV5" s="7">
        <v>2.074115909636021E-2</v>
      </c>
      <c r="CW5" s="7">
        <v>3.9250623434782028E-2</v>
      </c>
      <c r="CX5" s="7">
        <v>2.3623250424861911E-2</v>
      </c>
      <c r="CY5" s="7">
        <v>2.0947696641087529E-2</v>
      </c>
      <c r="CZ5" s="7">
        <v>2.7976941782981162E-3</v>
      </c>
      <c r="DA5" s="7">
        <v>3.1392037868499763E-2</v>
      </c>
      <c r="DB5" s="7">
        <v>2.502433024346828E-3</v>
      </c>
      <c r="DC5" s="7">
        <v>4.6531397849321372E-2</v>
      </c>
      <c r="DD5" s="7">
        <v>3.7525448948144913E-2</v>
      </c>
      <c r="DE5" s="7">
        <v>6.0277972370386117E-2</v>
      </c>
      <c r="DF5" s="7">
        <v>-1.6737030819058418E-2</v>
      </c>
      <c r="DG5" s="7">
        <v>-9.5816031098365784E-3</v>
      </c>
      <c r="DH5" s="7">
        <v>2.3357640951871868E-2</v>
      </c>
      <c r="DI5" s="7">
        <v>-4.1918892413377762E-2</v>
      </c>
      <c r="DJ5" s="7">
        <v>-1.131146331317723E-3</v>
      </c>
      <c r="DK5" s="7">
        <v>4.1163764894008643E-2</v>
      </c>
      <c r="DL5" s="7">
        <v>2.8391024097800251E-2</v>
      </c>
      <c r="DM5" s="7">
        <v>-2.8915755450725559E-2</v>
      </c>
      <c r="DN5" s="7">
        <v>-1.6116663813591E-2</v>
      </c>
      <c r="DO5" s="7">
        <v>-4.4103553518652916E-3</v>
      </c>
      <c r="DP5" s="7">
        <v>-2.803636156022549E-2</v>
      </c>
      <c r="DQ5" s="7">
        <v>3.730235388502479E-3</v>
      </c>
      <c r="DR5" s="7">
        <v>4.8961839638650417E-3</v>
      </c>
      <c r="DS5" s="7">
        <v>1.518423017114401E-2</v>
      </c>
      <c r="DT5" s="7">
        <v>-2.709389291703701E-2</v>
      </c>
      <c r="DU5" s="7">
        <v>2.157741412520409E-2</v>
      </c>
      <c r="DV5" s="7">
        <v>-1.6142900567501779E-3</v>
      </c>
      <c r="DW5" s="7">
        <v>-4.1363826021552086E-3</v>
      </c>
      <c r="DX5" s="7">
        <v>-4.4376425445079803E-2</v>
      </c>
      <c r="DY5" s="7">
        <v>-3.3609867095947273E-2</v>
      </c>
      <c r="DZ5" s="7">
        <v>-4.8759568482637412E-2</v>
      </c>
      <c r="EA5" s="7">
        <v>5.7486207224428654E-3</v>
      </c>
      <c r="EB5" s="7">
        <v>5.8685941621661186E-3</v>
      </c>
      <c r="EC5" s="7">
        <v>4.229099303483963E-2</v>
      </c>
      <c r="ED5" s="7">
        <v>2.5345668196678162E-2</v>
      </c>
      <c r="EE5" s="7">
        <v>7.0743728429079056E-3</v>
      </c>
      <c r="EF5" s="7">
        <v>3.71592678129673E-2</v>
      </c>
      <c r="EG5" s="1"/>
    </row>
    <row r="6" spans="1:137" x14ac:dyDescent="0.3">
      <c r="A6" s="10" t="s">
        <v>138</v>
      </c>
      <c r="B6" s="11"/>
      <c r="C6" s="7">
        <f t="array" ref="C6">MATCH(MAX(ABS(C3:C5)), ABS(C3:C5), 0)</f>
        <v>1</v>
      </c>
      <c r="D6" s="7">
        <f t="array" ref="D6">MATCH(MAX(ABS(D3:D5)), ABS(D3:D5), 0)</f>
        <v>2</v>
      </c>
      <c r="E6" s="7">
        <f t="array" ref="E6">MATCH(MAX(ABS(E3:E5)), ABS(E3:E5), 0)</f>
        <v>1</v>
      </c>
      <c r="F6" s="7">
        <f t="array" ref="F6">MATCH(MAX(ABS(F3:F5)), ABS(F3:F5), 0)</f>
        <v>1</v>
      </c>
      <c r="G6" s="7">
        <f t="array" ref="G6">MATCH(MAX(ABS(G3:G5)), ABS(G3:G5), 0)</f>
        <v>1</v>
      </c>
      <c r="H6" s="7">
        <f t="array" ref="H6">MATCH(MAX(ABS(H3:H5)), ABS(H3:H5), 0)</f>
        <v>1</v>
      </c>
      <c r="I6" s="7">
        <f t="array" ref="I6">MATCH(MAX(ABS(I3:I5)), ABS(I3:I5), 0)</f>
        <v>1</v>
      </c>
      <c r="J6" s="7">
        <f t="array" ref="J6">MATCH(MAX(ABS(J3:J5)), ABS(J3:J5), 0)</f>
        <v>2</v>
      </c>
      <c r="K6" s="7">
        <f t="array" ref="K6">MATCH(MAX(ABS(K3:K5)), ABS(K3:K5), 0)</f>
        <v>1</v>
      </c>
      <c r="L6" s="7">
        <f t="array" ref="L6">MATCH(MAX(ABS(L3:L5)), ABS(L3:L5), 0)</f>
        <v>1</v>
      </c>
      <c r="M6" s="7">
        <f t="array" ref="M6">MATCH(MAX(ABS(M3:M5)), ABS(M3:M5), 0)</f>
        <v>3</v>
      </c>
      <c r="N6" s="7">
        <f t="array" ref="N6">MATCH(MAX(ABS(N3:N5)), ABS(N3:N5), 0)</f>
        <v>1</v>
      </c>
      <c r="O6" s="7">
        <f t="array" ref="O6">MATCH(MAX(ABS(O3:O5)), ABS(O3:O5), 0)</f>
        <v>2</v>
      </c>
      <c r="P6" s="7">
        <f t="array" ref="P6">MATCH(MAX(ABS(P3:P5)), ABS(P3:P5), 0)</f>
        <v>3</v>
      </c>
      <c r="Q6" s="7">
        <f t="array" ref="Q6">MATCH(MAX(ABS(Q3:Q5)), ABS(Q3:Q5), 0)</f>
        <v>1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2</v>
      </c>
      <c r="U6" s="7">
        <f t="array" ref="U6">MATCH(MAX(ABS(U3:U5)), ABS(U3:U5), 0)</f>
        <v>1</v>
      </c>
      <c r="V6" s="7">
        <f t="array" ref="V6">MATCH(MAX(ABS(V3:V5)), ABS(V3:V5), 0)</f>
        <v>3</v>
      </c>
      <c r="W6" s="7">
        <f t="array" ref="W6">MATCH(MAX(ABS(W3:W5)), ABS(W3:W5), 0)</f>
        <v>3</v>
      </c>
      <c r="X6" s="7">
        <f t="array" ref="X6">MATCH(MAX(ABS(X3:X5)), ABS(X3:X5), 0)</f>
        <v>2</v>
      </c>
      <c r="Y6" s="7">
        <f t="array" ref="Y6">MATCH(MAX(ABS(Y3:Y5)), ABS(Y3:Y5), 0)</f>
        <v>3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2</v>
      </c>
      <c r="AC6" s="7">
        <f t="array" ref="AC6">MATCH(MAX(ABS(AC3:AC5)), ABS(AC3:AC5), 0)</f>
        <v>1</v>
      </c>
      <c r="AD6" s="7">
        <f t="array" ref="AD6">MATCH(MAX(ABS(AD3:AD5)), ABS(AD3:AD5), 0)</f>
        <v>2</v>
      </c>
      <c r="AE6" s="7">
        <f t="array" ref="AE6">MATCH(MAX(ABS(AE3:AE5)), ABS(AE3:AE5), 0)</f>
        <v>2</v>
      </c>
      <c r="AF6" s="7">
        <f t="array" ref="AF6">MATCH(MAX(ABS(AF3:AF5)), ABS(AF3:AF5), 0)</f>
        <v>3</v>
      </c>
      <c r="AG6" s="7">
        <f t="array" ref="AG6">MATCH(MAX(ABS(AG3:AG5)), ABS(AG3:AG5), 0)</f>
        <v>3</v>
      </c>
      <c r="AH6" s="7">
        <f t="array" ref="AH6">MATCH(MAX(ABS(AH3:AH5)), ABS(AH3:AH5), 0)</f>
        <v>2</v>
      </c>
      <c r="AI6" s="7">
        <f t="array" ref="AI6">MATCH(MAX(ABS(AI3:AI5)), ABS(AI3:AI5), 0)</f>
        <v>3</v>
      </c>
      <c r="AJ6" s="7">
        <f t="array" ref="AJ6">MATCH(MAX(ABS(AJ3:AJ5)), ABS(AJ3:AJ5), 0)</f>
        <v>2</v>
      </c>
      <c r="AK6" s="7">
        <f t="array" ref="AK6">MATCH(MAX(ABS(AK3:AK5)), ABS(AK3:AK5), 0)</f>
        <v>3</v>
      </c>
      <c r="AL6" s="7">
        <f t="array" ref="AL6">MATCH(MAX(ABS(AL3:AL5)), ABS(AL3:AL5), 0)</f>
        <v>3</v>
      </c>
      <c r="AM6" s="7">
        <f t="array" ref="AM6">MATCH(MAX(ABS(AM3:AM5)), ABS(AM3:AM5), 0)</f>
        <v>3</v>
      </c>
      <c r="AN6" s="7">
        <f t="array" ref="AN6">MATCH(MAX(ABS(AN3:AN5)), ABS(AN3:AN5), 0)</f>
        <v>2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2</v>
      </c>
      <c r="AS6" s="7">
        <f t="array" ref="AS6">MATCH(MAX(ABS(AS3:AS5)), ABS(AS3:AS5), 0)</f>
        <v>3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3</v>
      </c>
      <c r="AY6" s="7">
        <f t="array" ref="AY6">MATCH(MAX(ABS(AY3:AY5)), ABS(AY3:AY5), 0)</f>
        <v>3</v>
      </c>
      <c r="AZ6" s="7">
        <f t="array" ref="AZ6">MATCH(MAX(ABS(AZ3:AZ5)), ABS(AZ3:AZ5), 0)</f>
        <v>1</v>
      </c>
      <c r="BA6" s="7">
        <f t="array" ref="BA6">MATCH(MAX(ABS(BA3:BA5)), ABS(BA3:BA5), 0)</f>
        <v>1</v>
      </c>
      <c r="BB6" s="7">
        <f t="array" ref="BB6">MATCH(MAX(ABS(BB3:BB5)), ABS(BB3:BB5), 0)</f>
        <v>2</v>
      </c>
      <c r="BC6" s="7">
        <f t="array" ref="BC6">MATCH(MAX(ABS(BC3:BC5)), ABS(BC3:BC5), 0)</f>
        <v>3</v>
      </c>
      <c r="BD6" s="7">
        <f t="array" ref="BD6">MATCH(MAX(ABS(BD3:BD5)), ABS(BD3:BD5), 0)</f>
        <v>1</v>
      </c>
      <c r="BE6" s="7">
        <f t="array" ref="BE6">MATCH(MAX(ABS(BE3:BE5)), ABS(BE3:BE5), 0)</f>
        <v>2</v>
      </c>
      <c r="BF6" s="7">
        <f t="array" ref="BF6">MATCH(MAX(ABS(BF3:BF5)), ABS(BF3:BF5), 0)</f>
        <v>2</v>
      </c>
      <c r="BG6" s="7">
        <f t="array" ref="BG6">MATCH(MAX(ABS(BG3:BG5)), ABS(BG3:BG5), 0)</f>
        <v>2</v>
      </c>
      <c r="BH6" s="7">
        <f t="array" ref="BH6">MATCH(MAX(ABS(BH3:BH5)), ABS(BH3:BH5), 0)</f>
        <v>2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2</v>
      </c>
      <c r="BL6" s="7">
        <f t="array" ref="BL6">MATCH(MAX(ABS(BL3:BL5)), ABS(BL3:BL5), 0)</f>
        <v>2</v>
      </c>
      <c r="BM6" s="7">
        <f t="array" ref="BM6">MATCH(MAX(ABS(BM3:BM5)), ABS(BM3:BM5), 0)</f>
        <v>2</v>
      </c>
      <c r="BN6" s="7">
        <f t="array" ref="BN6">MATCH(MAX(ABS(BN3:BN5)), ABS(BN3:BN5), 0)</f>
        <v>2</v>
      </c>
      <c r="BO6" s="7">
        <f t="array" ref="BO6">MATCH(MAX(ABS(BO3:BO5)), ABS(BO3:BO5), 0)</f>
        <v>2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3</v>
      </c>
      <c r="BS6" s="7">
        <f t="array" ref="BS6">MATCH(MAX(ABS(BS3:BS5)), ABS(BS3:BS5), 0)</f>
        <v>1</v>
      </c>
      <c r="BT6" s="7">
        <f t="array" ref="BT6">MATCH(MAX(ABS(BT3:BT5)), ABS(BT3:BT5), 0)</f>
        <v>2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2</v>
      </c>
      <c r="BZ6" s="7">
        <f t="array" ref="BZ6">MATCH(MAX(ABS(BZ3:BZ5)), ABS(BZ3:BZ5), 0)</f>
        <v>1</v>
      </c>
      <c r="CA6" s="7">
        <f t="array" ref="CA6">MATCH(MAX(ABS(CA3:CA5)), ABS(CA3:CA5), 0)</f>
        <v>2</v>
      </c>
      <c r="CB6" s="7">
        <f t="array" ref="CB6">MATCH(MAX(ABS(CB3:CB5)), ABS(CB3:CB5), 0)</f>
        <v>2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3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2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3</v>
      </c>
      <c r="CN6" s="7">
        <f t="array" ref="CN6">MATCH(MAX(ABS(CN3:CN5)), ABS(CN3:CN5), 0)</f>
        <v>3</v>
      </c>
      <c r="CO6" s="7">
        <f t="array" ref="CO6">MATCH(MAX(ABS(CO3:CO5)), ABS(CO3:CO5), 0)</f>
        <v>3</v>
      </c>
      <c r="CP6" s="7">
        <f t="array" ref="CP6">MATCH(MAX(ABS(CP3:CP5)), ABS(CP3:CP5), 0)</f>
        <v>1</v>
      </c>
      <c r="CQ6" s="7">
        <f t="array" ref="CQ6">MATCH(MAX(ABS(CQ3:CQ5)), ABS(CQ3:CQ5), 0)</f>
        <v>1</v>
      </c>
      <c r="CR6" s="7">
        <f t="array" ref="CR6">MATCH(MAX(ABS(CR3:CR5)), ABS(CR3:CR5), 0)</f>
        <v>1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2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3</v>
      </c>
      <c r="DD6" s="7">
        <f t="array" ref="DD6">MATCH(MAX(ABS(DD3:DD5)), ABS(DD3:DD5), 0)</f>
        <v>1</v>
      </c>
      <c r="DE6" s="7">
        <f t="array" ref="DE6">MATCH(MAX(ABS(DE3:DE5)), ABS(DE3:DE5), 0)</f>
        <v>3</v>
      </c>
      <c r="DF6" s="7">
        <f t="array" ref="DF6">MATCH(MAX(ABS(DF3:DF5)), ABS(DF3:DF5), 0)</f>
        <v>2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3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3</v>
      </c>
      <c r="DM6" s="7">
        <f t="array" ref="DM6">MATCH(MAX(ABS(DM3:DM5)), ABS(DM3:DM5), 0)</f>
        <v>1</v>
      </c>
      <c r="DN6" s="7">
        <f t="array" ref="DN6">MATCH(MAX(ABS(DN3:DN5)), ABS(DN3:DN5), 0)</f>
        <v>2</v>
      </c>
      <c r="DO6" s="7">
        <f t="array" ref="DO6">MATCH(MAX(ABS(DO3:DO5)), ABS(DO3:DO5), 0)</f>
        <v>2</v>
      </c>
      <c r="DP6" s="7">
        <f t="array" ref="DP6">MATCH(MAX(ABS(DP3:DP5)), ABS(DP3:DP5), 0)</f>
        <v>2</v>
      </c>
      <c r="DQ6" s="7">
        <f t="array" ref="DQ6">MATCH(MAX(ABS(DQ3:DQ5)), ABS(DQ3:DQ5), 0)</f>
        <v>2</v>
      </c>
      <c r="DR6" s="7">
        <f t="array" ref="DR6">MATCH(MAX(ABS(DR3:DR5)), ABS(DR3:DR5), 0)</f>
        <v>2</v>
      </c>
      <c r="DS6" s="7">
        <f t="array" ref="DS6">MATCH(MAX(ABS(DS3:DS5)), ABS(DS3:DS5), 0)</f>
        <v>2</v>
      </c>
      <c r="DT6" s="7">
        <f t="array" ref="DT6">MATCH(MAX(ABS(DT3:DT5)), ABS(DT3:DT5), 0)</f>
        <v>1</v>
      </c>
      <c r="DU6" s="7">
        <f t="array" ref="DU6">MATCH(MAX(ABS(DU3:DU5)), ABS(DU3:DU5), 0)</f>
        <v>1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2</v>
      </c>
      <c r="EC6" s="7">
        <f t="array" ref="EC6">MATCH(MAX(ABS(EC3:EC5)), ABS(EC3:EC5), 0)</f>
        <v>3</v>
      </c>
      <c r="ED6" s="7">
        <f t="array" ref="ED6">MATCH(MAX(ABS(ED3:ED5)), ABS(ED3:ED5), 0)</f>
        <v>1</v>
      </c>
      <c r="EE6" s="7">
        <f t="array" ref="EE6">MATCH(MAX(ABS(EE3:EE5)), ABS(EE3:EE5), 0)</f>
        <v>2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7" x14ac:dyDescent="0.3">
      <c r="C7" s="7" t="str">
        <f t="shared" ref="C7:AH7" si="0">IF(C6=1,"bm",IF(C6=2,"size",IF(C6=3,"mom")))</f>
        <v>bm</v>
      </c>
      <c r="D7" s="7" t="str">
        <f t="shared" si="0"/>
        <v>size</v>
      </c>
      <c r="E7" s="7" t="str">
        <f t="shared" si="0"/>
        <v>bm</v>
      </c>
      <c r="F7" s="7" t="str">
        <f t="shared" si="0"/>
        <v>bm</v>
      </c>
      <c r="G7" s="7" t="str">
        <f t="shared" si="0"/>
        <v>bm</v>
      </c>
      <c r="H7" s="7" t="str">
        <f t="shared" si="0"/>
        <v>bm</v>
      </c>
      <c r="I7" s="7" t="str">
        <f t="shared" si="0"/>
        <v>bm</v>
      </c>
      <c r="J7" s="7" t="str">
        <f t="shared" si="0"/>
        <v>size</v>
      </c>
      <c r="K7" s="7" t="str">
        <f t="shared" si="0"/>
        <v>bm</v>
      </c>
      <c r="L7" s="7" t="str">
        <f t="shared" si="0"/>
        <v>bm</v>
      </c>
      <c r="M7" s="7" t="str">
        <f t="shared" si="0"/>
        <v>mom</v>
      </c>
      <c r="N7" s="7" t="str">
        <f t="shared" si="0"/>
        <v>bm</v>
      </c>
      <c r="O7" s="7" t="str">
        <f t="shared" si="0"/>
        <v>size</v>
      </c>
      <c r="P7" s="7" t="str">
        <f t="shared" si="0"/>
        <v>mom</v>
      </c>
      <c r="Q7" s="7" t="str">
        <f t="shared" si="0"/>
        <v>bm</v>
      </c>
      <c r="R7" s="7" t="str">
        <f t="shared" si="0"/>
        <v>size</v>
      </c>
      <c r="S7" s="7" t="str">
        <f t="shared" si="0"/>
        <v>size</v>
      </c>
      <c r="T7" s="7" t="str">
        <f t="shared" si="0"/>
        <v>size</v>
      </c>
      <c r="U7" s="7" t="str">
        <f t="shared" si="0"/>
        <v>bm</v>
      </c>
      <c r="V7" s="7" t="str">
        <f t="shared" si="0"/>
        <v>mom</v>
      </c>
      <c r="W7" s="7" t="str">
        <f t="shared" si="0"/>
        <v>mom</v>
      </c>
      <c r="X7" s="7" t="str">
        <f t="shared" si="0"/>
        <v>size</v>
      </c>
      <c r="Y7" s="7" t="str">
        <f t="shared" si="0"/>
        <v>mom</v>
      </c>
      <c r="Z7" s="7" t="str">
        <f t="shared" si="0"/>
        <v>size</v>
      </c>
      <c r="AA7" s="7" t="str">
        <f t="shared" si="0"/>
        <v>size</v>
      </c>
      <c r="AB7" s="7" t="str">
        <f t="shared" si="0"/>
        <v>size</v>
      </c>
      <c r="AC7" s="7" t="str">
        <f t="shared" si="0"/>
        <v>bm</v>
      </c>
      <c r="AD7" s="7" t="str">
        <f t="shared" si="0"/>
        <v>size</v>
      </c>
      <c r="AE7" s="7" t="str">
        <f t="shared" si="0"/>
        <v>size</v>
      </c>
      <c r="AF7" s="7" t="str">
        <f t="shared" si="0"/>
        <v>mom</v>
      </c>
      <c r="AG7" s="7" t="str">
        <f t="shared" si="0"/>
        <v>mom</v>
      </c>
      <c r="AH7" s="7" t="str">
        <f t="shared" si="0"/>
        <v>size</v>
      </c>
      <c r="AI7" s="7" t="str">
        <f t="shared" ref="AI7:BN7" si="1">IF(AI6=1,"bm",IF(AI6=2,"size",IF(AI6=3,"mom")))</f>
        <v>mom</v>
      </c>
      <c r="AJ7" s="7" t="str">
        <f t="shared" si="1"/>
        <v>size</v>
      </c>
      <c r="AK7" s="7" t="str">
        <f t="shared" si="1"/>
        <v>mom</v>
      </c>
      <c r="AL7" s="7" t="str">
        <f t="shared" si="1"/>
        <v>mom</v>
      </c>
      <c r="AM7" s="7" t="str">
        <f t="shared" si="1"/>
        <v>mom</v>
      </c>
      <c r="AN7" s="7" t="str">
        <f t="shared" si="1"/>
        <v>size</v>
      </c>
      <c r="AO7" s="7" t="str">
        <f t="shared" si="1"/>
        <v>bm</v>
      </c>
      <c r="AP7" s="7" t="str">
        <f t="shared" si="1"/>
        <v>bm</v>
      </c>
      <c r="AQ7" s="7" t="str">
        <f t="shared" si="1"/>
        <v>bm</v>
      </c>
      <c r="AR7" s="7" t="str">
        <f t="shared" si="1"/>
        <v>size</v>
      </c>
      <c r="AS7" s="7" t="str">
        <f t="shared" si="1"/>
        <v>mom</v>
      </c>
      <c r="AT7" s="7" t="str">
        <f t="shared" si="1"/>
        <v>bm</v>
      </c>
      <c r="AU7" s="7" t="str">
        <f t="shared" si="1"/>
        <v>bm</v>
      </c>
      <c r="AV7" s="7" t="str">
        <f t="shared" si="1"/>
        <v>bm</v>
      </c>
      <c r="AW7" s="7" t="str">
        <f t="shared" si="1"/>
        <v>bm</v>
      </c>
      <c r="AX7" s="7" t="str">
        <f t="shared" si="1"/>
        <v>mom</v>
      </c>
      <c r="AY7" s="7" t="str">
        <f t="shared" si="1"/>
        <v>mom</v>
      </c>
      <c r="AZ7" s="7" t="str">
        <f t="shared" si="1"/>
        <v>bm</v>
      </c>
      <c r="BA7" s="7" t="str">
        <f t="shared" si="1"/>
        <v>bm</v>
      </c>
      <c r="BB7" s="7" t="str">
        <f t="shared" si="1"/>
        <v>size</v>
      </c>
      <c r="BC7" s="7" t="str">
        <f t="shared" si="1"/>
        <v>mom</v>
      </c>
      <c r="BD7" s="7" t="str">
        <f t="shared" si="1"/>
        <v>bm</v>
      </c>
      <c r="BE7" s="7" t="str">
        <f t="shared" si="1"/>
        <v>size</v>
      </c>
      <c r="BF7" s="7" t="str">
        <f t="shared" si="1"/>
        <v>size</v>
      </c>
      <c r="BG7" s="7" t="str">
        <f t="shared" si="1"/>
        <v>size</v>
      </c>
      <c r="BH7" s="7" t="str">
        <f t="shared" si="1"/>
        <v>size</v>
      </c>
      <c r="BI7" s="7" t="str">
        <f t="shared" si="1"/>
        <v>bm</v>
      </c>
      <c r="BJ7" s="7" t="str">
        <f t="shared" si="1"/>
        <v>bm</v>
      </c>
      <c r="BK7" s="7" t="str">
        <f t="shared" si="1"/>
        <v>size</v>
      </c>
      <c r="BL7" s="7" t="str">
        <f t="shared" si="1"/>
        <v>size</v>
      </c>
      <c r="BM7" s="7" t="str">
        <f t="shared" si="1"/>
        <v>size</v>
      </c>
      <c r="BN7" s="7" t="str">
        <f t="shared" si="1"/>
        <v>size</v>
      </c>
      <c r="BO7" s="7" t="str">
        <f t="shared" ref="BO7:CT7" si="2">IF(BO6=1,"bm",IF(BO6=2,"size",IF(BO6=3,"mom")))</f>
        <v>size</v>
      </c>
      <c r="BP7" s="7" t="str">
        <f t="shared" si="2"/>
        <v>bm</v>
      </c>
      <c r="BQ7" s="7" t="str">
        <f t="shared" si="2"/>
        <v>bm</v>
      </c>
      <c r="BR7" s="7" t="str">
        <f t="shared" si="2"/>
        <v>mom</v>
      </c>
      <c r="BS7" s="7" t="str">
        <f t="shared" si="2"/>
        <v>bm</v>
      </c>
      <c r="BT7" s="7" t="str">
        <f t="shared" si="2"/>
        <v>size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size</v>
      </c>
      <c r="BZ7" s="7" t="str">
        <f t="shared" si="2"/>
        <v>bm</v>
      </c>
      <c r="CA7" s="7" t="str">
        <f t="shared" si="2"/>
        <v>size</v>
      </c>
      <c r="CB7" s="7" t="str">
        <f t="shared" si="2"/>
        <v>size</v>
      </c>
      <c r="CC7" s="7" t="str">
        <f t="shared" si="2"/>
        <v>size</v>
      </c>
      <c r="CD7" s="7" t="str">
        <f t="shared" si="2"/>
        <v>size</v>
      </c>
      <c r="CE7" s="7" t="str">
        <f t="shared" si="2"/>
        <v>size</v>
      </c>
      <c r="CF7" s="7" t="str">
        <f t="shared" si="2"/>
        <v>mom</v>
      </c>
      <c r="CG7" s="7" t="str">
        <f t="shared" si="2"/>
        <v>size</v>
      </c>
      <c r="CH7" s="7" t="str">
        <f t="shared" si="2"/>
        <v>bm</v>
      </c>
      <c r="CI7" s="7" t="str">
        <f t="shared" si="2"/>
        <v>size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mom</v>
      </c>
      <c r="CN7" s="7" t="str">
        <f t="shared" si="2"/>
        <v>mom</v>
      </c>
      <c r="CO7" s="7" t="str">
        <f t="shared" si="2"/>
        <v>mom</v>
      </c>
      <c r="CP7" s="7" t="str">
        <f t="shared" si="2"/>
        <v>bm</v>
      </c>
      <c r="CQ7" s="7" t="str">
        <f t="shared" si="2"/>
        <v>bm</v>
      </c>
      <c r="CR7" s="7" t="str">
        <f t="shared" si="2"/>
        <v>bm</v>
      </c>
      <c r="CS7" s="7" t="str">
        <f t="shared" si="2"/>
        <v>size</v>
      </c>
      <c r="CT7" s="7" t="str">
        <f t="shared" si="2"/>
        <v>bm</v>
      </c>
      <c r="CU7" s="7" t="str">
        <f t="shared" ref="CU7:DZ7" si="3">IF(CU6=1,"bm",IF(CU6=2,"size",IF(CU6=3,"mom")))</f>
        <v>bm</v>
      </c>
      <c r="CV7" s="7" t="str">
        <f t="shared" si="3"/>
        <v>bm</v>
      </c>
      <c r="CW7" s="7" t="str">
        <f t="shared" si="3"/>
        <v>bm</v>
      </c>
      <c r="CX7" s="7" t="str">
        <f t="shared" si="3"/>
        <v>size</v>
      </c>
      <c r="CY7" s="7" t="str">
        <f t="shared" si="3"/>
        <v>bm</v>
      </c>
      <c r="CZ7" s="7" t="str">
        <f t="shared" si="3"/>
        <v>bm</v>
      </c>
      <c r="DA7" s="7" t="str">
        <f t="shared" si="3"/>
        <v>bm</v>
      </c>
      <c r="DB7" s="7" t="str">
        <f t="shared" si="3"/>
        <v>bm</v>
      </c>
      <c r="DC7" s="7" t="str">
        <f t="shared" si="3"/>
        <v>mom</v>
      </c>
      <c r="DD7" s="7" t="str">
        <f t="shared" si="3"/>
        <v>bm</v>
      </c>
      <c r="DE7" s="7" t="str">
        <f t="shared" si="3"/>
        <v>mom</v>
      </c>
      <c r="DF7" s="7" t="str">
        <f t="shared" si="3"/>
        <v>size</v>
      </c>
      <c r="DG7" s="7" t="str">
        <f t="shared" si="3"/>
        <v>bm</v>
      </c>
      <c r="DH7" s="7" t="str">
        <f t="shared" si="3"/>
        <v>bm</v>
      </c>
      <c r="DI7" s="7" t="str">
        <f t="shared" si="3"/>
        <v>mom</v>
      </c>
      <c r="DJ7" s="7" t="str">
        <f t="shared" si="3"/>
        <v>size</v>
      </c>
      <c r="DK7" s="7" t="str">
        <f t="shared" si="3"/>
        <v>bm</v>
      </c>
      <c r="DL7" s="7" t="str">
        <f t="shared" si="3"/>
        <v>mom</v>
      </c>
      <c r="DM7" s="7" t="str">
        <f t="shared" si="3"/>
        <v>bm</v>
      </c>
      <c r="DN7" s="7" t="str">
        <f t="shared" si="3"/>
        <v>size</v>
      </c>
      <c r="DO7" s="7" t="str">
        <f t="shared" si="3"/>
        <v>size</v>
      </c>
      <c r="DP7" s="7" t="str">
        <f t="shared" si="3"/>
        <v>size</v>
      </c>
      <c r="DQ7" s="7" t="str">
        <f t="shared" si="3"/>
        <v>size</v>
      </c>
      <c r="DR7" s="7" t="str">
        <f t="shared" si="3"/>
        <v>size</v>
      </c>
      <c r="DS7" s="7" t="str">
        <f t="shared" si="3"/>
        <v>size</v>
      </c>
      <c r="DT7" s="7" t="str">
        <f t="shared" si="3"/>
        <v>bm</v>
      </c>
      <c r="DU7" s="7" t="str">
        <f t="shared" si="3"/>
        <v>bm</v>
      </c>
      <c r="DV7" s="7" t="str">
        <f t="shared" si="3"/>
        <v>bm</v>
      </c>
      <c r="DW7" s="7" t="str">
        <f t="shared" si="3"/>
        <v>bm</v>
      </c>
      <c r="DX7" s="7" t="str">
        <f t="shared" si="3"/>
        <v>mom</v>
      </c>
      <c r="DY7" s="7" t="str">
        <f t="shared" si="3"/>
        <v>mom</v>
      </c>
      <c r="DZ7" s="7" t="str">
        <f t="shared" si="3"/>
        <v>mom</v>
      </c>
      <c r="EA7" s="7" t="str">
        <f t="shared" ref="EA7:FF7" si="4">IF(EA6=1,"bm",IF(EA6=2,"size",IF(EA6=3,"mom")))</f>
        <v>size</v>
      </c>
      <c r="EB7" s="7" t="str">
        <f t="shared" si="4"/>
        <v>size</v>
      </c>
      <c r="EC7" s="7" t="str">
        <f t="shared" si="4"/>
        <v>mom</v>
      </c>
      <c r="ED7" s="7" t="str">
        <f t="shared" si="4"/>
        <v>bm</v>
      </c>
      <c r="EE7" s="7" t="str">
        <f t="shared" si="4"/>
        <v>size</v>
      </c>
      <c r="EF7" s="7" t="str">
        <f t="shared" si="4"/>
        <v>bm</v>
      </c>
      <c r="EG7" s="1" t="str">
        <f t="shared" si="4"/>
        <v>bm</v>
      </c>
    </row>
    <row r="8" spans="1:137" x14ac:dyDescent="0.3">
      <c r="C8" s="7">
        <f t="shared" ref="C8:AH8" si="5">IF(C6=1,C3,IF(C6=2,C4,IF(C6=3,C5)))</f>
        <v>4.0547288954257972E-2</v>
      </c>
      <c r="D8" s="7">
        <f t="shared" si="5"/>
        <v>-4.8252779990434647E-2</v>
      </c>
      <c r="E8" s="7">
        <f t="shared" si="5"/>
        <v>-5.1652342081069953E-2</v>
      </c>
      <c r="F8" s="7">
        <f t="shared" si="5"/>
        <v>-5.4286114871501923E-2</v>
      </c>
      <c r="G8" s="7">
        <f t="shared" si="5"/>
        <v>-5.7552006095647812E-2</v>
      </c>
      <c r="H8" s="7">
        <f t="shared" si="5"/>
        <v>-7.6259449124336243E-2</v>
      </c>
      <c r="I8" s="7">
        <f t="shared" si="5"/>
        <v>-0.107886478304863</v>
      </c>
      <c r="J8" s="7">
        <f t="shared" si="5"/>
        <v>-3.2917611300945282E-2</v>
      </c>
      <c r="K8" s="7">
        <f t="shared" si="5"/>
        <v>-5.9229228645563133E-2</v>
      </c>
      <c r="L8" s="7">
        <f t="shared" si="5"/>
        <v>-0.1078036949038506</v>
      </c>
      <c r="M8" s="7">
        <f t="shared" si="5"/>
        <v>3.4981705248355872E-2</v>
      </c>
      <c r="N8" s="7">
        <f t="shared" si="5"/>
        <v>-0.1346741318702698</v>
      </c>
      <c r="O8" s="7">
        <f t="shared" si="5"/>
        <v>-6.7216232419013977E-2</v>
      </c>
      <c r="P8" s="7">
        <f t="shared" si="5"/>
        <v>9.211605042219162E-2</v>
      </c>
      <c r="Q8" s="7">
        <f t="shared" si="5"/>
        <v>-8.6447760462760925E-2</v>
      </c>
      <c r="R8" s="7">
        <f t="shared" si="5"/>
        <v>-7.7407129108905792E-2</v>
      </c>
      <c r="S8" s="7">
        <f t="shared" si="5"/>
        <v>-8.372652530670166E-2</v>
      </c>
      <c r="T8" s="7">
        <f t="shared" si="5"/>
        <v>-5.9324655681848533E-2</v>
      </c>
      <c r="U8" s="7">
        <f t="shared" si="5"/>
        <v>-0.10543976724147799</v>
      </c>
      <c r="V8" s="7">
        <f t="shared" si="5"/>
        <v>6.5072879195213318E-2</v>
      </c>
      <c r="W8" s="7">
        <f t="shared" si="5"/>
        <v>8.2305394113063812E-2</v>
      </c>
      <c r="X8" s="7">
        <f t="shared" si="5"/>
        <v>-9.8803862929344177E-2</v>
      </c>
      <c r="Y8" s="7">
        <f t="shared" si="5"/>
        <v>0.16213490068912509</v>
      </c>
      <c r="Z8" s="7">
        <f t="shared" si="5"/>
        <v>-6.800408661365509E-2</v>
      </c>
      <c r="AA8" s="7">
        <f t="shared" si="5"/>
        <v>-8.6181230843067169E-2</v>
      </c>
      <c r="AB8" s="7">
        <f t="shared" si="5"/>
        <v>-8.889392763376236E-2</v>
      </c>
      <c r="AC8" s="7">
        <f t="shared" si="5"/>
        <v>2.934014052152634E-2</v>
      </c>
      <c r="AD8" s="7">
        <f t="shared" si="5"/>
        <v>6.3448823988437653E-2</v>
      </c>
      <c r="AE8" s="7">
        <f t="shared" si="5"/>
        <v>-5.9580553323030472E-2</v>
      </c>
      <c r="AF8" s="7">
        <f t="shared" si="5"/>
        <v>6.4355872571468353E-2</v>
      </c>
      <c r="AG8" s="7">
        <f t="shared" si="5"/>
        <v>6.0781430453062057E-2</v>
      </c>
      <c r="AH8" s="7">
        <f t="shared" si="5"/>
        <v>2.907080203294754E-2</v>
      </c>
      <c r="AI8" s="7">
        <f t="shared" ref="AI8:BN8" si="6">IF(AI6=1,AI3,IF(AI6=2,AI4,IF(AI6=3,AI5)))</f>
        <v>4.2393732815980911E-2</v>
      </c>
      <c r="AJ8" s="7">
        <f t="shared" si="6"/>
        <v>4.4545106589794159E-2</v>
      </c>
      <c r="AK8" s="7">
        <f t="shared" si="6"/>
        <v>0.104340173304081</v>
      </c>
      <c r="AL8" s="7">
        <f t="shared" si="6"/>
        <v>2.3477694019675251E-2</v>
      </c>
      <c r="AM8" s="7">
        <f t="shared" si="6"/>
        <v>4.9679871648550027E-2</v>
      </c>
      <c r="AN8" s="7">
        <f t="shared" si="6"/>
        <v>4.7137059271335602E-2</v>
      </c>
      <c r="AO8" s="7">
        <f t="shared" si="6"/>
        <v>-2.9745671898126599E-2</v>
      </c>
      <c r="AP8" s="7">
        <f t="shared" si="6"/>
        <v>-2.683783695101738E-2</v>
      </c>
      <c r="AQ8" s="7">
        <f t="shared" si="6"/>
        <v>-2.169711887836456E-2</v>
      </c>
      <c r="AR8" s="7">
        <f t="shared" si="6"/>
        <v>5.4104723036289222E-2</v>
      </c>
      <c r="AS8" s="7">
        <f t="shared" si="6"/>
        <v>-2.6926254853606221E-2</v>
      </c>
      <c r="AT8" s="7">
        <f t="shared" si="6"/>
        <v>6.6039755940437317E-2</v>
      </c>
      <c r="AU8" s="7">
        <f t="shared" si="6"/>
        <v>6.2266789376735687E-2</v>
      </c>
      <c r="AV8" s="7">
        <f t="shared" si="6"/>
        <v>5.7940512895584113E-2</v>
      </c>
      <c r="AW8" s="7">
        <f t="shared" si="6"/>
        <v>0.1063941121101379</v>
      </c>
      <c r="AX8" s="7">
        <f t="shared" si="6"/>
        <v>2.7402361854910851E-2</v>
      </c>
      <c r="AY8" s="7">
        <f t="shared" si="6"/>
        <v>3.636043518781662E-2</v>
      </c>
      <c r="AZ8" s="7">
        <f t="shared" si="6"/>
        <v>8.6036309599876404E-2</v>
      </c>
      <c r="BA8" s="7">
        <f t="shared" si="6"/>
        <v>0.10234846919775011</v>
      </c>
      <c r="BB8" s="7">
        <f t="shared" si="6"/>
        <v>-7.6676465570926666E-2</v>
      </c>
      <c r="BC8" s="7">
        <f t="shared" si="6"/>
        <v>5.3017329424619668E-2</v>
      </c>
      <c r="BD8" s="7">
        <f t="shared" si="6"/>
        <v>7.7497914433479309E-2</v>
      </c>
      <c r="BE8" s="7">
        <f t="shared" si="6"/>
        <v>-6.8554230034351349E-2</v>
      </c>
      <c r="BF8" s="7">
        <f t="shared" si="6"/>
        <v>-8.2745306193828583E-2</v>
      </c>
      <c r="BG8" s="7">
        <f t="shared" si="6"/>
        <v>-0.1204242408275604</v>
      </c>
      <c r="BH8" s="7">
        <f t="shared" si="6"/>
        <v>-0.10103762894868849</v>
      </c>
      <c r="BI8" s="7">
        <f t="shared" si="6"/>
        <v>5.5158428847789757E-2</v>
      </c>
      <c r="BJ8" s="7">
        <f t="shared" si="6"/>
        <v>8.664897084236145E-2</v>
      </c>
      <c r="BK8" s="7">
        <f t="shared" si="6"/>
        <v>-0.14447127282619479</v>
      </c>
      <c r="BL8" s="7">
        <f t="shared" si="6"/>
        <v>-0.1120113208889961</v>
      </c>
      <c r="BM8" s="7">
        <f t="shared" si="6"/>
        <v>-3.4826010465621948E-2</v>
      </c>
      <c r="BN8" s="7">
        <f t="shared" si="6"/>
        <v>-8.5986465215682983E-2</v>
      </c>
      <c r="BO8" s="7">
        <f t="shared" ref="BO8:CT8" si="7">IF(BO6=1,BO3,IF(BO6=2,BO4,IF(BO6=3,BO5)))</f>
        <v>-7.0973977446556091E-2</v>
      </c>
      <c r="BP8" s="7">
        <f t="shared" si="7"/>
        <v>8.6037963628768921E-2</v>
      </c>
      <c r="BQ8" s="7">
        <f t="shared" si="7"/>
        <v>0.144142210483551</v>
      </c>
      <c r="BR8" s="7">
        <f t="shared" si="7"/>
        <v>3.9869185537099838E-2</v>
      </c>
      <c r="BS8" s="7">
        <f t="shared" si="7"/>
        <v>8.1880234181880951E-2</v>
      </c>
      <c r="BT8" s="7">
        <f t="shared" si="7"/>
        <v>-6.8826571106910706E-2</v>
      </c>
      <c r="BU8" s="7">
        <f t="shared" si="7"/>
        <v>0.10545723885297779</v>
      </c>
      <c r="BV8" s="7">
        <f t="shared" si="7"/>
        <v>0.1175376549363136</v>
      </c>
      <c r="BW8" s="7">
        <f t="shared" si="7"/>
        <v>9.2942401766777039E-2</v>
      </c>
      <c r="BX8" s="7">
        <f t="shared" si="7"/>
        <v>3.5637497901916497E-2</v>
      </c>
      <c r="BY8" s="7">
        <f t="shared" si="7"/>
        <v>-6.1186797916889191E-2</v>
      </c>
      <c r="BZ8" s="7">
        <f t="shared" si="7"/>
        <v>9.8455093801021576E-2</v>
      </c>
      <c r="CA8" s="7">
        <f t="shared" si="7"/>
        <v>-7.2609454393386841E-2</v>
      </c>
      <c r="CB8" s="7">
        <f t="shared" si="7"/>
        <v>-8.8862821459770203E-2</v>
      </c>
      <c r="CC8" s="7">
        <f t="shared" si="7"/>
        <v>-6.5672166645526886E-2</v>
      </c>
      <c r="CD8" s="7">
        <f t="shared" si="7"/>
        <v>-7.0492014288902283E-2</v>
      </c>
      <c r="CE8" s="7">
        <f t="shared" si="7"/>
        <v>-8.9266888797283173E-2</v>
      </c>
      <c r="CF8" s="7">
        <f t="shared" si="7"/>
        <v>2.643934823572636E-2</v>
      </c>
      <c r="CG8" s="7">
        <f t="shared" si="7"/>
        <v>-3.8807325065135963E-2</v>
      </c>
      <c r="CH8" s="7">
        <f t="shared" si="7"/>
        <v>5.8184977620840073E-2</v>
      </c>
      <c r="CI8" s="7">
        <f t="shared" si="7"/>
        <v>-2.3996761068701741E-2</v>
      </c>
      <c r="CJ8" s="7">
        <f t="shared" si="7"/>
        <v>-8.0891326069831848E-2</v>
      </c>
      <c r="CK8" s="7">
        <f t="shared" si="7"/>
        <v>7.3738843202590942E-2</v>
      </c>
      <c r="CL8" s="7">
        <f t="shared" si="7"/>
        <v>6.7692369222640991E-2</v>
      </c>
      <c r="CM8" s="7">
        <f t="shared" si="7"/>
        <v>-4.3408293277025223E-2</v>
      </c>
      <c r="CN8" s="7">
        <f t="shared" si="7"/>
        <v>-4.8494711518287659E-2</v>
      </c>
      <c r="CO8" s="7">
        <f t="shared" si="7"/>
        <v>-3.4412361681461327E-2</v>
      </c>
      <c r="CP8" s="7">
        <f t="shared" si="7"/>
        <v>-5.2108332514762878E-2</v>
      </c>
      <c r="CQ8" s="7">
        <f t="shared" si="7"/>
        <v>-7.2693914175033569E-2</v>
      </c>
      <c r="CR8" s="7">
        <f t="shared" si="7"/>
        <v>-6.0804408043622971E-2</v>
      </c>
      <c r="CS8" s="7">
        <f t="shared" si="7"/>
        <v>-3.7506073713302612E-2</v>
      </c>
      <c r="CT8" s="7">
        <f t="shared" si="7"/>
        <v>-6.339031457901001E-2</v>
      </c>
      <c r="CU8" s="7">
        <f t="shared" ref="CU8:DZ8" si="8">IF(CU6=1,CU3,IF(CU6=2,CU4,IF(CU6=3,CU5)))</f>
        <v>-6.1079829931259162E-2</v>
      </c>
      <c r="CV8" s="7">
        <f t="shared" si="8"/>
        <v>-2.170033194124699E-2</v>
      </c>
      <c r="CW8" s="7">
        <f t="shared" si="8"/>
        <v>-6.0720678418874741E-2</v>
      </c>
      <c r="CX8" s="7">
        <f t="shared" si="8"/>
        <v>-7.7818602323532104E-2</v>
      </c>
      <c r="CY8" s="7">
        <f t="shared" si="8"/>
        <v>-4.5480586588382721E-2</v>
      </c>
      <c r="CZ8" s="7">
        <f t="shared" si="8"/>
        <v>-6.9138072431087494E-2</v>
      </c>
      <c r="DA8" s="7">
        <f t="shared" si="8"/>
        <v>-8.9778468012809753E-2</v>
      </c>
      <c r="DB8" s="7">
        <f t="shared" si="8"/>
        <v>-6.527487188577652E-2</v>
      </c>
      <c r="DC8" s="7">
        <f t="shared" si="8"/>
        <v>4.6531397849321372E-2</v>
      </c>
      <c r="DD8" s="7">
        <f t="shared" si="8"/>
        <v>-5.9340178966522217E-2</v>
      </c>
      <c r="DE8" s="7">
        <f t="shared" si="8"/>
        <v>6.0277972370386117E-2</v>
      </c>
      <c r="DF8" s="7">
        <f t="shared" si="8"/>
        <v>3.3347133547067642E-2</v>
      </c>
      <c r="DG8" s="7">
        <f t="shared" si="8"/>
        <v>-2.4713881313800808E-2</v>
      </c>
      <c r="DH8" s="7">
        <f t="shared" si="8"/>
        <v>-3.5376153886318207E-2</v>
      </c>
      <c r="DI8" s="7">
        <f t="shared" si="8"/>
        <v>-4.1918892413377762E-2</v>
      </c>
      <c r="DJ8" s="7">
        <f t="shared" si="8"/>
        <v>1.416372787207365E-2</v>
      </c>
      <c r="DK8" s="7">
        <f t="shared" si="8"/>
        <v>-4.8771854490041733E-2</v>
      </c>
      <c r="DL8" s="7">
        <f t="shared" si="8"/>
        <v>2.8391024097800251E-2</v>
      </c>
      <c r="DM8" s="7">
        <f t="shared" si="8"/>
        <v>-4.967803880572319E-2</v>
      </c>
      <c r="DN8" s="7">
        <f t="shared" si="8"/>
        <v>-1.9859654828906059E-2</v>
      </c>
      <c r="DO8" s="7">
        <f t="shared" si="8"/>
        <v>-3.856055811047554E-2</v>
      </c>
      <c r="DP8" s="7">
        <f t="shared" si="8"/>
        <v>5.259593203663826E-2</v>
      </c>
      <c r="DQ8" s="7">
        <f t="shared" si="8"/>
        <v>5.0834372639656067E-2</v>
      </c>
      <c r="DR8" s="7">
        <f t="shared" si="8"/>
        <v>3.4424390643835068E-2</v>
      </c>
      <c r="DS8" s="7">
        <f t="shared" si="8"/>
        <v>2.6739172637462619E-2</v>
      </c>
      <c r="DT8" s="7">
        <f t="shared" si="8"/>
        <v>-5.3663063794374473E-2</v>
      </c>
      <c r="DU8" s="7">
        <f t="shared" si="8"/>
        <v>-4.4161681085824973E-2</v>
      </c>
      <c r="DV8" s="7">
        <f t="shared" si="8"/>
        <v>-2.3813089355826381E-2</v>
      </c>
      <c r="DW8" s="7">
        <f t="shared" si="8"/>
        <v>2.5176366791129109E-2</v>
      </c>
      <c r="DX8" s="7">
        <f t="shared" si="8"/>
        <v>-4.4376425445079803E-2</v>
      </c>
      <c r="DY8" s="7">
        <f t="shared" si="8"/>
        <v>-3.3609867095947273E-2</v>
      </c>
      <c r="DZ8" s="7">
        <f t="shared" si="8"/>
        <v>-4.8759568482637412E-2</v>
      </c>
      <c r="EA8" s="7">
        <f t="shared" ref="EA8:EG8" si="9">IF(EA6=1,EA3,IF(EA6=2,EA4,IF(EA6=3,EA5)))</f>
        <v>2.0058911293745041E-2</v>
      </c>
      <c r="EB8" s="7">
        <f t="shared" si="9"/>
        <v>5.2505847066640847E-2</v>
      </c>
      <c r="EC8" s="7">
        <f t="shared" si="9"/>
        <v>4.229099303483963E-2</v>
      </c>
      <c r="ED8" s="7">
        <f t="shared" si="9"/>
        <v>-5.2812475711107247E-2</v>
      </c>
      <c r="EE8" s="7">
        <f t="shared" si="9"/>
        <v>1.6591379418969151E-2</v>
      </c>
      <c r="EF8" s="7">
        <f t="shared" si="9"/>
        <v>-6.9071874022483826E-2</v>
      </c>
      <c r="EG8" s="1">
        <f t="shared" si="9"/>
        <v>0</v>
      </c>
    </row>
    <row r="10" spans="1:137" x14ac:dyDescent="0.3">
      <c r="A10" s="10" t="s">
        <v>139</v>
      </c>
      <c r="B10" s="11"/>
      <c r="C10" s="1" t="s">
        <v>140</v>
      </c>
      <c r="D10" s="2">
        <v>964</v>
      </c>
    </row>
    <row r="11" spans="1:137" x14ac:dyDescent="0.3">
      <c r="A11" s="1" t="s">
        <v>141</v>
      </c>
      <c r="B11" s="1" t="s">
        <v>142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  <c r="P11" s="1" t="s">
        <v>15</v>
      </c>
      <c r="Q11" s="1" t="s">
        <v>16</v>
      </c>
      <c r="R11" s="1" t="s">
        <v>17</v>
      </c>
      <c r="S11" s="1" t="s">
        <v>18</v>
      </c>
      <c r="T11" s="1" t="s">
        <v>19</v>
      </c>
      <c r="U11" s="1" t="s">
        <v>20</v>
      </c>
      <c r="V11" s="1" t="s">
        <v>21</v>
      </c>
      <c r="W11" s="1" t="s">
        <v>22</v>
      </c>
      <c r="X11" s="1" t="s">
        <v>23</v>
      </c>
      <c r="Y11" s="1" t="s">
        <v>24</v>
      </c>
      <c r="Z11" s="1" t="s">
        <v>25</v>
      </c>
      <c r="AA11" s="1" t="s">
        <v>26</v>
      </c>
      <c r="AB11" s="1" t="s">
        <v>27</v>
      </c>
      <c r="AC11" s="1" t="s">
        <v>28</v>
      </c>
      <c r="AD11" s="1" t="s">
        <v>29</v>
      </c>
      <c r="AE11" s="1" t="s">
        <v>30</v>
      </c>
      <c r="AF11" s="1" t="s">
        <v>31</v>
      </c>
      <c r="AG11" s="1" t="s">
        <v>32</v>
      </c>
      <c r="AH11" s="1" t="s">
        <v>33</v>
      </c>
      <c r="AI11" s="1" t="s">
        <v>34</v>
      </c>
      <c r="AJ11" s="1" t="s">
        <v>35</v>
      </c>
      <c r="AK11" s="1" t="s">
        <v>36</v>
      </c>
      <c r="AL11" s="1" t="s">
        <v>37</v>
      </c>
      <c r="AM11" s="1" t="s">
        <v>38</v>
      </c>
      <c r="AN11" s="1" t="s">
        <v>39</v>
      </c>
      <c r="AO11" s="1" t="s">
        <v>40</v>
      </c>
      <c r="AP11" s="1" t="s">
        <v>41</v>
      </c>
      <c r="AQ11" s="1" t="s">
        <v>42</v>
      </c>
      <c r="AR11" s="1" t="s">
        <v>43</v>
      </c>
      <c r="AS11" s="1" t="s">
        <v>44</v>
      </c>
      <c r="AT11" s="1" t="s">
        <v>45</v>
      </c>
      <c r="AU11" s="1" t="s">
        <v>46</v>
      </c>
      <c r="AV11" s="1" t="s">
        <v>47</v>
      </c>
      <c r="AW11" s="1" t="s">
        <v>48</v>
      </c>
      <c r="AX11" s="1" t="s">
        <v>49</v>
      </c>
      <c r="AY11" s="1" t="s">
        <v>50</v>
      </c>
      <c r="AZ11" s="1" t="s">
        <v>51</v>
      </c>
      <c r="BA11" s="1" t="s">
        <v>52</v>
      </c>
      <c r="BB11" s="1" t="s">
        <v>53</v>
      </c>
      <c r="BC11" s="1" t="s">
        <v>54</v>
      </c>
      <c r="BD11" s="1" t="s">
        <v>55</v>
      </c>
      <c r="BE11" s="1" t="s">
        <v>56</v>
      </c>
      <c r="BF11" s="1" t="s">
        <v>57</v>
      </c>
      <c r="BG11" s="1" t="s">
        <v>58</v>
      </c>
      <c r="BH11" s="1" t="s">
        <v>59</v>
      </c>
      <c r="BI11" s="1" t="s">
        <v>60</v>
      </c>
      <c r="BJ11" s="1" t="s">
        <v>61</v>
      </c>
      <c r="BK11" s="1" t="s">
        <v>62</v>
      </c>
      <c r="BL11" s="1" t="s">
        <v>63</v>
      </c>
      <c r="BM11" s="1" t="s">
        <v>64</v>
      </c>
      <c r="BN11" s="1" t="s">
        <v>65</v>
      </c>
      <c r="BO11" s="1" t="s">
        <v>66</v>
      </c>
      <c r="BP11" s="1" t="s">
        <v>67</v>
      </c>
      <c r="BQ11" s="1" t="s">
        <v>68</v>
      </c>
      <c r="BR11" s="1" t="s">
        <v>69</v>
      </c>
      <c r="BS11" s="1" t="s">
        <v>70</v>
      </c>
      <c r="BT11" s="1" t="s">
        <v>71</v>
      </c>
      <c r="BU11" s="1" t="s">
        <v>72</v>
      </c>
      <c r="BV11" s="1" t="s">
        <v>73</v>
      </c>
      <c r="BW11" s="1" t="s">
        <v>74</v>
      </c>
      <c r="BX11" s="1" t="s">
        <v>75</v>
      </c>
      <c r="BY11" s="1" t="s">
        <v>76</v>
      </c>
      <c r="BZ11" s="1" t="s">
        <v>77</v>
      </c>
      <c r="CA11" s="1" t="s">
        <v>78</v>
      </c>
      <c r="CB11" s="1" t="s">
        <v>79</v>
      </c>
      <c r="CC11" s="1" t="s">
        <v>80</v>
      </c>
      <c r="CD11" s="1" t="s">
        <v>81</v>
      </c>
      <c r="CE11" s="1" t="s">
        <v>82</v>
      </c>
      <c r="CF11" s="1" t="s">
        <v>83</v>
      </c>
      <c r="CG11" s="1" t="s">
        <v>84</v>
      </c>
      <c r="CH11" s="1" t="s">
        <v>85</v>
      </c>
      <c r="CI11" s="1" t="s">
        <v>86</v>
      </c>
      <c r="CJ11" s="1" t="s">
        <v>87</v>
      </c>
      <c r="CK11" s="1" t="s">
        <v>88</v>
      </c>
      <c r="CL11" s="1" t="s">
        <v>89</v>
      </c>
      <c r="CM11" s="1" t="s">
        <v>90</v>
      </c>
      <c r="CN11" s="1" t="s">
        <v>91</v>
      </c>
      <c r="CO11" s="1" t="s">
        <v>92</v>
      </c>
      <c r="CP11" s="1" t="s">
        <v>93</v>
      </c>
      <c r="CQ11" s="1" t="s">
        <v>94</v>
      </c>
      <c r="CR11" s="1" t="s">
        <v>95</v>
      </c>
      <c r="CS11" s="1" t="s">
        <v>96</v>
      </c>
      <c r="CT11" s="1" t="s">
        <v>97</v>
      </c>
      <c r="CU11" s="1" t="s">
        <v>98</v>
      </c>
      <c r="CV11" s="1" t="s">
        <v>99</v>
      </c>
      <c r="CW11" s="1" t="s">
        <v>100</v>
      </c>
      <c r="CX11" s="1" t="s">
        <v>101</v>
      </c>
      <c r="CY11" s="1" t="s">
        <v>102</v>
      </c>
      <c r="CZ11" s="1" t="s">
        <v>103</v>
      </c>
      <c r="DA11" s="1" t="s">
        <v>104</v>
      </c>
      <c r="DB11" s="1" t="s">
        <v>105</v>
      </c>
      <c r="DC11" s="1" t="s">
        <v>106</v>
      </c>
      <c r="DD11" s="1" t="s">
        <v>107</v>
      </c>
      <c r="DE11" s="1" t="s">
        <v>108</v>
      </c>
      <c r="DF11" s="1" t="s">
        <v>109</v>
      </c>
      <c r="DG11" s="1" t="s">
        <v>110</v>
      </c>
      <c r="DH11" s="1" t="s">
        <v>111</v>
      </c>
      <c r="DI11" s="1" t="s">
        <v>112</v>
      </c>
      <c r="DJ11" s="1" t="s">
        <v>113</v>
      </c>
      <c r="DK11" s="1" t="s">
        <v>114</v>
      </c>
      <c r="DL11" s="1" t="s">
        <v>115</v>
      </c>
      <c r="DM11" s="1" t="s">
        <v>116</v>
      </c>
      <c r="DN11" s="1" t="s">
        <v>117</v>
      </c>
      <c r="DO11" s="1" t="s">
        <v>118</v>
      </c>
      <c r="DP11" s="1" t="s">
        <v>119</v>
      </c>
      <c r="DQ11" s="1" t="s">
        <v>120</v>
      </c>
      <c r="DR11" s="1" t="s">
        <v>121</v>
      </c>
      <c r="DS11" s="1" t="s">
        <v>122</v>
      </c>
      <c r="DT11" s="1" t="s">
        <v>123</v>
      </c>
      <c r="DU11" s="1" t="s">
        <v>124</v>
      </c>
      <c r="DV11" s="1" t="s">
        <v>125</v>
      </c>
      <c r="DW11" s="1" t="s">
        <v>126</v>
      </c>
      <c r="DX11" s="1" t="s">
        <v>127</v>
      </c>
      <c r="DY11" s="1" t="s">
        <v>128</v>
      </c>
      <c r="DZ11" s="1" t="s">
        <v>129</v>
      </c>
      <c r="EA11" s="1" t="s">
        <v>130</v>
      </c>
      <c r="EB11" s="1" t="s">
        <v>131</v>
      </c>
      <c r="EC11" s="1" t="s">
        <v>132</v>
      </c>
      <c r="ED11" s="1" t="s">
        <v>133</v>
      </c>
      <c r="EE11" s="1" t="s">
        <v>134</v>
      </c>
      <c r="EF11" s="1" t="s">
        <v>143</v>
      </c>
    </row>
    <row r="12" spans="1:137" x14ac:dyDescent="0.3">
      <c r="A12" s="1">
        <v>10</v>
      </c>
      <c r="B12" s="1">
        <v>96</v>
      </c>
      <c r="C12" s="7">
        <v>4.7013508994228799E-2</v>
      </c>
      <c r="D12" s="7">
        <v>0.11468862904522351</v>
      </c>
      <c r="E12" s="7">
        <v>6.7540283583579167E-3</v>
      </c>
      <c r="F12" s="7">
        <v>1.986882494790634E-2</v>
      </c>
      <c r="G12" s="7">
        <v>-7.9043467459283603E-3</v>
      </c>
      <c r="H12" s="7">
        <v>-9.3593837617556644E-3</v>
      </c>
      <c r="I12" s="7">
        <v>-3.6303936849052011E-2</v>
      </c>
      <c r="J12" s="7">
        <v>-2.9408122838989852E-2</v>
      </c>
      <c r="K12" s="7">
        <v>1.0988403852822111E-2</v>
      </c>
      <c r="L12" s="7">
        <v>2.2772307809632709E-3</v>
      </c>
      <c r="M12" s="7">
        <v>2.688917383320695E-2</v>
      </c>
      <c r="N12" s="7">
        <v>-5.2074107675359117E-2</v>
      </c>
      <c r="O12" s="7">
        <v>1.7240739055052579E-2</v>
      </c>
      <c r="P12" s="7">
        <v>-2.5432810815711028E-4</v>
      </c>
      <c r="Q12" s="7">
        <v>3.3792784120907728E-2</v>
      </c>
      <c r="R12" s="7">
        <v>6.6628837952368673E-3</v>
      </c>
      <c r="S12" s="7">
        <v>-1.6472394741932041E-2</v>
      </c>
      <c r="T12" s="7">
        <v>-7.7398000690130087E-3</v>
      </c>
      <c r="U12" s="7">
        <v>2.0367220553130991E-2</v>
      </c>
      <c r="V12" s="7">
        <v>9.5109536536482214E-3</v>
      </c>
      <c r="W12" s="7">
        <v>-2.8417662858163131E-2</v>
      </c>
      <c r="X12" s="7">
        <v>2.7073890424547119E-2</v>
      </c>
      <c r="Y12" s="7">
        <v>2.0598393527691269E-2</v>
      </c>
      <c r="Z12" s="7">
        <v>5.1659076098035236E-3</v>
      </c>
      <c r="AA12" s="7">
        <v>-1.1512545712225739E-2</v>
      </c>
      <c r="AB12" s="7">
        <v>-3.7114184153333798E-3</v>
      </c>
      <c r="AC12" s="7">
        <v>3.5114764063646421E-2</v>
      </c>
      <c r="AD12" s="7">
        <v>-9.3922433316797477E-3</v>
      </c>
      <c r="AE12" s="7">
        <v>-5.8316963071098869E-2</v>
      </c>
      <c r="AF12" s="7">
        <v>-5.2012102776767682E-2</v>
      </c>
      <c r="AG12" s="7">
        <v>-3.814930420809846E-3</v>
      </c>
      <c r="AH12" s="7">
        <v>-2.1100658922461549E-2</v>
      </c>
      <c r="AI12" s="7">
        <v>8.79379249226157E-3</v>
      </c>
      <c r="AJ12" s="7">
        <v>-2.1062262693673572E-2</v>
      </c>
      <c r="AK12" s="7">
        <v>-1.6475368224135679E-2</v>
      </c>
      <c r="AL12" s="7">
        <v>-4.7800489952077287E-2</v>
      </c>
      <c r="AM12" s="7">
        <v>1.670675200628732E-2</v>
      </c>
      <c r="AN12" s="7">
        <v>-5.7133289959638539E-2</v>
      </c>
      <c r="AO12" s="7">
        <v>-2.228793039673051E-3</v>
      </c>
      <c r="AP12" s="7">
        <v>3.3718344781849152E-2</v>
      </c>
      <c r="AQ12" s="7">
        <v>7.6219363885838051E-3</v>
      </c>
      <c r="AR12" s="7">
        <v>7.5044280887600658E-3</v>
      </c>
      <c r="AS12" s="7">
        <v>-1.9976272910371209E-2</v>
      </c>
      <c r="AT12" s="7">
        <v>1.3834904707671181E-2</v>
      </c>
      <c r="AU12" s="7">
        <v>2.070865868087543E-2</v>
      </c>
      <c r="AV12" s="7">
        <v>-4.1360084745025012E-2</v>
      </c>
      <c r="AW12" s="7">
        <v>6.2147701801607523E-4</v>
      </c>
      <c r="AX12" s="7">
        <v>-4.4696011972897853E-2</v>
      </c>
      <c r="AY12" s="7">
        <v>1.749132165900753E-2</v>
      </c>
      <c r="AZ12" s="7">
        <v>-2.3000260716576439E-3</v>
      </c>
      <c r="BA12" s="7">
        <v>4.9378881832418033E-3</v>
      </c>
      <c r="BB12" s="7">
        <v>5.7853949142751861E-3</v>
      </c>
      <c r="BC12" s="7">
        <v>2.669096629233754E-2</v>
      </c>
      <c r="BD12" s="7">
        <v>1.3630556941652629E-2</v>
      </c>
      <c r="BE12" s="7">
        <v>-4.5598544985067067E-2</v>
      </c>
      <c r="BF12" s="7">
        <v>-2.3601059948603061E-2</v>
      </c>
      <c r="BG12" s="7">
        <v>1.000405865395167E-2</v>
      </c>
      <c r="BH12" s="7">
        <v>-2.4922145288873449E-2</v>
      </c>
      <c r="BI12" s="7">
        <v>5.002125303099076E-2</v>
      </c>
      <c r="BJ12" s="7">
        <v>-7.9599331991781624E-4</v>
      </c>
      <c r="BK12" s="7">
        <v>-2.0075652003278099E-2</v>
      </c>
      <c r="BL12" s="7">
        <v>1.1060368711039379E-2</v>
      </c>
      <c r="BM12" s="7">
        <v>-3.017190853698952E-2</v>
      </c>
      <c r="BN12" s="7">
        <v>-1.9502538210119671E-2</v>
      </c>
      <c r="BO12" s="7">
        <v>1.691376899933085E-2</v>
      </c>
      <c r="BP12" s="7">
        <v>-1.0508985305294091E-2</v>
      </c>
      <c r="BQ12" s="7">
        <v>1.3896749618746689E-2</v>
      </c>
      <c r="BR12" s="7">
        <v>6.8693615147113224E-2</v>
      </c>
      <c r="BS12" s="7">
        <v>1.886329338439598E-2</v>
      </c>
      <c r="BT12" s="7">
        <v>-2.1288097232098721E-2</v>
      </c>
      <c r="BU12" s="7">
        <v>8.7815171400964752E-3</v>
      </c>
      <c r="BV12" s="7">
        <v>2.3062455733191E-2</v>
      </c>
      <c r="BW12" s="7">
        <v>-2.948376871952952E-2</v>
      </c>
      <c r="BX12" s="7">
        <v>1.1477162003950089E-2</v>
      </c>
      <c r="BY12" s="7">
        <v>-4.5815986232830307E-2</v>
      </c>
      <c r="BZ12" s="7">
        <v>4.5356945691272972E-2</v>
      </c>
      <c r="CA12" s="7">
        <v>1.4580557553402819E-2</v>
      </c>
      <c r="CB12" s="7">
        <v>7.2475876072179299E-2</v>
      </c>
      <c r="CC12" s="7">
        <v>6.5566612627689883E-2</v>
      </c>
      <c r="CD12" s="7">
        <v>4.4258488563941309E-2</v>
      </c>
      <c r="CE12" s="7">
        <v>0.15400701288974189</v>
      </c>
      <c r="CF12" s="7">
        <v>8.0212745139300254E-3</v>
      </c>
      <c r="CG12" s="7">
        <v>3.0864849735211247E-4</v>
      </c>
      <c r="CH12" s="7">
        <v>6.3297372377959904E-2</v>
      </c>
      <c r="CI12" s="7">
        <v>-2.434149805161382E-2</v>
      </c>
      <c r="CJ12" s="7">
        <v>-1.544518047868886E-2</v>
      </c>
      <c r="CK12" s="7">
        <v>1.2803144154834811E-2</v>
      </c>
      <c r="CL12" s="7">
        <v>0.1180156076696104</v>
      </c>
      <c r="CM12" s="7">
        <v>2.635395083816933E-2</v>
      </c>
      <c r="CN12" s="7">
        <v>-7.8465204010806394E-2</v>
      </c>
      <c r="CO12" s="7">
        <v>2.4819785255212591E-2</v>
      </c>
      <c r="CP12" s="7">
        <v>-4.5299021467493747E-2</v>
      </c>
      <c r="CQ12" s="7">
        <v>-3.6572194909933541E-2</v>
      </c>
      <c r="CR12" s="7">
        <v>-2.1178784306524409E-3</v>
      </c>
      <c r="CS12" s="7">
        <v>-1.450965043846953E-2</v>
      </c>
      <c r="CT12" s="7">
        <v>8.2403602353092742E-4</v>
      </c>
      <c r="CU12" s="7">
        <v>-3.5623715662195188E-2</v>
      </c>
      <c r="CV12" s="7">
        <v>-8.1126263755370142E-3</v>
      </c>
      <c r="CW12" s="7">
        <v>-5.5479247445322649E-3</v>
      </c>
      <c r="CX12" s="7">
        <v>4.6547458464468637E-2</v>
      </c>
      <c r="CY12" s="7">
        <v>5.982942211490587E-3</v>
      </c>
      <c r="CZ12" s="7">
        <v>-7.7792327339500603E-2</v>
      </c>
      <c r="DA12" s="7">
        <v>-5.6037840703605252E-3</v>
      </c>
      <c r="DB12" s="7">
        <v>2.298187595412704E-2</v>
      </c>
      <c r="DC12" s="7">
        <v>-4.5013637925414574E-3</v>
      </c>
      <c r="DD12" s="7">
        <v>-2.4888978057240451E-2</v>
      </c>
      <c r="DE12" s="7">
        <v>-2.473764441509502E-2</v>
      </c>
      <c r="DF12" s="7">
        <v>-5.5485734082072982E-2</v>
      </c>
      <c r="DG12" s="7">
        <v>9.4770893931691788E-4</v>
      </c>
      <c r="DH12" s="7">
        <v>3.8226819714325612E-3</v>
      </c>
      <c r="DI12" s="7">
        <v>-2.9979254557499689E-2</v>
      </c>
      <c r="DJ12" s="7">
        <v>-1.511820812609203E-2</v>
      </c>
      <c r="DK12" s="7">
        <v>1.5945953127016341E-2</v>
      </c>
      <c r="DL12" s="7">
        <v>1.8669833333803058E-2</v>
      </c>
      <c r="DM12" s="7">
        <v>4.8403492450799163E-3</v>
      </c>
      <c r="DN12" s="7">
        <v>2.1916731594762449E-2</v>
      </c>
      <c r="DO12" s="7">
        <v>3.055694210149083E-2</v>
      </c>
      <c r="DP12" s="7">
        <v>-4.5953548014918022E-2</v>
      </c>
      <c r="DQ12" s="7">
        <v>3.3862120353048523E-2</v>
      </c>
      <c r="DR12" s="7">
        <v>-1.7064979450118169E-2</v>
      </c>
      <c r="DS12" s="7">
        <v>-6.9650552069699723E-2</v>
      </c>
      <c r="DT12" s="7">
        <v>4.5297883394400537E-2</v>
      </c>
      <c r="DU12" s="7">
        <v>-1.3752648086382459E-2</v>
      </c>
      <c r="DV12" s="7">
        <v>-4.8550824477530688E-2</v>
      </c>
      <c r="DW12" s="7">
        <v>4.3725564220037427E-2</v>
      </c>
      <c r="DX12" s="7">
        <v>-1.8099136778333389E-2</v>
      </c>
      <c r="DY12" s="7">
        <v>-6.2728222094769928E-2</v>
      </c>
      <c r="DZ12" s="7">
        <v>-2.0038890123589111E-2</v>
      </c>
      <c r="EA12" s="7">
        <v>-5.1097632537531287E-2</v>
      </c>
      <c r="EB12" s="7">
        <v>-5.7859705603806079E-3</v>
      </c>
      <c r="EC12" s="7">
        <v>1.48839181295192E-2</v>
      </c>
      <c r="ED12" s="7">
        <v>6.050815280848415E-2</v>
      </c>
      <c r="EE12" s="7">
        <v>2.6506892161147658E-2</v>
      </c>
      <c r="EF12" s="8">
        <v>-3.9233348038795662E-2</v>
      </c>
    </row>
    <row r="13" spans="1:137" x14ac:dyDescent="0.3">
      <c r="A13" s="1">
        <v>20</v>
      </c>
      <c r="B13" s="1">
        <v>48</v>
      </c>
      <c r="C13" s="7">
        <v>4.2506117601795589E-2</v>
      </c>
      <c r="D13" s="7">
        <v>0.1237450287927723</v>
      </c>
      <c r="E13" s="7">
        <v>3.4496619491353048E-2</v>
      </c>
      <c r="F13" s="7">
        <v>3.4922155882654501E-2</v>
      </c>
      <c r="G13" s="7">
        <v>1.490797975730339E-2</v>
      </c>
      <c r="H13" s="7">
        <v>-1.5930384569345112E-2</v>
      </c>
      <c r="I13" s="7">
        <v>-3.2682862984722338E-2</v>
      </c>
      <c r="J13" s="7">
        <v>-4.3899227077412117E-2</v>
      </c>
      <c r="K13" s="7">
        <v>4.5330990242219003E-2</v>
      </c>
      <c r="L13" s="7">
        <v>2.913566903744547E-2</v>
      </c>
      <c r="M13" s="7">
        <v>3.2797582260047169E-3</v>
      </c>
      <c r="N13" s="7">
        <v>-4.3151952223766853E-2</v>
      </c>
      <c r="O13" s="7">
        <v>3.9789291626632438E-2</v>
      </c>
      <c r="P13" s="7">
        <v>-6.2776476607329448E-3</v>
      </c>
      <c r="Q13" s="7">
        <v>4.4218264227970053E-2</v>
      </c>
      <c r="R13" s="7">
        <v>1.4159944486036529E-2</v>
      </c>
      <c r="S13" s="7">
        <v>-1.224367120891299E-2</v>
      </c>
      <c r="T13" s="7">
        <v>-2.2104020419172268E-2</v>
      </c>
      <c r="U13" s="7">
        <v>5.4161075041694179E-2</v>
      </c>
      <c r="V13" s="7">
        <v>2.216639903053957E-3</v>
      </c>
      <c r="W13" s="7">
        <v>-3.096890407148287E-2</v>
      </c>
      <c r="X13" s="7">
        <v>5.327689472594363E-2</v>
      </c>
      <c r="Y13" s="7">
        <v>-6.6833587265454353E-3</v>
      </c>
      <c r="Z13" s="7">
        <v>2.0583761169128259E-2</v>
      </c>
      <c r="AA13" s="7">
        <v>-1.6440619450324361E-2</v>
      </c>
      <c r="AB13" s="7">
        <v>-1.6036098685220952E-2</v>
      </c>
      <c r="AC13" s="7">
        <v>2.187155616137754E-2</v>
      </c>
      <c r="AD13" s="7">
        <v>-2.1543689785275402E-2</v>
      </c>
      <c r="AE13" s="7">
        <v>-6.5719382027610476E-2</v>
      </c>
      <c r="AF13" s="7">
        <v>-7.3281160828311181E-2</v>
      </c>
      <c r="AG13" s="7">
        <v>9.9052077270740842E-3</v>
      </c>
      <c r="AH13" s="7">
        <v>-3.1875514929916048E-2</v>
      </c>
      <c r="AI13" s="7">
        <v>1.8646046379966041E-2</v>
      </c>
      <c r="AJ13" s="7">
        <v>-1.988632403117771E-2</v>
      </c>
      <c r="AK13" s="7">
        <v>-3.8359390282872087E-2</v>
      </c>
      <c r="AL13" s="7">
        <v>-4.9258884794550067E-2</v>
      </c>
      <c r="AM13" s="7">
        <v>-1.4434106114089009E-2</v>
      </c>
      <c r="AN13" s="7">
        <v>-7.1245220062354717E-2</v>
      </c>
      <c r="AO13" s="7">
        <v>-9.3111878994149404E-3</v>
      </c>
      <c r="AP13" s="7">
        <v>5.9550840361997717E-2</v>
      </c>
      <c r="AQ13" s="7">
        <v>6.0492887688996834E-3</v>
      </c>
      <c r="AR13" s="7">
        <v>-9.2507324832761875E-3</v>
      </c>
      <c r="AS13" s="7">
        <v>-2.340496354159733E-2</v>
      </c>
      <c r="AT13" s="7">
        <v>4.0463087854439743E-2</v>
      </c>
      <c r="AU13" s="7">
        <v>4.0976126475978862E-2</v>
      </c>
      <c r="AV13" s="7">
        <v>-9.475472639553081E-3</v>
      </c>
      <c r="AW13" s="7">
        <v>4.0800135830634E-3</v>
      </c>
      <c r="AX13" s="7">
        <v>-3.2799832135855793E-2</v>
      </c>
      <c r="AY13" s="7">
        <v>1.42622039071387E-2</v>
      </c>
      <c r="AZ13" s="7">
        <v>-8.1034674694993921E-3</v>
      </c>
      <c r="BA13" s="7">
        <v>6.5409376070610318E-3</v>
      </c>
      <c r="BB13" s="7">
        <v>2.6046345532896049E-2</v>
      </c>
      <c r="BC13" s="7">
        <v>1.9110867274842121E-2</v>
      </c>
      <c r="BD13" s="7">
        <v>3.344428383681335E-3</v>
      </c>
      <c r="BE13" s="7">
        <v>-4.6048256587478499E-2</v>
      </c>
      <c r="BF13" s="7">
        <v>-2.6302896790217509E-2</v>
      </c>
      <c r="BG13" s="7">
        <v>8.3310656158476996E-3</v>
      </c>
      <c r="BH13" s="7">
        <v>-3.3944254587363332E-2</v>
      </c>
      <c r="BI13" s="7">
        <v>5.2409132456701382E-2</v>
      </c>
      <c r="BJ13" s="7">
        <v>-1.6847085990264871E-2</v>
      </c>
      <c r="BK13" s="7">
        <v>-2.5125773363192039E-2</v>
      </c>
      <c r="BL13" s="7">
        <v>1.3619178359615279E-2</v>
      </c>
      <c r="BM13" s="7">
        <v>-2.7203867384610721E-2</v>
      </c>
      <c r="BN13" s="7">
        <v>4.8576030584132172E-3</v>
      </c>
      <c r="BO13" s="7">
        <v>3.406714508268439E-3</v>
      </c>
      <c r="BP13" s="7">
        <v>9.4326956946515182E-3</v>
      </c>
      <c r="BQ13" s="7">
        <v>4.1653063789425779E-2</v>
      </c>
      <c r="BR13" s="7">
        <v>7.9831456823332952E-2</v>
      </c>
      <c r="BS13" s="7">
        <v>7.4194718402196772E-3</v>
      </c>
      <c r="BT13" s="7">
        <v>-3.3667769757919193E-2</v>
      </c>
      <c r="BU13" s="7">
        <v>1.7706555036553769E-2</v>
      </c>
      <c r="BV13" s="7">
        <v>2.065359687620864E-2</v>
      </c>
      <c r="BW13" s="7">
        <v>1.763237810677006E-3</v>
      </c>
      <c r="BX13" s="7">
        <v>2.1078067524026588E-2</v>
      </c>
      <c r="BY13" s="7">
        <v>-3.0827759664373209E-2</v>
      </c>
      <c r="BZ13" s="7">
        <v>7.6138123059050211E-2</v>
      </c>
      <c r="CA13" s="7">
        <v>2.401267379212468E-2</v>
      </c>
      <c r="CB13" s="7">
        <v>0.1204269717320352</v>
      </c>
      <c r="CC13" s="7">
        <v>0.12011817373823321</v>
      </c>
      <c r="CD13" s="7">
        <v>5.52560480214307E-2</v>
      </c>
      <c r="CE13" s="7">
        <v>0.18382783645560871</v>
      </c>
      <c r="CF13" s="7">
        <v>-1.2043667015059319E-2</v>
      </c>
      <c r="CG13" s="7">
        <v>7.5602686763741878E-3</v>
      </c>
      <c r="CH13" s="7">
        <v>5.8334611827207158E-2</v>
      </c>
      <c r="CI13" s="7">
        <v>-7.895534435908208E-3</v>
      </c>
      <c r="CJ13" s="7">
        <v>3.106087971951194E-3</v>
      </c>
      <c r="CK13" s="7">
        <v>3.2045269236463968E-2</v>
      </c>
      <c r="CL13" s="7">
        <v>8.1453366102180805E-2</v>
      </c>
      <c r="CM13" s="7">
        <v>1.4010734772878621E-2</v>
      </c>
      <c r="CN13" s="7">
        <v>-0.1009941666481943</v>
      </c>
      <c r="CO13" s="7">
        <v>3.5334344080657359E-2</v>
      </c>
      <c r="CP13" s="7">
        <v>-6.9726540277734339E-2</v>
      </c>
      <c r="CQ13" s="7">
        <v>-3.8184950196159702E-2</v>
      </c>
      <c r="CR13" s="7">
        <v>-8.2797809976485181E-3</v>
      </c>
      <c r="CS13" s="7">
        <v>3.947650662960555E-3</v>
      </c>
      <c r="CT13" s="7">
        <v>-8.0707993163786768E-3</v>
      </c>
      <c r="CU13" s="7">
        <v>-3.7161402282311212E-2</v>
      </c>
      <c r="CV13" s="7">
        <v>2.9533121732579042E-3</v>
      </c>
      <c r="CW13" s="7">
        <v>-5.97703085624611E-3</v>
      </c>
      <c r="CX13" s="7">
        <v>4.9872955511131058E-3</v>
      </c>
      <c r="CY13" s="7">
        <v>1.3118740115012659E-2</v>
      </c>
      <c r="CZ13" s="7">
        <v>-5.7224220353485122E-2</v>
      </c>
      <c r="DA13" s="7">
        <v>5.583676925821391E-3</v>
      </c>
      <c r="DB13" s="7">
        <v>4.1761569716784581E-2</v>
      </c>
      <c r="DC13" s="7">
        <v>-1.41498668272943E-2</v>
      </c>
      <c r="DD13" s="7">
        <v>-1.069760060073574E-2</v>
      </c>
      <c r="DE13" s="7">
        <v>-2.2441996429236069E-2</v>
      </c>
      <c r="DF13" s="7">
        <v>-8.3122187068030415E-2</v>
      </c>
      <c r="DG13" s="7">
        <v>1.6306571728899009E-3</v>
      </c>
      <c r="DH13" s="7">
        <v>-1.129576788191507E-2</v>
      </c>
      <c r="DI13" s="7">
        <v>-2.957041963442816E-2</v>
      </c>
      <c r="DJ13" s="7">
        <v>-5.9835846368128413E-3</v>
      </c>
      <c r="DK13" s="7">
        <v>-1.240907421862765E-2</v>
      </c>
      <c r="DL13" s="7">
        <v>2.2050690678088229E-2</v>
      </c>
      <c r="DM13" s="7">
        <v>6.6588690484439203E-3</v>
      </c>
      <c r="DN13" s="7">
        <v>1.693523490060431E-2</v>
      </c>
      <c r="DO13" s="7">
        <v>3.7863465084792783E-2</v>
      </c>
      <c r="DP13" s="7">
        <v>-4.4997150662049193E-2</v>
      </c>
      <c r="DQ13" s="7">
        <v>3.3966462251962683E-2</v>
      </c>
      <c r="DR13" s="7">
        <v>-1.5168550145961031E-2</v>
      </c>
      <c r="DS13" s="7">
        <v>-6.8596852640390879E-2</v>
      </c>
      <c r="DT13" s="7">
        <v>3.542630104766481E-2</v>
      </c>
      <c r="DU13" s="7">
        <v>-1.8705163637144761E-2</v>
      </c>
      <c r="DV13" s="7">
        <v>-7.9620144024188558E-2</v>
      </c>
      <c r="DW13" s="7">
        <v>4.4417789624350307E-2</v>
      </c>
      <c r="DX13" s="7">
        <v>-2.3229609548966131E-2</v>
      </c>
      <c r="DY13" s="7">
        <v>-9.5046248038774313E-3</v>
      </c>
      <c r="DZ13" s="7">
        <v>-3.028525147494129E-2</v>
      </c>
      <c r="EA13" s="7">
        <v>-6.2118677176029868E-2</v>
      </c>
      <c r="EB13" s="7">
        <v>-2.012062189251651E-4</v>
      </c>
      <c r="EC13" s="7">
        <v>2.198485253152441E-2</v>
      </c>
      <c r="ED13" s="7">
        <v>6.5682093659234955E-2</v>
      </c>
      <c r="EE13" s="7">
        <v>4.1234383995911589E-2</v>
      </c>
      <c r="EF13" s="8">
        <v>-6.6577215363556236E-2</v>
      </c>
    </row>
    <row r="14" spans="1:137" x14ac:dyDescent="0.3">
      <c r="A14" s="1">
        <v>50</v>
      </c>
      <c r="B14" s="1">
        <v>19</v>
      </c>
      <c r="C14" s="7">
        <v>-3.7017512404591897E-2</v>
      </c>
      <c r="D14" s="7">
        <v>0.22230844854062601</v>
      </c>
      <c r="E14" s="7">
        <v>4.7525943267256017E-2</v>
      </c>
      <c r="F14" s="7">
        <v>4.8454142799859858E-2</v>
      </c>
      <c r="G14" s="7">
        <v>4.1019916497925447E-2</v>
      </c>
      <c r="H14" s="7">
        <v>-7.6743242716788224E-3</v>
      </c>
      <c r="I14" s="7">
        <v>-4.3787359823142302E-2</v>
      </c>
      <c r="J14" s="7">
        <v>-0.1050943867827082</v>
      </c>
      <c r="K14" s="7">
        <v>0.13417870371405349</v>
      </c>
      <c r="L14" s="7">
        <v>-4.847197187706806E-3</v>
      </c>
      <c r="M14" s="7">
        <v>-1.902171446498398E-2</v>
      </c>
      <c r="N14" s="7">
        <v>-8.2758984694099133E-2</v>
      </c>
      <c r="O14" s="7">
        <v>3.9642308069534393E-2</v>
      </c>
      <c r="P14" s="7">
        <v>6.5414209581504002E-3</v>
      </c>
      <c r="Q14" s="7">
        <v>0.12410387117144869</v>
      </c>
      <c r="R14" s="7">
        <v>-1.41517963055246E-2</v>
      </c>
      <c r="S14" s="7">
        <v>3.8534099526017718E-2</v>
      </c>
      <c r="T14" s="7">
        <v>-1.7360731234559681E-2</v>
      </c>
      <c r="U14" s="7">
        <v>0.1042666646356476</v>
      </c>
      <c r="V14" s="7">
        <v>-5.2421300158885083E-2</v>
      </c>
      <c r="W14" s="7">
        <v>-4.779500273352006E-2</v>
      </c>
      <c r="X14" s="7">
        <v>5.3581708514183243E-2</v>
      </c>
      <c r="Y14" s="7">
        <v>-5.5190991412221717E-2</v>
      </c>
      <c r="Z14" s="7">
        <v>2.1252201103450909E-2</v>
      </c>
      <c r="AA14" s="7">
        <v>-2.6273997668139859E-3</v>
      </c>
      <c r="AB14" s="7">
        <v>-7.4982912772120214E-2</v>
      </c>
      <c r="AC14" s="7">
        <v>-1.351726880349334E-2</v>
      </c>
      <c r="AD14" s="7">
        <v>-3.9327892190029898E-2</v>
      </c>
      <c r="AE14" s="7">
        <v>-4.0189068228804886E-3</v>
      </c>
      <c r="AF14" s="7">
        <v>-9.6080095456633624E-2</v>
      </c>
      <c r="AG14" s="7">
        <v>2.5329295010953049E-2</v>
      </c>
      <c r="AH14" s="7">
        <v>-6.3410379733012071E-2</v>
      </c>
      <c r="AI14" s="7">
        <v>-3.5462643898611923E-2</v>
      </c>
      <c r="AJ14" s="7">
        <v>-9.6294976708784216E-2</v>
      </c>
      <c r="AK14" s="7">
        <v>-7.7475339022454029E-2</v>
      </c>
      <c r="AL14" s="7">
        <v>-5.1230182968129499E-2</v>
      </c>
      <c r="AM14" s="7">
        <v>-4.2463855937373812E-2</v>
      </c>
      <c r="AN14" s="7">
        <v>-0.1103236819562325</v>
      </c>
      <c r="AO14" s="7">
        <v>-6.0905705465409951E-2</v>
      </c>
      <c r="AP14" s="7">
        <v>6.9976525152084204E-2</v>
      </c>
      <c r="AQ14" s="7">
        <v>3.6796773775995059E-4</v>
      </c>
      <c r="AR14" s="7">
        <v>-1.817082301888524E-2</v>
      </c>
      <c r="AS14" s="7">
        <v>6.6693383896894304E-3</v>
      </c>
      <c r="AT14" s="7">
        <v>3.4506579685144471E-2</v>
      </c>
      <c r="AU14" s="7">
        <v>3.999164900330384E-2</v>
      </c>
      <c r="AV14" s="7">
        <v>-1.868288543361717E-2</v>
      </c>
      <c r="AW14" s="7">
        <v>-1.8362931505957501E-2</v>
      </c>
      <c r="AX14" s="7">
        <v>-1.9370213375490559E-2</v>
      </c>
      <c r="AY14" s="7">
        <v>1.6905718250070641E-3</v>
      </c>
      <c r="AZ14" s="7">
        <v>-5.3348569172156059E-2</v>
      </c>
      <c r="BA14" s="7">
        <v>1.7621645544243138E-2</v>
      </c>
      <c r="BB14" s="7">
        <v>0.101898340258458</v>
      </c>
      <c r="BC14" s="7">
        <v>-2.8505683499306111E-2</v>
      </c>
      <c r="BD14" s="7">
        <v>4.3327781667405418E-2</v>
      </c>
      <c r="BE14" s="7">
        <v>-2.411701849660209E-2</v>
      </c>
      <c r="BF14" s="7">
        <v>-5.2428879018831306E-3</v>
      </c>
      <c r="BG14" s="7">
        <v>1.049660790114355E-2</v>
      </c>
      <c r="BH14" s="7">
        <v>-9.3750084239722239E-2</v>
      </c>
      <c r="BI14" s="7">
        <v>5.0185212890853773E-2</v>
      </c>
      <c r="BJ14" s="7">
        <v>-2.0017223671233209E-2</v>
      </c>
      <c r="BK14" s="7">
        <v>3.323738197833094E-2</v>
      </c>
      <c r="BL14" s="7">
        <v>1.0571834509862E-2</v>
      </c>
      <c r="BM14" s="7">
        <v>-2.137504666205849E-2</v>
      </c>
      <c r="BN14" s="7">
        <v>4.6576644196415717E-2</v>
      </c>
      <c r="BO14" s="7">
        <v>1.4903578973248861E-2</v>
      </c>
      <c r="BP14" s="7">
        <v>1.5673733492959141E-2</v>
      </c>
      <c r="BQ14" s="7">
        <v>1.584352386995078E-2</v>
      </c>
      <c r="BR14" s="7">
        <v>0.10005242307538641</v>
      </c>
      <c r="BS14" s="7">
        <v>-4.1493955144577897E-2</v>
      </c>
      <c r="BT14" s="7">
        <v>1.5287927903372821E-2</v>
      </c>
      <c r="BU14" s="7">
        <v>-8.8548353580308568E-3</v>
      </c>
      <c r="BV14" s="7">
        <v>2.5727182016427399E-2</v>
      </c>
      <c r="BW14" s="7">
        <v>1.250794825759332E-2</v>
      </c>
      <c r="BX14" s="7">
        <v>5.4970760121953073E-2</v>
      </c>
      <c r="BY14" s="7">
        <v>-8.0399768583761216E-2</v>
      </c>
      <c r="BZ14" s="7">
        <v>6.0034056828782267E-2</v>
      </c>
      <c r="CA14" s="7">
        <v>3.3455158238155647E-2</v>
      </c>
      <c r="CB14" s="7">
        <v>0.16446550132190679</v>
      </c>
      <c r="CC14" s="7">
        <v>0.1205961585891825</v>
      </c>
      <c r="CD14" s="7">
        <v>4.7921840912584578E-2</v>
      </c>
      <c r="CE14" s="7">
        <v>0.1705553024885505</v>
      </c>
      <c r="CF14" s="7">
        <v>-4.2877410075316917E-2</v>
      </c>
      <c r="CG14" s="7">
        <v>0.13892667651794</v>
      </c>
      <c r="CH14" s="7">
        <v>6.46613922782171E-2</v>
      </c>
      <c r="CI14" s="7">
        <v>-3.829356134685134E-3</v>
      </c>
      <c r="CJ14" s="7">
        <v>2.866785494417454E-2</v>
      </c>
      <c r="CK14" s="7">
        <v>1.40163643906461E-2</v>
      </c>
      <c r="CL14" s="7">
        <v>6.2269954878836478E-2</v>
      </c>
      <c r="CM14" s="7">
        <v>-5.0971068777473094E-3</v>
      </c>
      <c r="CN14" s="7">
        <v>-0.17459567468505729</v>
      </c>
      <c r="CO14" s="7">
        <v>7.8763758718324112E-2</v>
      </c>
      <c r="CP14" s="7">
        <v>-9.9809331481752833E-2</v>
      </c>
      <c r="CQ14" s="7">
        <v>-5.321162809167454E-2</v>
      </c>
      <c r="CR14" s="7">
        <v>-5.590913762450133E-2</v>
      </c>
      <c r="CS14" s="7">
        <v>-3.8161133435199359E-3</v>
      </c>
      <c r="CT14" s="7">
        <v>-1.910057655068487E-2</v>
      </c>
      <c r="CU14" s="7">
        <v>4.3917102697214612E-2</v>
      </c>
      <c r="CV14" s="7">
        <v>-2.274571513825533E-2</v>
      </c>
      <c r="CW14" s="7">
        <v>3.3983824634707719E-3</v>
      </c>
      <c r="CX14" s="7">
        <v>2.4244256487495751E-2</v>
      </c>
      <c r="CY14" s="7">
        <v>2.875912029147424E-2</v>
      </c>
      <c r="CZ14" s="7">
        <v>-6.4063563350383365E-2</v>
      </c>
      <c r="DA14" s="7">
        <v>2.4304289170584491E-2</v>
      </c>
      <c r="DB14" s="7">
        <v>2.356107318819085E-2</v>
      </c>
      <c r="DC14" s="7">
        <v>-4.2998541980200089E-2</v>
      </c>
      <c r="DD14" s="7">
        <v>1.6758549792416429E-2</v>
      </c>
      <c r="DE14" s="7">
        <v>-6.2526924006459011E-2</v>
      </c>
      <c r="DF14" s="7">
        <v>-0.20156283946711201</v>
      </c>
      <c r="DG14" s="7">
        <v>-1.144655639331721E-2</v>
      </c>
      <c r="DH14" s="7">
        <v>-4.7748372429115976E-3</v>
      </c>
      <c r="DI14" s="7">
        <v>-4.0659134635571623E-2</v>
      </c>
      <c r="DJ14" s="7">
        <v>-1.589759181276991E-2</v>
      </c>
      <c r="DK14" s="7">
        <v>-1.9071063117655919E-2</v>
      </c>
      <c r="DL14" s="7">
        <v>4.0754871831899041E-2</v>
      </c>
      <c r="DM14" s="7">
        <v>-5.504269093650517E-3</v>
      </c>
      <c r="DN14" s="7">
        <v>3.0298833250316529E-2</v>
      </c>
      <c r="DO14" s="7">
        <v>0.1025921893632338</v>
      </c>
      <c r="DP14" s="7">
        <v>-3.6178582717266978E-3</v>
      </c>
      <c r="DQ14" s="7">
        <v>5.6019285986190409E-2</v>
      </c>
      <c r="DR14" s="7">
        <v>-7.7944218090853119E-3</v>
      </c>
      <c r="DS14" s="7">
        <v>-5.6051819928563652E-2</v>
      </c>
      <c r="DT14" s="7">
        <v>4.4516953597455299E-2</v>
      </c>
      <c r="DU14" s="7">
        <v>4.4914948618981987E-2</v>
      </c>
      <c r="DV14" s="7">
        <v>-0.1082623545301073</v>
      </c>
      <c r="DW14" s="7">
        <v>9.8344367017777726E-2</v>
      </c>
      <c r="DX14" s="7">
        <v>-2.7689697360398641E-2</v>
      </c>
      <c r="DY14" s="7">
        <v>-4.7660986602341179E-2</v>
      </c>
      <c r="DZ14" s="7">
        <v>-2.1697589256116791E-2</v>
      </c>
      <c r="EA14" s="7">
        <v>-0.10752548319752379</v>
      </c>
      <c r="EB14" s="7">
        <v>2.510952061826455E-2</v>
      </c>
      <c r="EC14" s="7">
        <v>4.3260017529307637E-2</v>
      </c>
      <c r="ED14" s="7">
        <v>0.102629709186187</v>
      </c>
      <c r="EE14" s="7">
        <v>-3.3992535180725199E-3</v>
      </c>
      <c r="EF14" s="8">
        <v>-6.9956420498558061E-2</v>
      </c>
    </row>
    <row r="15" spans="1:137" x14ac:dyDescent="0.3">
      <c r="A15" s="1">
        <v>100</v>
      </c>
      <c r="B15" s="1">
        <v>10</v>
      </c>
      <c r="C15" s="7">
        <v>-9.6503141994516081E-2</v>
      </c>
      <c r="D15" s="7">
        <v>0.37270921560992559</v>
      </c>
      <c r="E15" s="7">
        <v>1.019842627208351E-2</v>
      </c>
      <c r="F15" s="7">
        <v>0.1085622933731899</v>
      </c>
      <c r="G15" s="7">
        <v>6.0636928671534279E-2</v>
      </c>
      <c r="H15" s="7">
        <v>-5.0157824503593081E-2</v>
      </c>
      <c r="I15" s="7">
        <v>-5.843144427986554E-2</v>
      </c>
      <c r="J15" s="7">
        <v>-6.4524690109755506E-2</v>
      </c>
      <c r="K15" s="7">
        <v>0.28659462773637062</v>
      </c>
      <c r="L15" s="7">
        <v>-3.2558505157184642E-2</v>
      </c>
      <c r="M15" s="7">
        <v>-2.1330164362876949E-3</v>
      </c>
      <c r="N15" s="7">
        <v>-0.12086815416098109</v>
      </c>
      <c r="O15" s="7">
        <v>4.6103493253125377E-2</v>
      </c>
      <c r="P15" s="7">
        <v>2.1896569845224052E-2</v>
      </c>
      <c r="Q15" s="7">
        <v>0.15553684210781249</v>
      </c>
      <c r="R15" s="7">
        <v>1.6755436290618191E-2</v>
      </c>
      <c r="S15" s="7">
        <v>-4.3033933773331312E-2</v>
      </c>
      <c r="T15" s="7">
        <v>-4.9338672660515052E-2</v>
      </c>
      <c r="U15" s="7">
        <v>0.1369680616672688</v>
      </c>
      <c r="V15" s="7">
        <v>-0.1101270063308359</v>
      </c>
      <c r="W15" s="7">
        <v>-5.0671424244990583E-2</v>
      </c>
      <c r="X15" s="7">
        <v>7.8436412445587397E-2</v>
      </c>
      <c r="Y15" s="7">
        <v>-5.202879805714216E-2</v>
      </c>
      <c r="Z15" s="7">
        <v>-2.3656418685670762E-2</v>
      </c>
      <c r="AA15" s="7">
        <v>4.6586123925793019E-2</v>
      </c>
      <c r="AB15" s="7">
        <v>-7.3995951784183639E-2</v>
      </c>
      <c r="AC15" s="7">
        <v>1.6480966208188091E-2</v>
      </c>
      <c r="AD15" s="7">
        <v>-3.9690481127708267E-2</v>
      </c>
      <c r="AE15" s="7">
        <v>4.7286476245703507E-2</v>
      </c>
      <c r="AF15" s="7">
        <v>-0.13772628717765439</v>
      </c>
      <c r="AG15" s="7">
        <v>4.4324544215075819E-2</v>
      </c>
      <c r="AH15" s="7">
        <v>1.4500686925931689E-2</v>
      </c>
      <c r="AI15" s="7">
        <v>-2.4849257132530979E-2</v>
      </c>
      <c r="AJ15" s="7">
        <v>-4.1844346323331449E-3</v>
      </c>
      <c r="AK15" s="7">
        <v>-6.9361451191916404E-2</v>
      </c>
      <c r="AL15" s="7">
        <v>-3.2360173796661423E-2</v>
      </c>
      <c r="AM15" s="7">
        <v>-6.863120708961859E-2</v>
      </c>
      <c r="AN15" s="7">
        <v>-6.0734931800687501E-2</v>
      </c>
      <c r="AO15" s="7">
        <v>-6.3369812463467096E-2</v>
      </c>
      <c r="AP15" s="7">
        <v>7.8285693892754235E-2</v>
      </c>
      <c r="AQ15" s="7">
        <v>3.7367126796121669E-2</v>
      </c>
      <c r="AR15" s="7">
        <v>-2.4550819698278721E-2</v>
      </c>
      <c r="AS15" s="7">
        <v>4.8733221354101797E-2</v>
      </c>
      <c r="AT15" s="7">
        <v>6.5254990652428568E-2</v>
      </c>
      <c r="AU15" s="7">
        <v>3.9943261089466317E-2</v>
      </c>
      <c r="AV15" s="7">
        <v>-4.7226818327438858E-2</v>
      </c>
      <c r="AW15" s="7">
        <v>1.5659939254580951E-2</v>
      </c>
      <c r="AX15" s="7">
        <v>-8.1360565954768135E-2</v>
      </c>
      <c r="AY15" s="7">
        <v>2.9005659300491791E-2</v>
      </c>
      <c r="AZ15" s="7">
        <v>-9.1323280068503487E-2</v>
      </c>
      <c r="BA15" s="7">
        <v>1.061351480765297E-2</v>
      </c>
      <c r="BB15" s="7">
        <v>0.1087890998161227</v>
      </c>
      <c r="BC15" s="7">
        <v>-3.0936691622350049E-2</v>
      </c>
      <c r="BD15" s="7">
        <v>5.3043273904796059E-2</v>
      </c>
      <c r="BE15" s="7">
        <v>-4.6217113983022272E-2</v>
      </c>
      <c r="BF15" s="7">
        <v>-5.6978024220911652E-2</v>
      </c>
      <c r="BG15" s="7">
        <v>1.3776150402420841E-2</v>
      </c>
      <c r="BH15" s="7">
        <v>-5.4709226157740029E-2</v>
      </c>
      <c r="BI15" s="7">
        <v>6.8586659114969639E-2</v>
      </c>
      <c r="BJ15" s="7">
        <v>-1.1265027087445249E-2</v>
      </c>
      <c r="BK15" s="7">
        <v>7.2869418882588896E-2</v>
      </c>
      <c r="BL15" s="7">
        <v>7.7901403746215292E-5</v>
      </c>
      <c r="BM15" s="7">
        <v>-6.2598394572544819E-2</v>
      </c>
      <c r="BN15" s="7">
        <v>6.6054035225581897E-2</v>
      </c>
      <c r="BO15" s="7">
        <v>1.6589443526158851E-2</v>
      </c>
      <c r="BP15" s="7">
        <v>1.4184220707804779E-2</v>
      </c>
      <c r="BQ15" s="7">
        <v>1.280293129032776E-2</v>
      </c>
      <c r="BR15" s="7">
        <v>0.1237621364364551</v>
      </c>
      <c r="BS15" s="7">
        <v>-1.682377745028631E-2</v>
      </c>
      <c r="BT15" s="7">
        <v>-3.6633666195559952E-2</v>
      </c>
      <c r="BU15" s="7">
        <v>1.9476419795793471E-2</v>
      </c>
      <c r="BV15" s="7">
        <v>5.8914967752548723E-2</v>
      </c>
      <c r="BW15" s="7">
        <v>-3.5945890129403732E-2</v>
      </c>
      <c r="BX15" s="7">
        <v>2.8635895065731481E-2</v>
      </c>
      <c r="BY15" s="7">
        <v>-9.333839246383685E-2</v>
      </c>
      <c r="BZ15" s="7">
        <v>0.1029064689773473</v>
      </c>
      <c r="CA15" s="7">
        <v>2.9964009225077439E-2</v>
      </c>
      <c r="CB15" s="7">
        <v>0.13109140278406139</v>
      </c>
      <c r="CC15" s="7">
        <v>0.17365170572211991</v>
      </c>
      <c r="CD15" s="7">
        <v>8.9094519675820161E-2</v>
      </c>
      <c r="CE15" s="7">
        <v>7.3368120048450503E-2</v>
      </c>
      <c r="CF15" s="7">
        <v>-4.1349429867967538E-2</v>
      </c>
      <c r="CG15" s="7">
        <v>0.2257312272651272</v>
      </c>
      <c r="CH15" s="7">
        <v>6.2885958283701332E-2</v>
      </c>
      <c r="CI15" s="7">
        <v>-6.9336844735236963E-2</v>
      </c>
      <c r="CJ15" s="7">
        <v>8.7044356072718085E-2</v>
      </c>
      <c r="CK15" s="7">
        <v>5.667264577209942E-2</v>
      </c>
      <c r="CL15" s="7">
        <v>3.1421974993248308E-2</v>
      </c>
      <c r="CM15" s="7">
        <v>-4.6626535792598657E-2</v>
      </c>
      <c r="CN15" s="7">
        <v>-0.14314981697124041</v>
      </c>
      <c r="CO15" s="7">
        <v>0.1069792441995681</v>
      </c>
      <c r="CP15" s="7">
        <v>-0.12753583543294969</v>
      </c>
      <c r="CQ15" s="7">
        <v>-3.7378010765128991E-2</v>
      </c>
      <c r="CR15" s="7">
        <v>-4.8237070288164277E-2</v>
      </c>
      <c r="CS15" s="7">
        <v>1.6910986704255612E-2</v>
      </c>
      <c r="CT15" s="7">
        <v>-7.3945749754547726E-3</v>
      </c>
      <c r="CU15" s="7">
        <v>6.3178659914772728E-2</v>
      </c>
      <c r="CV15" s="7">
        <v>6.1418469048089008E-3</v>
      </c>
      <c r="CW15" s="7">
        <v>1.248466018044017E-2</v>
      </c>
      <c r="CX15" s="7">
        <v>1.7868891816779579E-2</v>
      </c>
      <c r="CY15" s="7">
        <v>4.2470673077762339E-2</v>
      </c>
      <c r="CZ15" s="7">
        <v>-7.9886947944342257E-2</v>
      </c>
      <c r="DA15" s="7">
        <v>2.6375835441876511E-2</v>
      </c>
      <c r="DB15" s="7">
        <v>3.0226618214123681E-2</v>
      </c>
      <c r="DC15" s="7">
        <v>-6.7692431945125919E-2</v>
      </c>
      <c r="DD15" s="7">
        <v>4.9393690499884603E-2</v>
      </c>
      <c r="DE15" s="7">
        <v>-5.7163634731252508E-2</v>
      </c>
      <c r="DF15" s="7">
        <v>-0.30272044964278222</v>
      </c>
      <c r="DG15" s="7">
        <v>-1.61967316182412E-2</v>
      </c>
      <c r="DH15" s="7">
        <v>1.8709011043892099E-2</v>
      </c>
      <c r="DI15" s="7">
        <v>-5.4108318657130297E-2</v>
      </c>
      <c r="DJ15" s="7">
        <v>-4.7566622441064077E-2</v>
      </c>
      <c r="DK15" s="7">
        <v>-0.101774834051468</v>
      </c>
      <c r="DL15" s="7">
        <v>-3.0399320282783332E-4</v>
      </c>
      <c r="DM15" s="7">
        <v>2.380854686766869E-2</v>
      </c>
      <c r="DN15" s="7">
        <v>-6.7022569228543022E-2</v>
      </c>
      <c r="DO15" s="7">
        <v>0.15954541135927219</v>
      </c>
      <c r="DP15" s="7">
        <v>4.0330192791233468E-2</v>
      </c>
      <c r="DQ15" s="7">
        <v>7.2938079904142805E-2</v>
      </c>
      <c r="DR15" s="7">
        <v>2.2035264994874001E-2</v>
      </c>
      <c r="DS15" s="7">
        <v>-3.7530143777968331E-2</v>
      </c>
      <c r="DT15" s="7">
        <v>7.2163631718163007E-2</v>
      </c>
      <c r="DU15" s="7">
        <v>4.5770728951680668E-2</v>
      </c>
      <c r="DV15" s="7">
        <v>-0.13976835694087139</v>
      </c>
      <c r="DW15" s="7">
        <v>2.5538627146832551E-2</v>
      </c>
      <c r="DX15" s="7">
        <v>-2.1545670320480031E-2</v>
      </c>
      <c r="DY15" s="7">
        <v>8.3673634692538773E-2</v>
      </c>
      <c r="DZ15" s="7">
        <v>-3.6596497763803963E-2</v>
      </c>
      <c r="EA15" s="7">
        <v>-0.10917693290987859</v>
      </c>
      <c r="EB15" s="7">
        <v>5.6126480267324717E-2</v>
      </c>
      <c r="EC15" s="7">
        <v>7.6157076796619858E-2</v>
      </c>
      <c r="ED15" s="7">
        <v>0.1133570559353114</v>
      </c>
      <c r="EE15" s="7">
        <v>3.1907205015268242E-3</v>
      </c>
      <c r="EF15" s="8">
        <v>-6.5700991138842244E-2</v>
      </c>
    </row>
    <row r="16" spans="1:137" x14ac:dyDescent="0.3">
      <c r="A16" s="1">
        <v>107</v>
      </c>
      <c r="B16" s="1">
        <v>9</v>
      </c>
      <c r="C16" s="7">
        <v>-2.7383644610379052E-2</v>
      </c>
      <c r="D16" s="7">
        <v>0.40819497873258059</v>
      </c>
      <c r="E16" s="7">
        <v>2.8301766100853822E-3</v>
      </c>
      <c r="F16" s="7">
        <v>9.9382492855487087E-2</v>
      </c>
      <c r="G16" s="7">
        <v>7.3696265126923857E-2</v>
      </c>
      <c r="H16" s="7">
        <v>-6.0999004616936837E-2</v>
      </c>
      <c r="I16" s="7">
        <v>-5.7530618665621432E-2</v>
      </c>
      <c r="J16" s="7">
        <v>-6.869403325322769E-2</v>
      </c>
      <c r="K16" s="7">
        <v>0.28467055022653209</v>
      </c>
      <c r="L16" s="7">
        <v>-9.8865345878687977E-3</v>
      </c>
      <c r="M16" s="7">
        <v>-1.3987435861917089E-2</v>
      </c>
      <c r="N16" s="7">
        <v>-0.1256706255427503</v>
      </c>
      <c r="O16" s="7">
        <v>1.562109222531044E-2</v>
      </c>
      <c r="P16" s="7">
        <v>8.1881795143319731E-3</v>
      </c>
      <c r="Q16" s="7">
        <v>0.15790307042433799</v>
      </c>
      <c r="R16" s="7">
        <v>1.9182762255635071E-2</v>
      </c>
      <c r="S16" s="7">
        <v>-4.241518321095411E-2</v>
      </c>
      <c r="T16" s="7">
        <v>-2.322678494413952E-2</v>
      </c>
      <c r="U16" s="7">
        <v>0.1300624714297445</v>
      </c>
      <c r="V16" s="7">
        <v>-7.5571486108906974E-2</v>
      </c>
      <c r="W16" s="7">
        <v>-0.1016313571311754</v>
      </c>
      <c r="X16" s="7">
        <v>7.3678277657467109E-2</v>
      </c>
      <c r="Y16" s="7">
        <v>-5.0278834461062571E-2</v>
      </c>
      <c r="Z16" s="7">
        <v>-2.0075794878424799E-2</v>
      </c>
      <c r="AA16" s="7">
        <v>5.022552686591434E-2</v>
      </c>
      <c r="AB16" s="7">
        <v>-7.1016126417337094E-2</v>
      </c>
      <c r="AC16" s="7">
        <v>4.7226236202560543E-2</v>
      </c>
      <c r="AD16" s="7">
        <v>-3.481117185725148E-2</v>
      </c>
      <c r="AE16" s="7">
        <v>5.1534991881901908E-2</v>
      </c>
      <c r="AF16" s="7">
        <v>-0.14791561026442651</v>
      </c>
      <c r="AG16" s="7">
        <v>4.3776159735772403E-2</v>
      </c>
      <c r="AH16" s="7">
        <v>4.4107019023009487E-2</v>
      </c>
      <c r="AI16" s="7">
        <v>-3.3383255671647301E-2</v>
      </c>
      <c r="AJ16" s="7">
        <v>1.7629241723035149E-2</v>
      </c>
      <c r="AK16" s="7">
        <v>-3.7433452981487869E-2</v>
      </c>
      <c r="AL16" s="7">
        <v>-5.4397026306529771E-3</v>
      </c>
      <c r="AM16" s="7">
        <v>-5.2145732480091148E-2</v>
      </c>
      <c r="AN16" s="7">
        <v>-5.2712143495019431E-2</v>
      </c>
      <c r="AO16" s="7">
        <v>-6.1424671825912318E-2</v>
      </c>
      <c r="AP16" s="7">
        <v>7.779836814558852E-2</v>
      </c>
      <c r="AQ16" s="7">
        <v>3.8466200146068608E-2</v>
      </c>
      <c r="AR16" s="7">
        <v>-3.2492759720063692E-2</v>
      </c>
      <c r="AS16" s="7">
        <v>5.2642718238233757E-2</v>
      </c>
      <c r="AT16" s="7">
        <v>4.954715531837002E-2</v>
      </c>
      <c r="AU16" s="7">
        <v>4.1826838254895117E-2</v>
      </c>
      <c r="AV16" s="7">
        <v>-9.0725067800187069E-3</v>
      </c>
      <c r="AW16" s="7">
        <v>3.9252930074650652E-2</v>
      </c>
      <c r="AX16" s="7">
        <v>-0.1006213291014028</v>
      </c>
      <c r="AY16" s="7">
        <v>1.9601853599139189E-2</v>
      </c>
      <c r="AZ16" s="7">
        <v>-0.1049096351787122</v>
      </c>
      <c r="BA16" s="7">
        <v>1.4923105057586089E-2</v>
      </c>
      <c r="BB16" s="7">
        <v>0.1324747375965718</v>
      </c>
      <c r="BC16" s="7">
        <v>-3.8999391922231702E-2</v>
      </c>
      <c r="BD16" s="7">
        <v>3.5936711545904013E-2</v>
      </c>
      <c r="BE16" s="7">
        <v>-4.4139136640068882E-2</v>
      </c>
      <c r="BF16" s="7">
        <v>-5.4584963205786277E-2</v>
      </c>
      <c r="BG16" s="7">
        <v>1.9331206971702371E-2</v>
      </c>
      <c r="BH16" s="7">
        <v>-6.204002555156761E-2</v>
      </c>
      <c r="BI16" s="7">
        <v>4.1443807763261883E-2</v>
      </c>
      <c r="BJ16" s="7">
        <v>-2.0503816283207601E-2</v>
      </c>
      <c r="BK16" s="7">
        <v>0.1047732029205687</v>
      </c>
      <c r="BL16" s="7">
        <v>-8.4142573937307022E-3</v>
      </c>
      <c r="BM16" s="7">
        <v>-6.9805825252800505E-2</v>
      </c>
      <c r="BN16" s="7">
        <v>6.7197970404689056E-2</v>
      </c>
      <c r="BO16" s="7">
        <v>1.5960318994735909E-2</v>
      </c>
      <c r="BP16" s="7">
        <v>2.0843183547580579E-2</v>
      </c>
      <c r="BQ16" s="7">
        <v>1.6478016254928601E-2</v>
      </c>
      <c r="BR16" s="7">
        <v>0.13058296822502161</v>
      </c>
      <c r="BS16" s="7">
        <v>-1.319157314746418E-2</v>
      </c>
      <c r="BT16" s="7">
        <v>-3.8066078212245447E-2</v>
      </c>
      <c r="BU16" s="7">
        <v>5.7765110184800447E-2</v>
      </c>
      <c r="BV16" s="7">
        <v>6.0711239446840828E-2</v>
      </c>
      <c r="BW16" s="7">
        <v>-6.5740927426534632E-2</v>
      </c>
      <c r="BX16" s="7">
        <v>3.1559237521130948E-2</v>
      </c>
      <c r="BY16" s="7">
        <v>-0.1189947080532785</v>
      </c>
      <c r="BZ16" s="7">
        <v>0.11152584850164921</v>
      </c>
      <c r="CA16" s="7">
        <v>2.7432169651693931E-2</v>
      </c>
      <c r="CB16" s="7">
        <v>0.13930873593333401</v>
      </c>
      <c r="CC16" s="7">
        <v>4.4388153170205821E-2</v>
      </c>
      <c r="CD16" s="7">
        <v>8.7751090265593801E-2</v>
      </c>
      <c r="CE16" s="7">
        <v>9.3614230467915741E-2</v>
      </c>
      <c r="CF16" s="7">
        <v>-5.280008433528089E-2</v>
      </c>
      <c r="CG16" s="7">
        <v>0.14619604002614181</v>
      </c>
      <c r="CH16" s="7">
        <v>4.1697414703027062E-2</v>
      </c>
      <c r="CI16" s="7">
        <v>-5.8344749844507937E-2</v>
      </c>
      <c r="CJ16" s="7">
        <v>4.5523550787666608E-2</v>
      </c>
      <c r="CK16" s="7">
        <v>7.6472983717690388E-2</v>
      </c>
      <c r="CL16" s="7">
        <v>1.5878682334709331E-2</v>
      </c>
      <c r="CM16" s="7">
        <v>-6.9997267456522183E-3</v>
      </c>
      <c r="CN16" s="7">
        <v>-0.16035991631652741</v>
      </c>
      <c r="CO16" s="7">
        <v>0.13464020879390531</v>
      </c>
      <c r="CP16" s="7">
        <v>-0.13663168948209131</v>
      </c>
      <c r="CQ16" s="7">
        <v>-4.1435605659410409E-2</v>
      </c>
      <c r="CR16" s="7">
        <v>-4.829976668331655E-2</v>
      </c>
      <c r="CS16" s="7">
        <v>2.1807008909622099E-2</v>
      </c>
      <c r="CT16" s="7">
        <v>-5.0674065008409694E-3</v>
      </c>
      <c r="CU16" s="7">
        <v>6.343465435897469E-2</v>
      </c>
      <c r="CV16" s="7">
        <v>1.6751084080720881E-2</v>
      </c>
      <c r="CW16" s="7">
        <v>9.1941595326216954E-3</v>
      </c>
      <c r="CX16" s="7">
        <v>6.6867776782281244E-3</v>
      </c>
      <c r="CY16" s="7">
        <v>4.9117049116625407E-2</v>
      </c>
      <c r="CZ16" s="7">
        <v>-0.1026332591781325</v>
      </c>
      <c r="DA16" s="7">
        <v>2.9804793967235531E-2</v>
      </c>
      <c r="DB16" s="7">
        <v>4.2712169780226052E-2</v>
      </c>
      <c r="DC16" s="7">
        <v>-8.3264051622984642E-2</v>
      </c>
      <c r="DD16" s="7">
        <v>7.0070935057357717E-2</v>
      </c>
      <c r="DE16" s="7">
        <v>-3.4552400358790022E-2</v>
      </c>
      <c r="DF16" s="7">
        <v>-0.32557955091715263</v>
      </c>
      <c r="DG16" s="7">
        <v>-1.445294763143863E-2</v>
      </c>
      <c r="DH16" s="7">
        <v>1.9129343417971109E-2</v>
      </c>
      <c r="DI16" s="7">
        <v>-4.5399497901261208E-2</v>
      </c>
      <c r="DJ16" s="7">
        <v>-5.17532210725552E-2</v>
      </c>
      <c r="DK16" s="7">
        <v>-0.1335943566255807</v>
      </c>
      <c r="DL16" s="7">
        <v>-2.187287424977424E-2</v>
      </c>
      <c r="DM16" s="7">
        <v>3.0330949758340948E-2</v>
      </c>
      <c r="DN16" s="7">
        <v>-5.6707576938316691E-2</v>
      </c>
      <c r="DO16" s="7">
        <v>0.16959094638807429</v>
      </c>
      <c r="DP16" s="7">
        <v>2.4716583377735541E-2</v>
      </c>
      <c r="DQ16" s="7">
        <v>6.7560519945635999E-2</v>
      </c>
      <c r="DR16" s="7">
        <v>1.11781676491013E-2</v>
      </c>
      <c r="DS16" s="7">
        <v>-2.144067271249302E-2</v>
      </c>
      <c r="DT16" s="7">
        <v>0.10053412782446559</v>
      </c>
      <c r="DU16" s="7">
        <v>6.447373376953866E-2</v>
      </c>
      <c r="DV16" s="7">
        <v>-0.13695373201779351</v>
      </c>
      <c r="DW16" s="7">
        <v>4.0917729699690833E-2</v>
      </c>
      <c r="DX16" s="7">
        <v>-2.1947727776040898E-2</v>
      </c>
      <c r="DY16" s="7">
        <v>9.4984864221236961E-2</v>
      </c>
      <c r="DZ16" s="7">
        <v>-1.264917158578936E-2</v>
      </c>
      <c r="EA16" s="7">
        <v>-0.13979901874338971</v>
      </c>
      <c r="EB16" s="7">
        <v>7.0875443779551073E-2</v>
      </c>
      <c r="EC16" s="7">
        <v>6.8501480567839029E-2</v>
      </c>
      <c r="ED16" s="7">
        <v>0.1154167474989211</v>
      </c>
      <c r="EE16" s="7">
        <v>4.3966753067597054E-3</v>
      </c>
      <c r="EF16" s="8">
        <v>-4.2474401493907223E-2</v>
      </c>
    </row>
    <row r="17" spans="1:136" x14ac:dyDescent="0.3">
      <c r="A17" s="1">
        <v>120</v>
      </c>
      <c r="B17" s="1">
        <v>8</v>
      </c>
      <c r="C17" s="7">
        <v>-4.1028984252961823E-2</v>
      </c>
      <c r="D17" s="7">
        <v>0.43958848862462141</v>
      </c>
      <c r="E17" s="7">
        <v>-7.3790014953013412E-3</v>
      </c>
      <c r="F17" s="7">
        <v>0.1128375151172957</v>
      </c>
      <c r="G17" s="7">
        <v>7.122276687818177E-2</v>
      </c>
      <c r="H17" s="7">
        <v>-7.6687821562616859E-2</v>
      </c>
      <c r="I17" s="7">
        <v>-0.1137250278021875</v>
      </c>
      <c r="J17" s="7">
        <v>-0.11529907324194991</v>
      </c>
      <c r="K17" s="7">
        <v>0.29682655110056239</v>
      </c>
      <c r="L17" s="7">
        <v>-9.7108895081580021E-3</v>
      </c>
      <c r="M17" s="7">
        <v>1.4659142090288421E-2</v>
      </c>
      <c r="N17" s="7">
        <v>-0.1359484320527852</v>
      </c>
      <c r="O17" s="7">
        <v>2.4632055211945642E-2</v>
      </c>
      <c r="P17" s="7">
        <v>1.338294674336832E-2</v>
      </c>
      <c r="Q17" s="7">
        <v>0.16180129461512691</v>
      </c>
      <c r="R17" s="7">
        <v>1.9752512806694429E-3</v>
      </c>
      <c r="S17" s="7">
        <v>-5.51320257379724E-2</v>
      </c>
      <c r="T17" s="7">
        <v>-2.3507588651560989E-2</v>
      </c>
      <c r="U17" s="7">
        <v>0.14127114253855691</v>
      </c>
      <c r="V17" s="7">
        <v>-9.7259655852603044E-2</v>
      </c>
      <c r="W17" s="7">
        <v>-0.1286672543576686</v>
      </c>
      <c r="X17" s="7">
        <v>0.1001859670039883</v>
      </c>
      <c r="Y17" s="7">
        <v>-7.3623131490407626E-2</v>
      </c>
      <c r="Z17" s="7">
        <v>-2.160848979426638E-2</v>
      </c>
      <c r="AA17" s="7">
        <v>6.2254197086471723E-2</v>
      </c>
      <c r="AB17" s="7">
        <v>-5.8334160690778111E-2</v>
      </c>
      <c r="AC17" s="7">
        <v>5.8728690290493803E-2</v>
      </c>
      <c r="AD17" s="7">
        <v>-6.8619823236846789E-2</v>
      </c>
      <c r="AE17" s="7">
        <v>5.9443499695692369E-2</v>
      </c>
      <c r="AF17" s="7">
        <v>-0.1202863246558465</v>
      </c>
      <c r="AG17" s="7">
        <v>6.2640141571138702E-2</v>
      </c>
      <c r="AH17" s="7">
        <v>3.1921450212330872E-2</v>
      </c>
      <c r="AI17" s="7">
        <v>-5.7037975655486538E-2</v>
      </c>
      <c r="AJ17" s="7">
        <v>2.220745952474644E-2</v>
      </c>
      <c r="AK17" s="7">
        <v>-2.937588960957525E-2</v>
      </c>
      <c r="AL17" s="7">
        <v>-2.701818216868862E-2</v>
      </c>
      <c r="AM17" s="7">
        <v>-9.3351710026530269E-2</v>
      </c>
      <c r="AN17" s="7">
        <v>-4.9360372419014018E-2</v>
      </c>
      <c r="AO17" s="7">
        <v>-1.2632334595724191E-2</v>
      </c>
      <c r="AP17" s="7">
        <v>7.7242814419585484E-2</v>
      </c>
      <c r="AQ17" s="7">
        <v>6.052713740149903E-2</v>
      </c>
      <c r="AR17" s="7">
        <v>-3.4997281035057427E-2</v>
      </c>
      <c r="AS17" s="7">
        <v>5.8802956944234333E-2</v>
      </c>
      <c r="AT17" s="7">
        <v>5.2267806449722218E-2</v>
      </c>
      <c r="AU17" s="7">
        <v>5.4555507286687788E-2</v>
      </c>
      <c r="AV17" s="7">
        <v>-2.120590278226837E-2</v>
      </c>
      <c r="AW17" s="7">
        <v>8.4218880418367916E-3</v>
      </c>
      <c r="AX17" s="7">
        <v>-9.7619105117607935E-2</v>
      </c>
      <c r="AY17" s="7">
        <v>1.547804570524644E-2</v>
      </c>
      <c r="AZ17" s="7">
        <v>-0.1251576022601911</v>
      </c>
      <c r="BA17" s="7">
        <v>9.8251791071129642E-3</v>
      </c>
      <c r="BB17" s="7">
        <v>0.15327128427838471</v>
      </c>
      <c r="BC17" s="7">
        <v>-2.729282438048998E-2</v>
      </c>
      <c r="BD17" s="7">
        <v>2.235648224620481E-2</v>
      </c>
      <c r="BE17" s="7">
        <v>-1.6297388770544239E-2</v>
      </c>
      <c r="BF17" s="7">
        <v>-7.741760405507267E-2</v>
      </c>
      <c r="BG17" s="7">
        <v>-1.3153310785772251E-2</v>
      </c>
      <c r="BH17" s="7">
        <v>-4.8737994244788217E-2</v>
      </c>
      <c r="BI17" s="7">
        <v>8.7111945439947241E-2</v>
      </c>
      <c r="BJ17" s="7">
        <v>-9.8580642732364818E-3</v>
      </c>
      <c r="BK17" s="7">
        <v>0.11481579199951759</v>
      </c>
      <c r="BL17" s="7">
        <v>7.5736051069474897E-3</v>
      </c>
      <c r="BM17" s="7">
        <v>-7.7967325781843663E-2</v>
      </c>
      <c r="BN17" s="7">
        <v>7.3656767936365913E-2</v>
      </c>
      <c r="BO17" s="7">
        <v>3.135029868338178E-2</v>
      </c>
      <c r="BP17" s="7">
        <v>3.5995979654480911E-2</v>
      </c>
      <c r="BQ17" s="7">
        <v>1.1376510446451601E-2</v>
      </c>
      <c r="BR17" s="7">
        <v>0.1150223530257518</v>
      </c>
      <c r="BS17" s="7">
        <v>-4.1034691106065987E-3</v>
      </c>
      <c r="BT17" s="7">
        <v>-3.3647573246358371E-2</v>
      </c>
      <c r="BU17" s="7">
        <v>7.1127818750752414E-2</v>
      </c>
      <c r="BV17" s="7">
        <v>7.0210303019628315E-2</v>
      </c>
      <c r="BW17" s="7">
        <v>-8.0431712599265903E-2</v>
      </c>
      <c r="BX17" s="7">
        <v>2.882296461967274E-2</v>
      </c>
      <c r="BY17" s="7">
        <v>-9.5860871919991084E-2</v>
      </c>
      <c r="BZ17" s="7">
        <v>0.12057815588108529</v>
      </c>
      <c r="CA17" s="7">
        <v>2.7196784377914691E-2</v>
      </c>
      <c r="CB17" s="7">
        <v>0.1496331576928896</v>
      </c>
      <c r="CC17" s="7">
        <v>4.1760252474235628E-2</v>
      </c>
      <c r="CD17" s="7">
        <v>6.4105945265327313E-2</v>
      </c>
      <c r="CE17" s="7">
        <v>9.5708073661495086E-2</v>
      </c>
      <c r="CF17" s="7">
        <v>-5.8238796594696537E-2</v>
      </c>
      <c r="CG17" s="7">
        <v>0.17703460732335141</v>
      </c>
      <c r="CH17" s="7">
        <v>5.8636446607050002E-2</v>
      </c>
      <c r="CI17" s="7">
        <v>-8.2452914320057163E-2</v>
      </c>
      <c r="CJ17" s="7">
        <v>5.0742321484442049E-2</v>
      </c>
      <c r="CK17" s="7">
        <v>9.1738572657912937E-2</v>
      </c>
      <c r="CL17" s="7">
        <v>-9.426344769031314E-3</v>
      </c>
      <c r="CM17" s="7">
        <v>1.669972893353411E-3</v>
      </c>
      <c r="CN17" s="7">
        <v>-0.1765312785813869</v>
      </c>
      <c r="CO17" s="7">
        <v>0.13741287532952509</v>
      </c>
      <c r="CP17" s="7">
        <v>-0.1481592691973436</v>
      </c>
      <c r="CQ17" s="7">
        <v>-4.1087933183403327E-2</v>
      </c>
      <c r="CR17" s="7">
        <v>-5.0676490702223173E-2</v>
      </c>
      <c r="CS17" s="7">
        <v>1.1545515717005199E-2</v>
      </c>
      <c r="CT17" s="7">
        <v>-4.9260056389193077E-2</v>
      </c>
      <c r="CU17" s="7">
        <v>7.440830758325391E-2</v>
      </c>
      <c r="CV17" s="7">
        <v>-3.8796079399274282E-3</v>
      </c>
      <c r="CW17" s="7">
        <v>1.976185390935294E-2</v>
      </c>
      <c r="CX17" s="7">
        <v>2.4992449205521659E-2</v>
      </c>
      <c r="CY17" s="7">
        <v>4.9383298716090041E-2</v>
      </c>
      <c r="CZ17" s="7">
        <v>-0.1242488378476205</v>
      </c>
      <c r="DA17" s="7">
        <v>4.3895859145134192E-2</v>
      </c>
      <c r="DB17" s="7">
        <v>3.4883010792467917E-2</v>
      </c>
      <c r="DC17" s="7">
        <v>-9.8849392549809512E-2</v>
      </c>
      <c r="DD17" s="7">
        <v>8.5133933084153957E-2</v>
      </c>
      <c r="DE17" s="7">
        <v>-2.4124863346722019E-2</v>
      </c>
      <c r="DF17" s="7">
        <v>-0.35222555427147212</v>
      </c>
      <c r="DG17" s="7">
        <v>1.8392819289084069E-3</v>
      </c>
      <c r="DH17" s="7">
        <v>3.8726650938012717E-2</v>
      </c>
      <c r="DI17" s="7">
        <v>-3.5044536065945063E-2</v>
      </c>
      <c r="DJ17" s="7">
        <v>-5.7146500327343322E-2</v>
      </c>
      <c r="DK17" s="7">
        <v>-0.15603642811654619</v>
      </c>
      <c r="DL17" s="7">
        <v>-3.929731691128693E-3</v>
      </c>
      <c r="DM17" s="7">
        <v>5.2252910582316028E-2</v>
      </c>
      <c r="DN17" s="7">
        <v>-6.0629182792548447E-2</v>
      </c>
      <c r="DO17" s="7">
        <v>0.17976292609872879</v>
      </c>
      <c r="DP17" s="7">
        <v>2.509743000805471E-2</v>
      </c>
      <c r="DQ17" s="7">
        <v>6.5244348133762259E-2</v>
      </c>
      <c r="DR17" s="7">
        <v>2.572643946627351E-2</v>
      </c>
      <c r="DS17" s="7">
        <v>-3.7354088755102308E-2</v>
      </c>
      <c r="DT17" s="7">
        <v>9.3138949685151573E-2</v>
      </c>
      <c r="DU17" s="7">
        <v>7.1730706050505327E-2</v>
      </c>
      <c r="DV17" s="7">
        <v>-0.11776539811095429</v>
      </c>
      <c r="DW17" s="7">
        <v>4.8681483414150163E-2</v>
      </c>
      <c r="DX17" s="7">
        <v>2.3035180169188669E-2</v>
      </c>
      <c r="DY17" s="7">
        <v>0.12601053790105471</v>
      </c>
      <c r="DZ17" s="7">
        <v>4.7910532459885732E-3</v>
      </c>
      <c r="EA17" s="7">
        <v>-0.1645715232321148</v>
      </c>
      <c r="EB17" s="7">
        <v>7.3780969717652869E-2</v>
      </c>
      <c r="EC17" s="7">
        <v>0.1215120172680231</v>
      </c>
      <c r="ED17" s="7">
        <v>0.12832444392891271</v>
      </c>
      <c r="EE17" s="7">
        <v>-1.9352114607941879E-4</v>
      </c>
      <c r="EF17" s="8">
        <v>-4.7709767009851849E-2</v>
      </c>
    </row>
    <row r="18" spans="1:136" x14ac:dyDescent="0.3">
      <c r="A18" s="1">
        <v>137</v>
      </c>
      <c r="B18" s="1">
        <v>7</v>
      </c>
      <c r="C18" s="7">
        <v>-5.3942228163147227E-2</v>
      </c>
      <c r="D18" s="7">
        <v>0.40188368142206798</v>
      </c>
      <c r="E18" s="7">
        <v>5.900065709820778E-2</v>
      </c>
      <c r="F18" s="7">
        <v>0.13441437443338569</v>
      </c>
      <c r="G18" s="7">
        <v>8.0794247020859855E-2</v>
      </c>
      <c r="H18" s="7">
        <v>-0.1219127893632701</v>
      </c>
      <c r="I18" s="7">
        <v>-0.13550018022324109</v>
      </c>
      <c r="J18" s="7">
        <v>-0.12516179308854181</v>
      </c>
      <c r="K18" s="7">
        <v>0.35868209850789973</v>
      </c>
      <c r="L18" s="7">
        <v>-1.298248684698161E-2</v>
      </c>
      <c r="M18" s="7">
        <v>2.9051464376457319E-2</v>
      </c>
      <c r="N18" s="7">
        <v>-0.1429924272847711</v>
      </c>
      <c r="O18" s="7">
        <v>2.432387484281975E-2</v>
      </c>
      <c r="P18" s="7">
        <v>8.3280858539089599E-3</v>
      </c>
      <c r="Q18" s="7">
        <v>0.18897541868948989</v>
      </c>
      <c r="R18" s="7">
        <v>1.9326198926856369E-2</v>
      </c>
      <c r="S18" s="7">
        <v>-6.9013340393708683E-2</v>
      </c>
      <c r="T18" s="7">
        <v>-5.0281401732647129E-3</v>
      </c>
      <c r="U18" s="7">
        <v>0.132495024429819</v>
      </c>
      <c r="V18" s="7">
        <v>-0.1213914614259257</v>
      </c>
      <c r="W18" s="7">
        <v>-0.16613482926929909</v>
      </c>
      <c r="X18" s="7">
        <v>0.1271228086254903</v>
      </c>
      <c r="Y18" s="7">
        <v>-0.1038792439088113</v>
      </c>
      <c r="Z18" s="7">
        <v>-1.690571618738388E-2</v>
      </c>
      <c r="AA18" s="7">
        <v>5.4804497980215187E-2</v>
      </c>
      <c r="AB18" s="7">
        <v>-6.1713850673723439E-2</v>
      </c>
      <c r="AC18" s="7">
        <v>5.782301285595727E-2</v>
      </c>
      <c r="AD18" s="7">
        <v>-9.6285845185419314E-2</v>
      </c>
      <c r="AE18" s="7">
        <v>7.7201591618879711E-2</v>
      </c>
      <c r="AF18" s="7">
        <v>-0.1505436398240734</v>
      </c>
      <c r="AG18" s="7">
        <v>8.1719979892753619E-2</v>
      </c>
      <c r="AH18" s="7">
        <v>3.591323041590648E-2</v>
      </c>
      <c r="AI18" s="7">
        <v>-8.1423750051169697E-2</v>
      </c>
      <c r="AJ18" s="7">
        <v>7.3274438891894889E-3</v>
      </c>
      <c r="AK18" s="7">
        <v>-2.283288536199644E-2</v>
      </c>
      <c r="AL18" s="7">
        <v>-3.2812811779609451E-2</v>
      </c>
      <c r="AM18" s="7">
        <v>-9.6053029136818027E-2</v>
      </c>
      <c r="AN18" s="7">
        <v>-5.3661578264684401E-2</v>
      </c>
      <c r="AO18" s="7">
        <v>-5.4275349676927882E-3</v>
      </c>
      <c r="AP18" s="7">
        <v>7.8278591933806971E-2</v>
      </c>
      <c r="AQ18" s="7">
        <v>7.6230845326449942E-2</v>
      </c>
      <c r="AR18" s="7">
        <v>-6.1694523600781571E-2</v>
      </c>
      <c r="AS18" s="7">
        <v>8.3253127889185943E-2</v>
      </c>
      <c r="AT18" s="7">
        <v>4.3325649820578682E-2</v>
      </c>
      <c r="AU18" s="7">
        <v>6.4575644079591543E-2</v>
      </c>
      <c r="AV18" s="7">
        <v>-2.8768755881717199E-2</v>
      </c>
      <c r="AW18" s="7">
        <v>2.4538034241107461E-2</v>
      </c>
      <c r="AX18" s="7">
        <v>-0.12606433742612741</v>
      </c>
      <c r="AY18" s="7">
        <v>3.0189358728490181E-2</v>
      </c>
      <c r="AZ18" s="7">
        <v>-0.14840908238889911</v>
      </c>
      <c r="BA18" s="7">
        <v>6.3231092468556214E-4</v>
      </c>
      <c r="BB18" s="7">
        <v>0.16725801848079261</v>
      </c>
      <c r="BC18" s="7">
        <v>2.7942050701969749E-2</v>
      </c>
      <c r="BD18" s="7">
        <v>-2.4016271687300441E-2</v>
      </c>
      <c r="BE18" s="7">
        <v>-2.2230541258883942E-2</v>
      </c>
      <c r="BF18" s="7">
        <v>-3.8143151088164323E-2</v>
      </c>
      <c r="BG18" s="7">
        <v>-2.308236889505343E-3</v>
      </c>
      <c r="BH18" s="7">
        <v>-6.2935383825294358E-2</v>
      </c>
      <c r="BI18" s="7">
        <v>0.1090000069186657</v>
      </c>
      <c r="BJ18" s="7">
        <v>5.9560640504595433E-3</v>
      </c>
      <c r="BK18" s="7">
        <v>7.3455626824005624E-2</v>
      </c>
      <c r="BL18" s="7">
        <v>2.6352779482868838E-2</v>
      </c>
      <c r="BM18" s="7">
        <v>-6.9782332729482255E-2</v>
      </c>
      <c r="BN18" s="7">
        <v>7.8208699482375382E-2</v>
      </c>
      <c r="BO18" s="7">
        <v>8.4067312683740805E-3</v>
      </c>
      <c r="BP18" s="7">
        <v>4.6857540334682007E-2</v>
      </c>
      <c r="BQ18" s="7">
        <v>1.916784109848992E-3</v>
      </c>
      <c r="BR18" s="7">
        <v>0.1209618178824758</v>
      </c>
      <c r="BS18" s="7">
        <v>-3.9836250971192512E-3</v>
      </c>
      <c r="BT18" s="7">
        <v>-1.329915077767777E-2</v>
      </c>
      <c r="BU18" s="7">
        <v>8.0677444040040805E-2</v>
      </c>
      <c r="BV18" s="7">
        <v>8.0923395277042356E-2</v>
      </c>
      <c r="BW18" s="7">
        <v>-8.531108693319546E-2</v>
      </c>
      <c r="BX18" s="7">
        <v>1.9018474716035669E-2</v>
      </c>
      <c r="BY18" s="7">
        <v>-6.2686744450084916E-2</v>
      </c>
      <c r="BZ18" s="7">
        <v>0.15331998780259809</v>
      </c>
      <c r="CA18" s="7">
        <v>3.3286164900529089E-2</v>
      </c>
      <c r="CB18" s="7">
        <v>0.1068460604700732</v>
      </c>
      <c r="CC18" s="7">
        <v>0.1046606238416451</v>
      </c>
      <c r="CD18" s="7">
        <v>5.0445794555038302E-2</v>
      </c>
      <c r="CE18" s="7">
        <v>7.7260394878222755E-2</v>
      </c>
      <c r="CF18" s="7">
        <v>4.3957743386608697E-2</v>
      </c>
      <c r="CG18" s="7">
        <v>0.22664140590161991</v>
      </c>
      <c r="CH18" s="7">
        <v>0.16265704668723319</v>
      </c>
      <c r="CI18" s="7">
        <v>-0.11772540993228391</v>
      </c>
      <c r="CJ18" s="7">
        <v>6.2313677824909687E-2</v>
      </c>
      <c r="CK18" s="7">
        <v>9.0667784292283726E-2</v>
      </c>
      <c r="CL18" s="7">
        <v>-3.0989545058193121E-2</v>
      </c>
      <c r="CM18" s="7">
        <v>1.554875034200344E-2</v>
      </c>
      <c r="CN18" s="7">
        <v>-0.1209431335415747</v>
      </c>
      <c r="CO18" s="7">
        <v>0.1505975096222473</v>
      </c>
      <c r="CP18" s="7">
        <v>-0.16283910894801071</v>
      </c>
      <c r="CQ18" s="7">
        <v>-4.7976536408267538E-2</v>
      </c>
      <c r="CR18" s="7">
        <v>-5.5156128716592027E-2</v>
      </c>
      <c r="CS18" s="7">
        <v>2.8128560414088639E-2</v>
      </c>
      <c r="CT18" s="7">
        <v>-9.0515429002249403E-2</v>
      </c>
      <c r="CU18" s="7">
        <v>7.1648691205109999E-2</v>
      </c>
      <c r="CV18" s="7">
        <v>-9.1040282230288663E-2</v>
      </c>
      <c r="CW18" s="7">
        <v>8.4560855645258066E-3</v>
      </c>
      <c r="CX18" s="7">
        <v>-1.40787475802823E-2</v>
      </c>
      <c r="CY18" s="7">
        <v>5.135741377478225E-2</v>
      </c>
      <c r="CZ18" s="7">
        <v>-0.13284286330177139</v>
      </c>
      <c r="DA18" s="7">
        <v>4.7380939518693557E-2</v>
      </c>
      <c r="DB18" s="7">
        <v>4.5735208678759381E-2</v>
      </c>
      <c r="DC18" s="7">
        <v>-8.2819707211162524E-2</v>
      </c>
      <c r="DD18" s="7">
        <v>8.2462353495414184E-2</v>
      </c>
      <c r="DE18" s="7">
        <v>-3.8420587486450893E-2</v>
      </c>
      <c r="DF18" s="7">
        <v>-0.36669200961401482</v>
      </c>
      <c r="DG18" s="7">
        <v>7.619473157627699E-3</v>
      </c>
      <c r="DH18" s="7">
        <v>2.8038013248649029E-2</v>
      </c>
      <c r="DI18" s="7">
        <v>-1.8613248030418191E-2</v>
      </c>
      <c r="DJ18" s="7">
        <v>-5.0654511409894881E-2</v>
      </c>
      <c r="DK18" s="7">
        <v>-0.15851362709242739</v>
      </c>
      <c r="DL18" s="7">
        <v>-3.830274067592157E-3</v>
      </c>
      <c r="DM18" s="7">
        <v>6.650814073203816E-2</v>
      </c>
      <c r="DN18" s="7">
        <v>-5.6875260341834342E-2</v>
      </c>
      <c r="DO18" s="7">
        <v>0.22032021179129849</v>
      </c>
      <c r="DP18" s="7">
        <v>2.151033475949439E-2</v>
      </c>
      <c r="DQ18" s="7">
        <v>6.1955528967367397E-2</v>
      </c>
      <c r="DR18" s="7">
        <v>1.045124881951652E-2</v>
      </c>
      <c r="DS18" s="7">
        <v>-1.1277982255682851E-2</v>
      </c>
      <c r="DT18" s="7">
        <v>0.1160173901109771</v>
      </c>
      <c r="DU18" s="7">
        <v>9.6895186076904644E-2</v>
      </c>
      <c r="DV18" s="7">
        <v>-0.1056406088000619</v>
      </c>
      <c r="DW18" s="7">
        <v>8.1908692284373169E-2</v>
      </c>
      <c r="DX18" s="7">
        <v>6.8177293521735294E-2</v>
      </c>
      <c r="DY18" s="7">
        <v>0.16576310466200311</v>
      </c>
      <c r="DZ18" s="7">
        <v>4.3227854869441883E-2</v>
      </c>
      <c r="EA18" s="7">
        <v>-0.19894574816433719</v>
      </c>
      <c r="EB18" s="7">
        <v>9.7042689542278932E-2</v>
      </c>
      <c r="EC18" s="7">
        <v>0.14304023059278551</v>
      </c>
      <c r="ED18" s="7">
        <v>0.11047802186576559</v>
      </c>
      <c r="EE18" s="7">
        <v>1.111287672357628E-3</v>
      </c>
      <c r="EF18" s="8">
        <v>-4.8955017110416547E-2</v>
      </c>
    </row>
    <row r="19" spans="1:136" x14ac:dyDescent="0.3">
      <c r="A19" s="1">
        <v>160</v>
      </c>
      <c r="B19" s="1">
        <v>6</v>
      </c>
      <c r="C19" s="7">
        <v>-7.7959416087486216E-2</v>
      </c>
      <c r="D19" s="7">
        <v>0.40752071008946927</v>
      </c>
      <c r="E19" s="7">
        <v>5.4898093767412171E-2</v>
      </c>
      <c r="F19" s="7">
        <v>3.864668188624408E-2</v>
      </c>
      <c r="G19" s="7">
        <v>9.7512090561600123E-2</v>
      </c>
      <c r="H19" s="7">
        <v>-0.14889412203584729</v>
      </c>
      <c r="I19" s="7">
        <v>-0.1346543328914665</v>
      </c>
      <c r="J19" s="7">
        <v>-0.15623035308620389</v>
      </c>
      <c r="K19" s="7">
        <v>0.41833785096963422</v>
      </c>
      <c r="L19" s="7">
        <v>-4.3048957635166023E-2</v>
      </c>
      <c r="M19" s="7">
        <v>-4.3690236156307287E-2</v>
      </c>
      <c r="N19" s="7">
        <v>-9.5347885689980899E-2</v>
      </c>
      <c r="O19" s="7">
        <v>-1.9797434001384839E-2</v>
      </c>
      <c r="P19" s="7">
        <v>2.3513160824520051E-2</v>
      </c>
      <c r="Q19" s="7">
        <v>0.19716308826451989</v>
      </c>
      <c r="R19" s="7">
        <v>4.1942629449215993E-2</v>
      </c>
      <c r="S19" s="7">
        <v>-7.8696261313160737E-2</v>
      </c>
      <c r="T19" s="7">
        <v>-0.1095258615359218</v>
      </c>
      <c r="U19" s="7">
        <v>0.13569833863192321</v>
      </c>
      <c r="V19" s="7">
        <v>-9.2688319725313148E-2</v>
      </c>
      <c r="W19" s="7">
        <v>-0.1747347633022315</v>
      </c>
      <c r="X19" s="7">
        <v>0.122923146245717</v>
      </c>
      <c r="Y19" s="7">
        <v>-0.10313023893043829</v>
      </c>
      <c r="Z19" s="7">
        <v>-2.2223239298902381E-2</v>
      </c>
      <c r="AA19" s="7">
        <v>4.7300121799034582E-2</v>
      </c>
      <c r="AB19" s="7">
        <v>-6.0762351466553767E-2</v>
      </c>
      <c r="AC19" s="7">
        <v>2.8452834641691321E-2</v>
      </c>
      <c r="AD19" s="7">
        <v>-9.5993377798068158E-2</v>
      </c>
      <c r="AE19" s="7">
        <v>0.11523186996306679</v>
      </c>
      <c r="AF19" s="7">
        <v>-0.1688305807080431</v>
      </c>
      <c r="AG19" s="7">
        <v>4.1487103444311647E-2</v>
      </c>
      <c r="AH19" s="7">
        <v>1.6089487774940799E-2</v>
      </c>
      <c r="AI19" s="7">
        <v>-4.7766352759796363E-2</v>
      </c>
      <c r="AJ19" s="7">
        <v>-1.2167191575980511E-2</v>
      </c>
      <c r="AK19" s="7">
        <v>-4.0581523113162987E-2</v>
      </c>
      <c r="AL19" s="7">
        <v>-1.491460752979841E-2</v>
      </c>
      <c r="AM19" s="7">
        <v>-6.112413105384671E-2</v>
      </c>
      <c r="AN19" s="7">
        <v>-6.2111384254486833E-2</v>
      </c>
      <c r="AO19" s="7">
        <v>-2.589290304541441E-2</v>
      </c>
      <c r="AP19" s="7">
        <v>8.757412027285208E-2</v>
      </c>
      <c r="AQ19" s="7">
        <v>8.8252757060650652E-2</v>
      </c>
      <c r="AR19" s="7">
        <v>-7.4616897634658869E-2</v>
      </c>
      <c r="AS19" s="7">
        <v>0.1091988760530663</v>
      </c>
      <c r="AT19" s="7">
        <v>4.9294981765701303E-2</v>
      </c>
      <c r="AU19" s="7">
        <v>7.6428715713654158E-2</v>
      </c>
      <c r="AV19" s="7">
        <v>-5.003302069697789E-2</v>
      </c>
      <c r="AW19" s="7">
        <v>2.2356168154136491E-2</v>
      </c>
      <c r="AX19" s="7">
        <v>-0.2241237953008561</v>
      </c>
      <c r="AY19" s="7">
        <v>6.6273242712472244E-2</v>
      </c>
      <c r="AZ19" s="7">
        <v>-0.18687961816817431</v>
      </c>
      <c r="BA19" s="7">
        <v>-3.4363883954073027E-2</v>
      </c>
      <c r="BB19" s="7">
        <v>0.2018019106632078</v>
      </c>
      <c r="BC19" s="7">
        <v>0.18457178940642721</v>
      </c>
      <c r="BD19" s="7">
        <v>-3.2343926300681461E-3</v>
      </c>
      <c r="BE19" s="7">
        <v>-3.0390671068303308E-2</v>
      </c>
      <c r="BF19" s="7">
        <v>-4.9436517218842242E-2</v>
      </c>
      <c r="BG19" s="7">
        <v>9.6322010834132277E-4</v>
      </c>
      <c r="BH19" s="7">
        <v>-5.7134461326532562E-2</v>
      </c>
      <c r="BI19" s="7">
        <v>0.12779862881921869</v>
      </c>
      <c r="BJ19" s="7">
        <v>2.1707301538579211E-2</v>
      </c>
      <c r="BK19" s="7">
        <v>9.7038422945385686E-2</v>
      </c>
      <c r="BL19" s="7">
        <v>2.599646479062228E-2</v>
      </c>
      <c r="BM19" s="7">
        <v>-8.8156796711781754E-2</v>
      </c>
      <c r="BN19" s="7">
        <v>8.141326020016787E-2</v>
      </c>
      <c r="BO19" s="7">
        <v>-1.8562314440354079E-2</v>
      </c>
      <c r="BP19" s="7">
        <v>6.2818807534132146E-2</v>
      </c>
      <c r="BQ19" s="7">
        <v>9.9340444543230683E-3</v>
      </c>
      <c r="BR19" s="7">
        <v>0.1368392355431455</v>
      </c>
      <c r="BS19" s="7">
        <v>-2.4256338744482069E-2</v>
      </c>
      <c r="BT19" s="7">
        <v>1.3193669203137359E-2</v>
      </c>
      <c r="BU19" s="7">
        <v>7.5936251234238056E-2</v>
      </c>
      <c r="BV19" s="7">
        <v>9.3655241153346391E-2</v>
      </c>
      <c r="BW19" s="7">
        <v>-0.10896696138364501</v>
      </c>
      <c r="BX19" s="7">
        <v>3.4087785271858247E-2</v>
      </c>
      <c r="BY19" s="7">
        <v>-2.7675492411660479E-2</v>
      </c>
      <c r="BZ19" s="7">
        <v>6.8702124822053873E-2</v>
      </c>
      <c r="CA19" s="7">
        <v>3.5609795289398637E-2</v>
      </c>
      <c r="CB19" s="7">
        <v>0.12783820910089719</v>
      </c>
      <c r="CC19" s="7">
        <v>2.2506232898517449E-2</v>
      </c>
      <c r="CD19" s="7">
        <v>8.7664948361316358E-2</v>
      </c>
      <c r="CE19" s="7">
        <v>8.8474858937667905E-2</v>
      </c>
      <c r="CF19" s="7">
        <v>7.9051524970814385E-2</v>
      </c>
      <c r="CG19" s="7">
        <v>0.2638931335655384</v>
      </c>
      <c r="CH19" s="7">
        <v>0.1528898670499263</v>
      </c>
      <c r="CI19" s="7">
        <v>-0.16520241227091251</v>
      </c>
      <c r="CJ19" s="7">
        <v>6.194049996603615E-2</v>
      </c>
      <c r="CK19" s="7">
        <v>0.1039677178170982</v>
      </c>
      <c r="CL19" s="7">
        <v>-4.3240279974789908E-2</v>
      </c>
      <c r="CM19" s="7">
        <v>7.558187099799421E-2</v>
      </c>
      <c r="CN19" s="7">
        <v>-0.14319321046953429</v>
      </c>
      <c r="CO19" s="7">
        <v>0.16614655777528059</v>
      </c>
      <c r="CP19" s="7">
        <v>-0.15903259898233271</v>
      </c>
      <c r="CQ19" s="7">
        <v>2.7299081545619341E-3</v>
      </c>
      <c r="CR19" s="7">
        <v>-4.9694189552402651E-2</v>
      </c>
      <c r="CS19" s="7">
        <v>4.3774986978304217E-2</v>
      </c>
      <c r="CT19" s="7">
        <v>-0.1226204266300308</v>
      </c>
      <c r="CU19" s="7">
        <v>8.3436397113892974E-2</v>
      </c>
      <c r="CV19" s="7">
        <v>-0.10197986151640361</v>
      </c>
      <c r="CW19" s="7">
        <v>2.190180778189859E-2</v>
      </c>
      <c r="CX19" s="7">
        <v>1.127594617394229E-3</v>
      </c>
      <c r="CY19" s="7">
        <v>7.092186956436955E-2</v>
      </c>
      <c r="CZ19" s="7">
        <v>-0.11285182864146399</v>
      </c>
      <c r="DA19" s="7">
        <v>5.8223876703236761E-2</v>
      </c>
      <c r="DB19" s="7">
        <v>3.572089902521567E-2</v>
      </c>
      <c r="DC19" s="7">
        <v>-6.5587584737896831E-2</v>
      </c>
      <c r="DD19" s="7">
        <v>0.10625733595480071</v>
      </c>
      <c r="DE19" s="7">
        <v>-3.3018414655792E-2</v>
      </c>
      <c r="DF19" s="7">
        <v>-0.20550174559429629</v>
      </c>
      <c r="DG19" s="7">
        <v>1.27464749106491E-2</v>
      </c>
      <c r="DH19" s="7">
        <v>1.569831294047225E-4</v>
      </c>
      <c r="DI19" s="7">
        <v>-5.8647033011268501E-2</v>
      </c>
      <c r="DJ19" s="7">
        <v>-8.0499602410030055E-2</v>
      </c>
      <c r="DK19" s="7">
        <v>-0.1241445877842076</v>
      </c>
      <c r="DL19" s="7">
        <v>-1.198278590897381E-2</v>
      </c>
      <c r="DM19" s="7">
        <v>8.1952255033994378E-2</v>
      </c>
      <c r="DN19" s="7">
        <v>-6.4294394334918112E-2</v>
      </c>
      <c r="DO19" s="7">
        <v>0.2492619517097443</v>
      </c>
      <c r="DP19" s="7">
        <v>4.0024609312920081E-3</v>
      </c>
      <c r="DQ19" s="7">
        <v>5.0623171449732877E-2</v>
      </c>
      <c r="DR19" s="7">
        <v>1.7544799275808199E-2</v>
      </c>
      <c r="DS19" s="7">
        <v>5.6773135189909819E-3</v>
      </c>
      <c r="DT19" s="7">
        <v>0.13312850061934939</v>
      </c>
      <c r="DU19" s="7">
        <v>0.14283069805444029</v>
      </c>
      <c r="DV19" s="7">
        <v>-0.1115247064406045</v>
      </c>
      <c r="DW19" s="7">
        <v>6.0609139340684293E-2</v>
      </c>
      <c r="DX19" s="7">
        <v>9.4614193357537776E-2</v>
      </c>
      <c r="DY19" s="7">
        <v>0.15211940960448689</v>
      </c>
      <c r="DZ19" s="7">
        <v>7.9643568138435011E-2</v>
      </c>
      <c r="EA19" s="7">
        <v>-0.23304583030528039</v>
      </c>
      <c r="EB19" s="7">
        <v>0.1062458580254447</v>
      </c>
      <c r="EC19" s="7">
        <v>0.14377420282500911</v>
      </c>
      <c r="ED19" s="7">
        <v>0.15093531699015689</v>
      </c>
      <c r="EE19" s="7">
        <v>-7.3065266771277096E-3</v>
      </c>
      <c r="EF19" s="8">
        <v>-1.697795487476916E-2</v>
      </c>
    </row>
    <row r="20" spans="1:136" x14ac:dyDescent="0.3">
      <c r="A20" s="1">
        <v>192</v>
      </c>
      <c r="B20" s="1">
        <v>5</v>
      </c>
      <c r="C20" s="7">
        <v>-0.13932460396499161</v>
      </c>
      <c r="D20" s="7">
        <v>0.38202502004734989</v>
      </c>
      <c r="E20" s="7">
        <v>-1.5499988144333969E-2</v>
      </c>
      <c r="F20" s="7">
        <v>9.1218422172045968E-2</v>
      </c>
      <c r="G20" s="7">
        <v>0.1003659119188639</v>
      </c>
      <c r="H20" s="7">
        <v>-0.1643719981286699</v>
      </c>
      <c r="I20" s="7">
        <v>-0.15814956260110169</v>
      </c>
      <c r="J20" s="7">
        <v>-0.13320729307702719</v>
      </c>
      <c r="K20" s="7">
        <v>9.0108654122673978E-2</v>
      </c>
      <c r="L20" s="7">
        <v>-9.5708635504535719E-2</v>
      </c>
      <c r="M20" s="7">
        <v>-7.7718228291273506E-2</v>
      </c>
      <c r="N20" s="7">
        <v>-0.10192492904563991</v>
      </c>
      <c r="O20" s="7">
        <v>-0.1101145251033072</v>
      </c>
      <c r="P20" s="7">
        <v>4.3138678888527522E-2</v>
      </c>
      <c r="Q20" s="7">
        <v>0.21672573900297851</v>
      </c>
      <c r="R20" s="7">
        <v>6.6469633088856533E-2</v>
      </c>
      <c r="S20" s="7">
        <v>-5.7341082572801211E-2</v>
      </c>
      <c r="T20" s="7">
        <v>-0.1008455330434727</v>
      </c>
      <c r="U20" s="7">
        <v>0.14864968011777491</v>
      </c>
      <c r="V20" s="7">
        <v>-0.1035176032046175</v>
      </c>
      <c r="W20" s="7">
        <v>-0.22644366208310149</v>
      </c>
      <c r="X20" s="7">
        <v>0.15004231162753859</v>
      </c>
      <c r="Y20" s="7">
        <v>-0.12896503888237379</v>
      </c>
      <c r="Z20" s="7">
        <v>2.9157350054346439E-2</v>
      </c>
      <c r="AA20" s="7">
        <v>6.6961978782240111E-2</v>
      </c>
      <c r="AB20" s="7">
        <v>-6.0423624288029942E-2</v>
      </c>
      <c r="AC20" s="7">
        <v>5.6443345640519567E-2</v>
      </c>
      <c r="AD20" s="7">
        <v>-0.12984341871366439</v>
      </c>
      <c r="AE20" s="7">
        <v>1.7311149627037389E-2</v>
      </c>
      <c r="AF20" s="7">
        <v>-0.22349781963637269</v>
      </c>
      <c r="AG20" s="7">
        <v>3.216324888167648E-2</v>
      </c>
      <c r="AH20" s="7">
        <v>2.780670227591649E-2</v>
      </c>
      <c r="AI20" s="7">
        <v>-8.3279353750723401E-2</v>
      </c>
      <c r="AJ20" s="7">
        <v>-1.7241715716101249E-2</v>
      </c>
      <c r="AK20" s="7">
        <v>-8.2485150626129544E-3</v>
      </c>
      <c r="AL20" s="7">
        <v>-2.0780265108594719E-2</v>
      </c>
      <c r="AM20" s="7">
        <v>-6.7529859788327179E-2</v>
      </c>
      <c r="AN20" s="7">
        <v>3.2916683395994961E-2</v>
      </c>
      <c r="AO20" s="7">
        <v>-4.528508196468839E-2</v>
      </c>
      <c r="AP20" s="7">
        <v>0.13173046125538779</v>
      </c>
      <c r="AQ20" s="7">
        <v>-2.7452485332951051E-2</v>
      </c>
      <c r="AR20" s="7">
        <v>-1.328927308983413E-2</v>
      </c>
      <c r="AS20" s="7">
        <v>4.2291716448975919E-2</v>
      </c>
      <c r="AT20" s="7">
        <v>5.858773760205771E-3</v>
      </c>
      <c r="AU20" s="7">
        <v>7.5692386895125863E-2</v>
      </c>
      <c r="AV20" s="7">
        <v>-5.4625713782478207E-2</v>
      </c>
      <c r="AW20" s="7">
        <v>6.8652681791509596E-3</v>
      </c>
      <c r="AX20" s="7">
        <v>-0.20433921996054669</v>
      </c>
      <c r="AY20" s="7">
        <v>-8.2057636017566535E-2</v>
      </c>
      <c r="AZ20" s="7">
        <v>-0.21380243117708869</v>
      </c>
      <c r="BA20" s="7">
        <v>-3.6798864860540501E-2</v>
      </c>
      <c r="BB20" s="7">
        <v>0.2312136261880767</v>
      </c>
      <c r="BC20" s="7">
        <v>0.24014067499041369</v>
      </c>
      <c r="BD20" s="7">
        <v>-5.3429813221597323E-2</v>
      </c>
      <c r="BE20" s="7">
        <v>-3.8466832445436583E-2</v>
      </c>
      <c r="BF20" s="7">
        <v>-5.5216900174269133E-2</v>
      </c>
      <c r="BG20" s="7">
        <v>-5.172719331813868E-2</v>
      </c>
      <c r="BH20" s="7">
        <v>-5.1899277325599007E-2</v>
      </c>
      <c r="BI20" s="7">
        <v>0.13174526708517489</v>
      </c>
      <c r="BJ20" s="7">
        <v>2.1629511833186621E-2</v>
      </c>
      <c r="BK20" s="7">
        <v>0.11765037240502189</v>
      </c>
      <c r="BL20" s="7">
        <v>1.9783341504224079E-2</v>
      </c>
      <c r="BM20" s="7">
        <v>-5.45559103284224E-2</v>
      </c>
      <c r="BN20" s="7">
        <v>-1.8638027253166291E-2</v>
      </c>
      <c r="BO20" s="7">
        <v>-7.6105449457829488E-3</v>
      </c>
      <c r="BP20" s="7">
        <v>6.0407520762954983E-2</v>
      </c>
      <c r="BQ20" s="7">
        <v>1.5451706960843021E-2</v>
      </c>
      <c r="BR20" s="7">
        <v>0.18112708147166159</v>
      </c>
      <c r="BS20" s="7">
        <v>5.4075061911911179E-3</v>
      </c>
      <c r="BT20" s="7">
        <v>5.2467623281905747E-2</v>
      </c>
      <c r="BU20" s="7">
        <v>9.8754949367706665E-2</v>
      </c>
      <c r="BV20" s="7">
        <v>0.11591833156307201</v>
      </c>
      <c r="BW20" s="7">
        <v>-0.13550325181247611</v>
      </c>
      <c r="BX20" s="7">
        <v>3.069363668324426E-2</v>
      </c>
      <c r="BY20" s="7">
        <v>-4.3183482687236242E-2</v>
      </c>
      <c r="BZ20" s="7">
        <v>9.02714042602836E-2</v>
      </c>
      <c r="CA20" s="7">
        <v>5.0216826091073863E-2</v>
      </c>
      <c r="CB20" s="7">
        <v>0.1264950457700191</v>
      </c>
      <c r="CC20" s="7">
        <v>1.291514747808061E-2</v>
      </c>
      <c r="CD20" s="7">
        <v>9.606464764259523E-2</v>
      </c>
      <c r="CE20" s="7">
        <v>8.5778172602440458E-2</v>
      </c>
      <c r="CF20" s="7">
        <v>0.1057848892760917</v>
      </c>
      <c r="CG20" s="7">
        <v>0.32193852229938452</v>
      </c>
      <c r="CH20" s="7">
        <v>7.1864025597138351E-2</v>
      </c>
      <c r="CI20" s="7">
        <v>-0.13148573441164721</v>
      </c>
      <c r="CJ20" s="7">
        <v>0.123440319887351</v>
      </c>
      <c r="CK20" s="7">
        <v>9.0978396750106633E-2</v>
      </c>
      <c r="CL20" s="7">
        <v>-9.2184934189128986E-2</v>
      </c>
      <c r="CM20" s="7">
        <v>7.9454727181336005E-2</v>
      </c>
      <c r="CN20" s="7">
        <v>-0.20489183364110261</v>
      </c>
      <c r="CO20" s="7">
        <v>0.22851820318154101</v>
      </c>
      <c r="CP20" s="7">
        <v>-0.1920312051090273</v>
      </c>
      <c r="CQ20" s="7">
        <v>-6.1113579290622234E-3</v>
      </c>
      <c r="CR20" s="7">
        <v>-7.3116244505850386E-2</v>
      </c>
      <c r="CS20" s="7">
        <v>2.2293038159359669E-2</v>
      </c>
      <c r="CT20" s="7">
        <v>-9.0474037414266281E-2</v>
      </c>
      <c r="CU20" s="7">
        <v>9.4867658266512403E-2</v>
      </c>
      <c r="CV20" s="7">
        <v>-9.2511075695426118E-2</v>
      </c>
      <c r="CW20" s="7">
        <v>-9.9530629212826391E-3</v>
      </c>
      <c r="CX20" s="7">
        <v>9.3861437533022188E-3</v>
      </c>
      <c r="CY20" s="7">
        <v>1.247973266829688E-2</v>
      </c>
      <c r="CZ20" s="7">
        <v>-0.15516164514919831</v>
      </c>
      <c r="DA20" s="7">
        <v>4.7471893155177573E-2</v>
      </c>
      <c r="DB20" s="7">
        <v>5.6902709757134122E-2</v>
      </c>
      <c r="DC20" s="7">
        <v>-3.7332311138400742E-2</v>
      </c>
      <c r="DD20" s="7">
        <v>0.14810881433882259</v>
      </c>
      <c r="DE20" s="7">
        <v>-1.0418721606852799E-2</v>
      </c>
      <c r="DF20" s="7">
        <v>-0.24557420527758439</v>
      </c>
      <c r="DG20" s="7">
        <v>4.2022106203706937E-3</v>
      </c>
      <c r="DH20" s="7">
        <v>1.097541174252706E-2</v>
      </c>
      <c r="DI20" s="7">
        <v>-7.4248335592093345E-2</v>
      </c>
      <c r="DJ20" s="7">
        <v>-8.1277020159802621E-2</v>
      </c>
      <c r="DK20" s="7">
        <v>-8.4953981446054899E-2</v>
      </c>
      <c r="DL20" s="7">
        <v>-1.9465373333619789E-2</v>
      </c>
      <c r="DM20" s="7">
        <v>-9.2836502794370751E-3</v>
      </c>
      <c r="DN20" s="7">
        <v>-6.4461202418456584E-2</v>
      </c>
      <c r="DO20" s="7">
        <v>0.25800136345901148</v>
      </c>
      <c r="DP20" s="7">
        <v>2.167126176510448E-2</v>
      </c>
      <c r="DQ20" s="7">
        <v>3.8540311084368499E-2</v>
      </c>
      <c r="DR20" s="7">
        <v>5.5557992226731322E-2</v>
      </c>
      <c r="DS20" s="7">
        <v>7.4906957537590798E-3</v>
      </c>
      <c r="DT20" s="7">
        <v>0.13343598462213829</v>
      </c>
      <c r="DU20" s="7">
        <v>0.1720691072058694</v>
      </c>
      <c r="DV20" s="7">
        <v>-0.12934547183885869</v>
      </c>
      <c r="DW20" s="7">
        <v>6.9060203958039607E-2</v>
      </c>
      <c r="DX20" s="7">
        <v>9.7851218204725254E-2</v>
      </c>
      <c r="DY20" s="7">
        <v>0.1874018300391932</v>
      </c>
      <c r="DZ20" s="7">
        <v>-1.8115126512382701E-2</v>
      </c>
      <c r="EA20" s="7">
        <v>-0.29368998396417129</v>
      </c>
      <c r="EB20" s="7">
        <v>0.10631226685028709</v>
      </c>
      <c r="EC20" s="7">
        <v>0.13100614576206751</v>
      </c>
      <c r="ED20" s="7">
        <v>0.17691886106701021</v>
      </c>
      <c r="EE20" s="7">
        <v>-1.7409797518545299E-3</v>
      </c>
      <c r="EF20" s="8">
        <v>-2.0281416615907238E-2</v>
      </c>
    </row>
    <row r="21" spans="1:136" x14ac:dyDescent="0.3">
      <c r="A21" s="1">
        <v>241</v>
      </c>
      <c r="B21" s="1">
        <v>4</v>
      </c>
      <c r="C21" s="7">
        <v>-0.19764916434148611</v>
      </c>
      <c r="D21" s="7">
        <v>0.12638791676682359</v>
      </c>
      <c r="E21" s="7">
        <v>2.7935227079184388E-4</v>
      </c>
      <c r="F21" s="7">
        <v>5.1097483846408213E-2</v>
      </c>
      <c r="G21" s="7">
        <v>7.2961380278514509E-3</v>
      </c>
      <c r="H21" s="7">
        <v>-0.1986680609797658</v>
      </c>
      <c r="I21" s="7">
        <v>-0.14725560812747299</v>
      </c>
      <c r="J21" s="7">
        <v>-0.13674291533985661</v>
      </c>
      <c r="K21" s="7">
        <v>8.8973017354022049E-2</v>
      </c>
      <c r="L21" s="7">
        <v>-0.1096796074542299</v>
      </c>
      <c r="M21" s="7">
        <v>-9.9684593408211258E-2</v>
      </c>
      <c r="N21" s="7">
        <v>-9.9587412122941574E-2</v>
      </c>
      <c r="O21" s="7">
        <v>-0.1392774934469892</v>
      </c>
      <c r="P21" s="7">
        <v>3.9891722860102737E-2</v>
      </c>
      <c r="Q21" s="7">
        <v>0.25731007409425227</v>
      </c>
      <c r="R21" s="7">
        <v>8.4905231193340591E-2</v>
      </c>
      <c r="S21" s="7">
        <v>-3.656329165669691E-2</v>
      </c>
      <c r="T21" s="7">
        <v>-0.13112036093842719</v>
      </c>
      <c r="U21" s="7">
        <v>8.6278417611758002E-2</v>
      </c>
      <c r="V21" s="7">
        <v>-0.10537077038935461</v>
      </c>
      <c r="W21" s="7">
        <v>-0.32292054868818693</v>
      </c>
      <c r="X21" s="7">
        <v>0.20780126735333779</v>
      </c>
      <c r="Y21" s="7">
        <v>-9.2729223946204448E-2</v>
      </c>
      <c r="Z21" s="7">
        <v>3.9457715679957053E-2</v>
      </c>
      <c r="AA21" s="7">
        <v>2.8033456192208511E-2</v>
      </c>
      <c r="AB21" s="7">
        <v>-6.5287595030865841E-2</v>
      </c>
      <c r="AC21" s="7">
        <v>7.43011297920224E-2</v>
      </c>
      <c r="AD21" s="7">
        <v>-0.1288246656475579</v>
      </c>
      <c r="AE21" s="7">
        <v>1.031161069406002E-2</v>
      </c>
      <c r="AF21" s="7">
        <v>-0.29514425808336342</v>
      </c>
      <c r="AG21" s="7">
        <v>1.10465721064439E-2</v>
      </c>
      <c r="AH21" s="7">
        <v>4.3406382504438977E-2</v>
      </c>
      <c r="AI21" s="7">
        <v>-6.7729680595151026E-2</v>
      </c>
      <c r="AJ21" s="7">
        <v>-5.1859256457010838E-3</v>
      </c>
      <c r="AK21" s="7">
        <v>1.8318368909312599E-2</v>
      </c>
      <c r="AL21" s="7">
        <v>-3.7391486134754182E-2</v>
      </c>
      <c r="AM21" s="7">
        <v>6.312571800748347E-2</v>
      </c>
      <c r="AN21" s="7">
        <v>1.869553259224431E-2</v>
      </c>
      <c r="AO21" s="7">
        <v>-4.7726395643726653E-2</v>
      </c>
      <c r="AP21" s="7">
        <v>7.2535143570019153E-2</v>
      </c>
      <c r="AQ21" s="7">
        <v>-7.6865507010547632E-2</v>
      </c>
      <c r="AR21" s="7">
        <v>4.798814140331014E-2</v>
      </c>
      <c r="AS21" s="7">
        <v>4.5406682060008141E-2</v>
      </c>
      <c r="AT21" s="7">
        <v>-2.4929112771550628E-3</v>
      </c>
      <c r="AU21" s="7">
        <v>4.7809631508957028E-2</v>
      </c>
      <c r="AV21" s="7">
        <v>-5.5520780062133721E-2</v>
      </c>
      <c r="AW21" s="7">
        <v>9.7910299540974015E-3</v>
      </c>
      <c r="AX21" s="7">
        <v>-0.21771830251703739</v>
      </c>
      <c r="AY21" s="7">
        <v>-6.5722294732506903E-2</v>
      </c>
      <c r="AZ21" s="7">
        <v>-0.25491126989713642</v>
      </c>
      <c r="BA21" s="7">
        <v>-7.1032181648085849E-2</v>
      </c>
      <c r="BB21" s="7">
        <v>0.29451263697732177</v>
      </c>
      <c r="BC21" s="7">
        <v>0.1644605319288267</v>
      </c>
      <c r="BD21" s="7">
        <v>-2.1750863370627919E-2</v>
      </c>
      <c r="BE21" s="7">
        <v>-4.0588332503811789E-2</v>
      </c>
      <c r="BF21" s="7">
        <v>-6.2289949375188239E-2</v>
      </c>
      <c r="BG21" s="7">
        <v>-7.8525059461954635E-2</v>
      </c>
      <c r="BH21" s="7">
        <v>-6.7916730562062572E-2</v>
      </c>
      <c r="BI21" s="7">
        <v>0.1659695961783918</v>
      </c>
      <c r="BJ21" s="7">
        <v>2.3579026181717661E-2</v>
      </c>
      <c r="BK21" s="7">
        <v>7.2723114748713999E-2</v>
      </c>
      <c r="BL21" s="7">
        <v>3.752798508045226E-3</v>
      </c>
      <c r="BM21" s="7">
        <v>-9.4970354993302086E-2</v>
      </c>
      <c r="BN21" s="7">
        <v>-2.5790766448446922E-2</v>
      </c>
      <c r="BO21" s="7">
        <v>1.50041027098864E-2</v>
      </c>
      <c r="BP21" s="7">
        <v>0.1045091294194143</v>
      </c>
      <c r="BQ21" s="7">
        <v>5.4542230834504879E-2</v>
      </c>
      <c r="BR21" s="7">
        <v>0.14206145591009539</v>
      </c>
      <c r="BS21" s="7">
        <v>5.8601727551761719E-3</v>
      </c>
      <c r="BT21" s="7">
        <v>6.0820742542524793E-2</v>
      </c>
      <c r="BU21" s="7">
        <v>0.1354964621985692</v>
      </c>
      <c r="BV21" s="7">
        <v>0.14214300018545339</v>
      </c>
      <c r="BW21" s="7">
        <v>-0.146679196935731</v>
      </c>
      <c r="BX21" s="7">
        <v>-2.9908192844139221E-3</v>
      </c>
      <c r="BY21" s="7">
        <v>-1.491637891683696E-2</v>
      </c>
      <c r="BZ21" s="7">
        <v>4.7662928720715619E-2</v>
      </c>
      <c r="CA21" s="7">
        <v>9.5059433847559396E-2</v>
      </c>
      <c r="CB21" s="7">
        <v>0.2078698479015878</v>
      </c>
      <c r="CC21" s="7">
        <v>-8.0189542709663136E-3</v>
      </c>
      <c r="CD21" s="7">
        <v>8.4423550992515431E-2</v>
      </c>
      <c r="CE21" s="7">
        <v>6.1514882354154247E-2</v>
      </c>
      <c r="CF21" s="7">
        <v>0.1145261576111684</v>
      </c>
      <c r="CG21" s="7">
        <v>0.32016678338047649</v>
      </c>
      <c r="CH21" s="7">
        <v>8.0100321076211733E-2</v>
      </c>
      <c r="CI21" s="7">
        <v>-0.123293346411547</v>
      </c>
      <c r="CJ21" s="7">
        <v>8.5627757016502298E-2</v>
      </c>
      <c r="CK21" s="7">
        <v>0.12705054673013411</v>
      </c>
      <c r="CL21" s="7">
        <v>-0.13389042462296469</v>
      </c>
      <c r="CM21" s="7">
        <v>6.2994332860424385E-2</v>
      </c>
      <c r="CN21" s="7">
        <v>-8.0851508829433677E-2</v>
      </c>
      <c r="CO21" s="7">
        <v>0.23779198113939251</v>
      </c>
      <c r="CP21" s="7">
        <v>-0.22270006087791269</v>
      </c>
      <c r="CQ21" s="7">
        <v>-3.2880917250907721E-3</v>
      </c>
      <c r="CR21" s="7">
        <v>-9.0824277979679707E-2</v>
      </c>
      <c r="CS21" s="7">
        <v>3.0907745682497659E-2</v>
      </c>
      <c r="CT21" s="7">
        <v>-8.2292872854338978E-2</v>
      </c>
      <c r="CU21" s="7">
        <v>6.2673560169491313E-2</v>
      </c>
      <c r="CV21" s="7">
        <v>-9.8225632021386913E-2</v>
      </c>
      <c r="CW21" s="7">
        <v>-6.5005417280988659E-2</v>
      </c>
      <c r="CX21" s="7">
        <v>1.339552396105914E-2</v>
      </c>
      <c r="CY21" s="7">
        <v>8.4819164039144704E-3</v>
      </c>
      <c r="CZ21" s="7">
        <v>-0.2374513708258302</v>
      </c>
      <c r="DA21" s="7">
        <v>-1.192256456731756E-3</v>
      </c>
      <c r="DB21" s="7">
        <v>5.1624433676154581E-2</v>
      </c>
      <c r="DC21" s="7">
        <v>-0.1539047953697186</v>
      </c>
      <c r="DD21" s="7">
        <v>-0.121322688868649</v>
      </c>
      <c r="DE21" s="7">
        <v>-2.897773706032665E-2</v>
      </c>
      <c r="DF21" s="7">
        <v>-0.30115021168204381</v>
      </c>
      <c r="DG21" s="7">
        <v>-7.8463781285332893E-3</v>
      </c>
      <c r="DH21" s="7">
        <v>-1.407682021245452E-2</v>
      </c>
      <c r="DI21" s="7">
        <v>-9.0149202717820648E-2</v>
      </c>
      <c r="DJ21" s="7">
        <v>-7.330279150207536E-2</v>
      </c>
      <c r="DK21" s="7">
        <v>-0.13950270681890459</v>
      </c>
      <c r="DL21" s="7">
        <v>-1.273699150101321E-2</v>
      </c>
      <c r="DM21" s="7">
        <v>2.9834119642240212E-2</v>
      </c>
      <c r="DN21" s="7">
        <v>-4.687483536663517E-2</v>
      </c>
      <c r="DO21" s="7">
        <v>0.33162680487864599</v>
      </c>
      <c r="DP21" s="7">
        <v>3.7108633098233243E-2</v>
      </c>
      <c r="DQ21" s="7">
        <v>2.821605205239688E-2</v>
      </c>
      <c r="DR21" s="7">
        <v>5.3556989806694252E-2</v>
      </c>
      <c r="DS21" s="7">
        <v>1.6720946793213241E-3</v>
      </c>
      <c r="DT21" s="7">
        <v>0.17057080268546079</v>
      </c>
      <c r="DU21" s="7">
        <v>2.8090293996378659E-2</v>
      </c>
      <c r="DV21" s="7">
        <v>-0.140275976869878</v>
      </c>
      <c r="DW21" s="7">
        <v>0.12824786866412111</v>
      </c>
      <c r="DX21" s="7">
        <v>0.1168288898747825</v>
      </c>
      <c r="DY21" s="7">
        <v>0.22566188118798919</v>
      </c>
      <c r="DZ21" s="7">
        <v>-0.17989102172490029</v>
      </c>
      <c r="EA21" s="7">
        <v>-0.26605683227934601</v>
      </c>
      <c r="EB21" s="7">
        <v>0.10329555902400769</v>
      </c>
      <c r="EC21" s="7">
        <v>0.14009401795222581</v>
      </c>
      <c r="ED21" s="7">
        <v>5.4498856348180663E-2</v>
      </c>
      <c r="EE21" s="7">
        <v>2.1310592307867391E-2</v>
      </c>
      <c r="EF21" s="8">
        <v>1.8771264042119089E-2</v>
      </c>
    </row>
    <row r="22" spans="1:136" x14ac:dyDescent="0.3">
      <c r="A22" s="1">
        <v>321</v>
      </c>
      <c r="B22" s="1">
        <v>3</v>
      </c>
      <c r="C22" s="7">
        <v>6.4235717628454689E-2</v>
      </c>
      <c r="D22" s="7">
        <v>0.1424278520773985</v>
      </c>
      <c r="E22" s="7">
        <v>4.1027532000619052E-2</v>
      </c>
      <c r="F22" s="7">
        <v>9.7433995578986451E-2</v>
      </c>
      <c r="G22" s="7">
        <v>3.2954824249798613E-2</v>
      </c>
      <c r="H22" s="7">
        <v>-0.17874946348762291</v>
      </c>
      <c r="I22" s="7">
        <v>-0.12349316933806979</v>
      </c>
      <c r="J22" s="7">
        <v>-0.10425350273662951</v>
      </c>
      <c r="K22" s="7">
        <v>0.1532867706545093</v>
      </c>
      <c r="L22" s="7">
        <v>-0.17118335942590121</v>
      </c>
      <c r="M22" s="7">
        <v>-7.4100058770572547E-2</v>
      </c>
      <c r="N22" s="7">
        <v>-0.1332804190232465</v>
      </c>
      <c r="O22" s="7">
        <v>-6.6442332164954182E-2</v>
      </c>
      <c r="P22" s="7">
        <v>4.28584885189899E-2</v>
      </c>
      <c r="Q22" s="7">
        <v>0.27677689383305182</v>
      </c>
      <c r="R22" s="7">
        <v>6.6698292606331602E-2</v>
      </c>
      <c r="S22" s="7">
        <v>-3.9234143537179147E-2</v>
      </c>
      <c r="T22" s="7">
        <v>-0.1048489671566299</v>
      </c>
      <c r="U22" s="7">
        <v>0.11059002340250421</v>
      </c>
      <c r="V22" s="7">
        <v>-5.7024134634289667E-2</v>
      </c>
      <c r="W22" s="7">
        <v>-0.34619348529924859</v>
      </c>
      <c r="X22" s="7">
        <v>0.25720235121349699</v>
      </c>
      <c r="Y22" s="7">
        <v>-4.7938332179768291E-2</v>
      </c>
      <c r="Z22" s="7">
        <v>2.386612179035642E-2</v>
      </c>
      <c r="AA22" s="7">
        <v>0.1181206143698829</v>
      </c>
      <c r="AB22" s="7">
        <v>-3.8274054421571273E-2</v>
      </c>
      <c r="AC22" s="7">
        <v>7.4420380840427389E-2</v>
      </c>
      <c r="AD22" s="7">
        <v>-1.357278877236134E-2</v>
      </c>
      <c r="AE22" s="7">
        <v>-8.514768595770715E-2</v>
      </c>
      <c r="AF22" s="7">
        <v>-0.42991676804861201</v>
      </c>
      <c r="AG22" s="7">
        <v>1.0812100566842311E-2</v>
      </c>
      <c r="AH22" s="7">
        <v>-4.8894599402210352E-4</v>
      </c>
      <c r="AI22" s="7">
        <v>-6.7392901011186057E-2</v>
      </c>
      <c r="AJ22" s="7">
        <v>-1.3081541637357001E-2</v>
      </c>
      <c r="AK22" s="7">
        <v>7.8575768704914215E-2</v>
      </c>
      <c r="AL22" s="7">
        <v>-1.1447262237467839E-3</v>
      </c>
      <c r="AM22" s="7">
        <v>5.6373754363627612E-2</v>
      </c>
      <c r="AN22" s="7">
        <v>3.5264122370512491E-2</v>
      </c>
      <c r="AO22" s="7">
        <v>-7.4717373393705613E-2</v>
      </c>
      <c r="AP22" s="7">
        <v>6.2536353887992696E-2</v>
      </c>
      <c r="AQ22" s="7">
        <v>-7.9426117478593142E-2</v>
      </c>
      <c r="AR22" s="7">
        <v>6.7924487703603389E-2</v>
      </c>
      <c r="AS22" s="7">
        <v>-7.3843702685833568E-2</v>
      </c>
      <c r="AT22" s="7">
        <v>-2.513636184002634E-2</v>
      </c>
      <c r="AU22" s="7">
        <v>3.3500451910869901E-2</v>
      </c>
      <c r="AV22" s="7">
        <v>-5.9813176675879959E-2</v>
      </c>
      <c r="AW22" s="7">
        <v>-3.014938920700894E-2</v>
      </c>
      <c r="AX22" s="7">
        <v>9.875186005693877E-3</v>
      </c>
      <c r="AY22" s="7">
        <v>-9.8456276129363446E-2</v>
      </c>
      <c r="AZ22" s="7">
        <v>-0.1549037783211521</v>
      </c>
      <c r="BA22" s="7">
        <v>-4.5598425167461952E-2</v>
      </c>
      <c r="BB22" s="7">
        <v>0.36955058329648782</v>
      </c>
      <c r="BC22" s="7">
        <v>0.19562603535051759</v>
      </c>
      <c r="BD22" s="7">
        <v>-2.2174181465828179E-2</v>
      </c>
      <c r="BE22" s="7">
        <v>-6.8483036868100741E-2</v>
      </c>
      <c r="BF22" s="7">
        <v>-5.4886013754806257E-2</v>
      </c>
      <c r="BG22" s="7">
        <v>-9.617852912963791E-2</v>
      </c>
      <c r="BH22" s="7">
        <v>-7.9934120635503092E-3</v>
      </c>
      <c r="BI22" s="7">
        <v>0.111088719409907</v>
      </c>
      <c r="BJ22" s="7">
        <v>5.4996415150720922E-2</v>
      </c>
      <c r="BK22" s="7">
        <v>4.831524105166432E-2</v>
      </c>
      <c r="BL22" s="7">
        <v>1.7863882134281309E-2</v>
      </c>
      <c r="BM22" s="7">
        <v>-0.1209396353275756</v>
      </c>
      <c r="BN22" s="7">
        <v>-8.2937899200322518E-2</v>
      </c>
      <c r="BO22" s="7">
        <v>3.8350062963842829E-2</v>
      </c>
      <c r="BP22" s="7">
        <v>7.4835550155106345E-2</v>
      </c>
      <c r="BQ22" s="7">
        <v>2.7830097398312589E-2</v>
      </c>
      <c r="BR22" s="7">
        <v>0.10656678196769021</v>
      </c>
      <c r="BS22" s="7">
        <v>-1.637278237679916E-2</v>
      </c>
      <c r="BT22" s="7">
        <v>-8.8726194332783462E-2</v>
      </c>
      <c r="BU22" s="7">
        <v>0.21294876613801031</v>
      </c>
      <c r="BV22" s="7">
        <v>0.1585439723976089</v>
      </c>
      <c r="BW22" s="7">
        <v>-0.1746684979276073</v>
      </c>
      <c r="BX22" s="7">
        <v>3.6637445691972373E-2</v>
      </c>
      <c r="BY22" s="7">
        <v>3.2352875520499369E-2</v>
      </c>
      <c r="BZ22" s="7">
        <v>4.725773586289217E-2</v>
      </c>
      <c r="CA22" s="7">
        <v>0.14407873603425539</v>
      </c>
      <c r="CB22" s="7">
        <v>0.25473925571486122</v>
      </c>
      <c r="CC22" s="7">
        <v>-0.12510399532003291</v>
      </c>
      <c r="CD22" s="7">
        <v>9.5518542864996087E-2</v>
      </c>
      <c r="CE22" s="7">
        <v>6.6840145636817616E-2</v>
      </c>
      <c r="CF22" s="7">
        <v>0.1007703570340648</v>
      </c>
      <c r="CG22" s="7">
        <v>0.4438008150544101</v>
      </c>
      <c r="CH22" s="7">
        <v>0.1159187712794482</v>
      </c>
      <c r="CI22" s="7">
        <v>-0.23044916703818419</v>
      </c>
      <c r="CJ22" s="7">
        <v>0.1033795050895627</v>
      </c>
      <c r="CK22" s="7">
        <v>3.6163342604682402E-2</v>
      </c>
      <c r="CL22" s="7">
        <v>-0.2406517986250408</v>
      </c>
      <c r="CM22" s="7">
        <v>4.64412789746977E-2</v>
      </c>
      <c r="CN22" s="7">
        <v>-0.15280391681020719</v>
      </c>
      <c r="CO22" s="7">
        <v>0.18528575790522681</v>
      </c>
      <c r="CP22" s="7">
        <v>-0.25940855696940252</v>
      </c>
      <c r="CQ22" s="7">
        <v>1.233377932566462E-2</v>
      </c>
      <c r="CR22" s="7">
        <v>-0.16185042130139199</v>
      </c>
      <c r="CS22" s="7">
        <v>2.4439586832032689E-2</v>
      </c>
      <c r="CT22" s="7">
        <v>-5.8232521355985362E-2</v>
      </c>
      <c r="CU22" s="7">
        <v>0.1202317119640979</v>
      </c>
      <c r="CV22" s="7">
        <v>-0.1122336952070542</v>
      </c>
      <c r="CW22" s="7">
        <v>-3.6451253326165209E-2</v>
      </c>
      <c r="CX22" s="7">
        <v>4.7285453258790341E-2</v>
      </c>
      <c r="CY22" s="7">
        <v>7.9888257735091419E-3</v>
      </c>
      <c r="CZ22" s="7">
        <v>-0.26292048459923911</v>
      </c>
      <c r="DA22" s="7">
        <v>3.9917538819241108E-3</v>
      </c>
      <c r="DB22" s="7">
        <v>5.8383506828492103E-2</v>
      </c>
      <c r="DC22" s="7">
        <v>-0.14116723571930959</v>
      </c>
      <c r="DD22" s="7">
        <v>-0.1478941025728035</v>
      </c>
      <c r="DE22" s="7">
        <v>1.7756503501932811E-2</v>
      </c>
      <c r="DF22" s="7">
        <v>-0.38966763369412349</v>
      </c>
      <c r="DG22" s="7">
        <v>-3.1985043080887662E-2</v>
      </c>
      <c r="DH22" s="7">
        <v>-1.3945346183503959E-2</v>
      </c>
      <c r="DI22" s="7">
        <v>-8.1105543840270106E-2</v>
      </c>
      <c r="DJ22" s="7">
        <v>-4.277692212467888E-2</v>
      </c>
      <c r="DK22" s="7">
        <v>-0.1791347138228401</v>
      </c>
      <c r="DL22" s="7">
        <v>-3.213330743138731E-3</v>
      </c>
      <c r="DM22" s="7">
        <v>6.3466051038033502E-2</v>
      </c>
      <c r="DN22" s="7">
        <v>-8.3173707077558875E-2</v>
      </c>
      <c r="DO22" s="7">
        <v>7.5715816054906154E-2</v>
      </c>
      <c r="DP22" s="7">
        <v>0.10509905980047871</v>
      </c>
      <c r="DQ22" s="7">
        <v>5.1850201837621311E-2</v>
      </c>
      <c r="DR22" s="7">
        <v>7.1236299673135633E-2</v>
      </c>
      <c r="DS22" s="7">
        <v>3.6346262249535841E-2</v>
      </c>
      <c r="DT22" s="7">
        <v>5.8357008996765318E-2</v>
      </c>
      <c r="DU22" s="7">
        <v>5.7495390836838987E-2</v>
      </c>
      <c r="DV22" s="7">
        <v>-0.12570511767817799</v>
      </c>
      <c r="DW22" s="7">
        <v>7.838972370699715E-2</v>
      </c>
      <c r="DX22" s="7">
        <v>0.1643521240415392</v>
      </c>
      <c r="DY22" s="7">
        <v>0.31775437236448251</v>
      </c>
      <c r="DZ22" s="7">
        <v>-0.16562624622575561</v>
      </c>
      <c r="EA22" s="7">
        <v>-0.14035616200069359</v>
      </c>
      <c r="EB22" s="7">
        <v>0.14292707605232749</v>
      </c>
      <c r="EC22" s="7">
        <v>-2.8428811778050931E-2</v>
      </c>
      <c r="ED22" s="7">
        <v>7.7413567057607463E-2</v>
      </c>
      <c r="EE22" s="7">
        <v>4.7636659384698889E-2</v>
      </c>
      <c r="EF22" s="8">
        <v>3.4790246372172352E-2</v>
      </c>
    </row>
    <row r="23" spans="1:136" x14ac:dyDescent="0.3">
      <c r="A23" s="1">
        <v>482</v>
      </c>
      <c r="B23" s="1">
        <v>2</v>
      </c>
      <c r="C23" s="7">
        <v>-3.4987009286289193E-2</v>
      </c>
      <c r="D23" s="7">
        <v>0.25409262745146127</v>
      </c>
      <c r="E23" s="7">
        <v>8.094117257067221E-2</v>
      </c>
      <c r="F23" s="7">
        <v>0.14166490905190171</v>
      </c>
      <c r="G23" s="7">
        <v>5.2224173846498377E-2</v>
      </c>
      <c r="H23" s="7">
        <v>-0.2037183078789751</v>
      </c>
      <c r="I23" s="7">
        <v>-0.148152028600294</v>
      </c>
      <c r="J23" s="7">
        <v>-0.1148775059304451</v>
      </c>
      <c r="K23" s="7">
        <v>0.20448947647223359</v>
      </c>
      <c r="L23" s="7">
        <v>-5.4043529775598627E-2</v>
      </c>
      <c r="M23" s="7">
        <v>-0.2584499163586424</v>
      </c>
      <c r="N23" s="7">
        <v>-0.15641923763601279</v>
      </c>
      <c r="O23" s="7">
        <v>-0.1228997073071684</v>
      </c>
      <c r="P23" s="7">
        <v>1.068350475974675E-2</v>
      </c>
      <c r="Q23" s="7">
        <v>-5.95680169005205E-2</v>
      </c>
      <c r="R23" s="7">
        <v>6.2821977969761703E-2</v>
      </c>
      <c r="S23" s="7">
        <v>-7.2572664450062274E-2</v>
      </c>
      <c r="T23" s="7">
        <v>-8.4676175768728656E-2</v>
      </c>
      <c r="U23" s="7">
        <v>9.3757422440794366E-2</v>
      </c>
      <c r="V23" s="7">
        <v>6.3357010979066042E-2</v>
      </c>
      <c r="W23" s="7">
        <v>-0.50391933118531074</v>
      </c>
      <c r="X23" s="7">
        <v>0.1945564614576443</v>
      </c>
      <c r="Y23" s="7">
        <v>-7.588763428678244E-3</v>
      </c>
      <c r="Z23" s="7">
        <v>4.1051966520251372E-2</v>
      </c>
      <c r="AA23" s="7">
        <v>0.15164933184604609</v>
      </c>
      <c r="AB23" s="7">
        <v>-4.7748945219155479E-2</v>
      </c>
      <c r="AC23" s="7">
        <v>7.6346338146838E-2</v>
      </c>
      <c r="AD23" s="7">
        <v>-7.1628868085674022E-2</v>
      </c>
      <c r="AE23" s="7">
        <v>-0.22171323582164909</v>
      </c>
      <c r="AF23" s="7">
        <v>-0.32465932564021122</v>
      </c>
      <c r="AG23" s="7">
        <v>-0.145893892939672</v>
      </c>
      <c r="AH23" s="7">
        <v>-3.7279490370669702E-2</v>
      </c>
      <c r="AI23" s="7">
        <v>-7.5450169739462281E-2</v>
      </c>
      <c r="AJ23" s="7">
        <v>-2.3587440294024171E-2</v>
      </c>
      <c r="AK23" s="7">
        <v>9.1199224275259672E-2</v>
      </c>
      <c r="AL23" s="7">
        <v>-5.1310311182486829E-2</v>
      </c>
      <c r="AM23" s="7">
        <v>-2.0470543302086051E-2</v>
      </c>
      <c r="AN23" s="7">
        <v>0.12762959881318461</v>
      </c>
      <c r="AO23" s="7">
        <v>5.3369521914240978E-3</v>
      </c>
      <c r="AP23" s="7">
        <v>-3.1210993523056942E-3</v>
      </c>
      <c r="AQ23" s="7">
        <v>-8.9424992259610633E-2</v>
      </c>
      <c r="AR23" s="7">
        <v>0.1461361643393671</v>
      </c>
      <c r="AS23" s="7">
        <v>-8.1663620780570226E-2</v>
      </c>
      <c r="AT23" s="7">
        <v>-4.1427721813649641E-2</v>
      </c>
      <c r="AU23" s="7">
        <v>3.3145526128504327E-2</v>
      </c>
      <c r="AV23" s="7">
        <v>-2.7638994197374041E-2</v>
      </c>
      <c r="AW23" s="7">
        <v>-5.202690983840276E-2</v>
      </c>
      <c r="AX23" s="7">
        <v>1.4812779008540821E-2</v>
      </c>
      <c r="AY23" s="7">
        <v>-5.8139600106789993E-2</v>
      </c>
      <c r="AZ23" s="7">
        <v>-6.3753617401060211E-2</v>
      </c>
      <c r="BA23" s="7">
        <v>9.6467800801007808E-3</v>
      </c>
      <c r="BB23" s="7">
        <v>0.56682652604744033</v>
      </c>
      <c r="BC23" s="7">
        <v>0.25286918189993951</v>
      </c>
      <c r="BD23" s="7">
        <v>9.4830881346450333E-2</v>
      </c>
      <c r="BE23" s="7">
        <v>-8.6532394790002992E-2</v>
      </c>
      <c r="BF23" s="7">
        <v>-6.0012943621825209E-2</v>
      </c>
      <c r="BG23" s="7">
        <v>-4.4908674694266577E-2</v>
      </c>
      <c r="BH23" s="7">
        <v>5.3596863934990302E-2</v>
      </c>
      <c r="BI23" s="7">
        <v>0.1911120793231991</v>
      </c>
      <c r="BJ23" s="7">
        <v>0.1040033152679269</v>
      </c>
      <c r="BK23" s="7">
        <v>4.7849323301188178E-2</v>
      </c>
      <c r="BL23" s="7">
        <v>-5.3432219944672933E-2</v>
      </c>
      <c r="BM23" s="7">
        <v>-0.18414780725786861</v>
      </c>
      <c r="BN23" s="7">
        <v>-3.8453237240273198E-2</v>
      </c>
      <c r="BO23" s="7">
        <v>6.1815479967866467E-2</v>
      </c>
      <c r="BP23" s="7">
        <v>9.8266399211456468E-2</v>
      </c>
      <c r="BQ23" s="7">
        <v>7.2047901435266168E-2</v>
      </c>
      <c r="BR23" s="7">
        <v>0.1028225901803507</v>
      </c>
      <c r="BS23" s="7">
        <v>-7.3275388657911791E-2</v>
      </c>
      <c r="BT23" s="7">
        <v>-0.2181866761329041</v>
      </c>
      <c r="BU23" s="7">
        <v>0.20568773584594591</v>
      </c>
      <c r="BV23" s="7">
        <v>0.11346756836018849</v>
      </c>
      <c r="BW23" s="7">
        <v>-0.20215233327569121</v>
      </c>
      <c r="BX23" s="7">
        <v>-8.2131197272531514E-3</v>
      </c>
      <c r="BY23" s="7">
        <v>3.9939448876130351E-2</v>
      </c>
      <c r="BZ23" s="7">
        <v>7.6697624318448621E-3</v>
      </c>
      <c r="CA23" s="7">
        <v>0.20637272238748691</v>
      </c>
      <c r="CB23" s="7">
        <v>0.31616676175875003</v>
      </c>
      <c r="CC23" s="7">
        <v>-8.4544614715775346E-2</v>
      </c>
      <c r="CD23" s="7">
        <v>0.141241944161549</v>
      </c>
      <c r="CE23" s="7">
        <v>5.9602301837717461E-2</v>
      </c>
      <c r="CF23" s="7">
        <v>1.616083543008176E-2</v>
      </c>
      <c r="CG23" s="7">
        <v>0.29290393811773718</v>
      </c>
      <c r="CH23" s="7">
        <v>0.18019644892142839</v>
      </c>
      <c r="CI23" s="7">
        <v>-5.9122473913523821E-2</v>
      </c>
      <c r="CJ23" s="7">
        <v>1.9875367550410569E-2</v>
      </c>
      <c r="CK23" s="7">
        <v>9.6116994727961536E-2</v>
      </c>
      <c r="CL23" s="7">
        <v>-0.40866101266741839</v>
      </c>
      <c r="CM23" s="7">
        <v>6.9750090132210951E-3</v>
      </c>
      <c r="CN23" s="7">
        <v>-0.27710426195606819</v>
      </c>
      <c r="CO23" s="7">
        <v>0.26845097690314912</v>
      </c>
      <c r="CP23" s="7">
        <v>-0.31136074316275669</v>
      </c>
      <c r="CQ23" s="7">
        <v>9.1837444998058917E-3</v>
      </c>
      <c r="CR23" s="7">
        <v>-1.159780382107861E-2</v>
      </c>
      <c r="CS23" s="7">
        <v>6.901537085690515E-2</v>
      </c>
      <c r="CT23" s="7">
        <v>-4.5662541711253862E-2</v>
      </c>
      <c r="CU23" s="7">
        <v>2.1056595713287041E-2</v>
      </c>
      <c r="CV23" s="7">
        <v>2.2245137488805671E-2</v>
      </c>
      <c r="CW23" s="7">
        <v>-0.1009013318024186</v>
      </c>
      <c r="CX23" s="7">
        <v>-4.425407954953503E-2</v>
      </c>
      <c r="CY23" s="7">
        <v>-2.20465307533785E-2</v>
      </c>
      <c r="CZ23" s="7">
        <v>-0.18199879385735121</v>
      </c>
      <c r="DA23" s="7">
        <v>3.0982136225910391E-2</v>
      </c>
      <c r="DB23" s="7">
        <v>1.5955156866996431E-2</v>
      </c>
      <c r="DC23" s="7">
        <v>-0.15794889931825309</v>
      </c>
      <c r="DD23" s="7">
        <v>-0.21341104440699671</v>
      </c>
      <c r="DE23" s="7">
        <v>6.0085947510171572E-2</v>
      </c>
      <c r="DF23" s="7">
        <v>-0.40879492056092032</v>
      </c>
      <c r="DG23" s="7">
        <v>-3.8270011874717E-2</v>
      </c>
      <c r="DH23" s="7">
        <v>-5.5413447308742453E-2</v>
      </c>
      <c r="DI23" s="7">
        <v>-0.18491271354810521</v>
      </c>
      <c r="DJ23" s="7">
        <v>3.3824576295396119E-2</v>
      </c>
      <c r="DK23" s="7">
        <v>-0.27783321655884308</v>
      </c>
      <c r="DL23" s="7">
        <v>2.6242652104624471E-2</v>
      </c>
      <c r="DM23" s="7">
        <v>1.949730491936592E-2</v>
      </c>
      <c r="DN23" s="7">
        <v>-0.11820475442736959</v>
      </c>
      <c r="DO23" s="7">
        <v>0.124068441987729</v>
      </c>
      <c r="DP23" s="7">
        <v>3.8404395837998338E-2</v>
      </c>
      <c r="DQ23" s="7">
        <v>0.12113204125745761</v>
      </c>
      <c r="DR23" s="7">
        <v>0.1024257952350012</v>
      </c>
      <c r="DS23" s="7">
        <v>0.1165759916669394</v>
      </c>
      <c r="DT23" s="7">
        <v>0.12395522319619889</v>
      </c>
      <c r="DU23" s="7">
        <v>-3.4287185254997438E-2</v>
      </c>
      <c r="DV23" s="7">
        <v>-0.27627160832943959</v>
      </c>
      <c r="DW23" s="7">
        <v>0.14122823258283859</v>
      </c>
      <c r="DX23" s="7">
        <v>0.1710027869684545</v>
      </c>
      <c r="DY23" s="7">
        <v>0.26822192937212391</v>
      </c>
      <c r="DZ23" s="7">
        <v>-0.12933301555171881</v>
      </c>
      <c r="EA23" s="7">
        <v>2.875877977640498E-2</v>
      </c>
      <c r="EB23" s="7">
        <v>0.13822549512320209</v>
      </c>
      <c r="EC23" s="7">
        <v>-0.1232049429556647</v>
      </c>
      <c r="ED23" s="7">
        <v>9.1425904619781034E-2</v>
      </c>
      <c r="EE23" s="7">
        <v>6.9212075984992683E-2</v>
      </c>
      <c r="EF23" s="8">
        <v>4.7782278591659677E-2</v>
      </c>
    </row>
    <row r="24" spans="1:136" x14ac:dyDescent="0.3">
      <c r="A24" s="1">
        <v>964</v>
      </c>
      <c r="B24" s="1">
        <v>1</v>
      </c>
      <c r="C24" s="7">
        <v>0.162993136931085</v>
      </c>
      <c r="D24" s="7">
        <v>0.1006099128992286</v>
      </c>
      <c r="E24" s="7">
        <v>-7.1400330169296908E-2</v>
      </c>
      <c r="F24" s="7">
        <v>0.22715954663674881</v>
      </c>
      <c r="G24" s="7">
        <v>-0.2257600230575724</v>
      </c>
      <c r="H24" s="7">
        <v>-0.2466867284905698</v>
      </c>
      <c r="I24" s="7">
        <v>2.111933203143501E-3</v>
      </c>
      <c r="J24" s="7">
        <v>-0.1154627982140225</v>
      </c>
      <c r="K24" s="7">
        <v>2.1515278354960109E-2</v>
      </c>
      <c r="L24" s="7">
        <v>-9.5623250508682117E-2</v>
      </c>
      <c r="M24" s="7">
        <v>-0.14681933889950849</v>
      </c>
      <c r="N24" s="7">
        <v>-0.14413045240043321</v>
      </c>
      <c r="O24" s="7">
        <v>-0.24427786338818341</v>
      </c>
      <c r="P24" s="7">
        <v>7.7736485854057236E-2</v>
      </c>
      <c r="Q24" s="7">
        <v>-6.096496164670627E-2</v>
      </c>
      <c r="R24" s="7">
        <v>-2.7822823885088121E-2</v>
      </c>
      <c r="S24" s="7">
        <v>-1.1054460207448651E-2</v>
      </c>
      <c r="T24" s="7">
        <v>-0.28781660351948779</v>
      </c>
      <c r="U24" s="7">
        <v>0.14851867422391801</v>
      </c>
      <c r="V24" s="7">
        <v>0.11654031671685081</v>
      </c>
      <c r="W24" s="7">
        <v>-0.64293352860565944</v>
      </c>
      <c r="X24" s="7">
        <v>-8.988764650171982E-4</v>
      </c>
      <c r="Y24" s="7">
        <v>-2.9398839580432611E-2</v>
      </c>
      <c r="Z24" s="7">
        <v>-2.439454874957615E-2</v>
      </c>
      <c r="AA24" s="7">
        <v>9.4359582813794432E-2</v>
      </c>
      <c r="AB24" s="7">
        <v>-0.18425142266877839</v>
      </c>
      <c r="AC24" s="7">
        <v>0.125380380775965</v>
      </c>
      <c r="AD24" s="7">
        <v>-0.1011752992567229</v>
      </c>
      <c r="AE24" s="7">
        <v>-0.17526881500734201</v>
      </c>
      <c r="AF24" s="7">
        <v>-0.49538941280416188</v>
      </c>
      <c r="AG24" s="7">
        <v>-0.38005539258279603</v>
      </c>
      <c r="AH24" s="7">
        <v>6.8613799461397618E-2</v>
      </c>
      <c r="AI24" s="7">
        <v>-0.15191167478339729</v>
      </c>
      <c r="AJ24" s="7">
        <v>-8.5435201790864113E-2</v>
      </c>
      <c r="AK24" s="7">
        <v>0.11317916377562411</v>
      </c>
      <c r="AL24" s="7">
        <v>-0.1074544263057416</v>
      </c>
      <c r="AM24" s="7">
        <v>1.4966545334123929E-2</v>
      </c>
      <c r="AN24" s="7">
        <v>0.16294174185669941</v>
      </c>
      <c r="AO24" s="7">
        <v>-6.6090111828990022E-2</v>
      </c>
      <c r="AP24" s="7">
        <v>2.28517154890964E-2</v>
      </c>
      <c r="AQ24" s="7">
        <v>-4.7076972834245667E-2</v>
      </c>
      <c r="AR24" s="7">
        <v>0.1708334061708256</v>
      </c>
      <c r="AS24" s="7">
        <v>-3.2867737066227462E-3</v>
      </c>
      <c r="AT24" s="7">
        <v>3.045920748470865E-2</v>
      </c>
      <c r="AU24" s="7">
        <v>4.4095319865224331E-2</v>
      </c>
      <c r="AV24" s="7">
        <v>-8.7151952186895892E-2</v>
      </c>
      <c r="AW24" s="7">
        <v>4.9875415110391882E-3</v>
      </c>
      <c r="AX24" s="7">
        <v>-0.1114913369162155</v>
      </c>
      <c r="AY24" s="7">
        <v>-0.26743574468647008</v>
      </c>
      <c r="AZ24" s="7">
        <v>3.7867073599665187E-2</v>
      </c>
      <c r="BA24" s="7">
        <v>-5.3794732084633153E-2</v>
      </c>
      <c r="BB24" s="7">
        <v>0.69077653138067185</v>
      </c>
      <c r="BC24" s="7">
        <v>-4.366869614383373E-3</v>
      </c>
      <c r="BD24" s="7">
        <v>0.18559521924643521</v>
      </c>
      <c r="BE24" s="7">
        <v>-0.1041311228506846</v>
      </c>
      <c r="BF24" s="7">
        <v>-0.1002317053814064</v>
      </c>
      <c r="BG24" s="7">
        <v>-0.17662353567931691</v>
      </c>
      <c r="BH24" s="7">
        <v>9.5694510161506985E-3</v>
      </c>
      <c r="BI24" s="7">
        <v>0.2236291060700471</v>
      </c>
      <c r="BJ24" s="7">
        <v>3.3483157548845829E-3</v>
      </c>
      <c r="BK24" s="7">
        <v>3.4827647172774007E-2</v>
      </c>
      <c r="BL24" s="7">
        <v>-3.089861151917388E-2</v>
      </c>
      <c r="BM24" s="7">
        <v>-0.37691635755964409</v>
      </c>
      <c r="BN24" s="7">
        <v>-0.10891326031654749</v>
      </c>
      <c r="BO24" s="7">
        <v>-5.6244215584665136E-3</v>
      </c>
      <c r="BP24" s="7">
        <v>0.1233511811293219</v>
      </c>
      <c r="BQ24" s="7">
        <v>-6.4169633330115036E-2</v>
      </c>
      <c r="BR24" s="7">
        <v>9.8920889185241626E-2</v>
      </c>
      <c r="BS24" s="7">
        <v>-1.284717484456964E-3</v>
      </c>
      <c r="BT24" s="7">
        <v>-0.27671901614020838</v>
      </c>
      <c r="BU24" s="7">
        <v>0.22832663155994071</v>
      </c>
      <c r="BV24" s="7">
        <v>0.1077284538879829</v>
      </c>
      <c r="BW24" s="7">
        <v>-6.1835883635593128E-2</v>
      </c>
      <c r="BX24" s="7">
        <v>-0.1329600557104578</v>
      </c>
      <c r="BY24" s="7">
        <v>-0.29033687494541688</v>
      </c>
      <c r="BZ24" s="7">
        <v>0.25889289884999689</v>
      </c>
      <c r="CA24" s="7">
        <v>0.10002491568895069</v>
      </c>
      <c r="CB24" s="7">
        <v>0.639698133634515</v>
      </c>
      <c r="CC24" s="7">
        <v>-0.18246987988756161</v>
      </c>
      <c r="CD24" s="7">
        <v>2.9953525870016359E-2</v>
      </c>
      <c r="CE24" s="7">
        <v>0.16556487399111461</v>
      </c>
      <c r="CF24" s="7">
        <v>-4.3964633996731547E-2</v>
      </c>
      <c r="CG24" s="7">
        <v>0.23727783485992521</v>
      </c>
      <c r="CH24" s="7">
        <v>0.35427729684250298</v>
      </c>
      <c r="CI24" s="7">
        <v>-5.850815723303885E-2</v>
      </c>
      <c r="CJ24" s="7">
        <v>-1.310948541941956E-2</v>
      </c>
      <c r="CK24" s="7">
        <v>9.3530079315696568E-2</v>
      </c>
      <c r="CL24" s="7">
        <v>0.1417553333725407</v>
      </c>
      <c r="CM24" s="7">
        <v>4.4688538323931992E-2</v>
      </c>
      <c r="CN24" s="7">
        <v>-0.60967719726707426</v>
      </c>
      <c r="CO24" s="7">
        <v>0.57240960973467503</v>
      </c>
      <c r="CP24" s="7">
        <v>-0.1603442048148421</v>
      </c>
      <c r="CQ24" s="7">
        <v>-0.1146871738632968</v>
      </c>
      <c r="CR24" s="7">
        <v>-6.1084838239556717E-2</v>
      </c>
      <c r="CS24" s="7">
        <v>-2.6854922521108548E-2</v>
      </c>
      <c r="CT24" s="7">
        <v>-9.6419008147395818E-2</v>
      </c>
      <c r="CU24" s="7">
        <v>7.2751347656710041E-2</v>
      </c>
      <c r="CV24" s="7">
        <v>-1.5064047539375311E-2</v>
      </c>
      <c r="CW24" s="7">
        <v>-0.17511716607200739</v>
      </c>
      <c r="CX24" s="7">
        <v>5.2765258843267028E-2</v>
      </c>
      <c r="CY24" s="7">
        <v>8.0066904636818925E-2</v>
      </c>
      <c r="CZ24" s="7">
        <v>-0.11220662844456721</v>
      </c>
      <c r="DA24" s="7">
        <v>-2.451120416275485E-2</v>
      </c>
      <c r="DB24" s="7">
        <v>0.19546067251265431</v>
      </c>
      <c r="DC24" s="7">
        <v>-0.28272977872851818</v>
      </c>
      <c r="DD24" s="7">
        <v>-0.15338138073910601</v>
      </c>
      <c r="DE24" s="7">
        <v>-0.13158559129553279</v>
      </c>
      <c r="DF24" s="7">
        <v>-0.52558500614449799</v>
      </c>
      <c r="DG24" s="7">
        <v>-5.9105834124344087E-2</v>
      </c>
      <c r="DH24" s="7">
        <v>-8.4652506536621926E-4</v>
      </c>
      <c r="DI24" s="7">
        <v>-0.42309879972833903</v>
      </c>
      <c r="DJ24" s="7">
        <v>-2.108147115785142E-2</v>
      </c>
      <c r="DK24" s="7">
        <v>-0.33950921063044381</v>
      </c>
      <c r="DL24" s="7">
        <v>6.1360513215416877E-2</v>
      </c>
      <c r="DM24" s="7">
        <v>0.14143952722687489</v>
      </c>
      <c r="DN24" s="7">
        <v>-0.14903325582948179</v>
      </c>
      <c r="DO24" s="7">
        <v>0.1156119550234804</v>
      </c>
      <c r="DP24" s="7">
        <v>0.14433064238035609</v>
      </c>
      <c r="DQ24" s="7">
        <v>5.0486190478925157E-2</v>
      </c>
      <c r="DR24" s="7">
        <v>2.3391731273528969E-2</v>
      </c>
      <c r="DS24" s="7">
        <v>6.7362545713944635E-2</v>
      </c>
      <c r="DT24" s="7">
        <v>3.8362866170129663E-2</v>
      </c>
      <c r="DU24" s="7">
        <v>4.7638587273757492E-2</v>
      </c>
      <c r="DV24" s="7">
        <v>-0.1582246986438143</v>
      </c>
      <c r="DW24" s="7">
        <v>0.10885708989133031</v>
      </c>
      <c r="DX24" s="7">
        <v>0.17373733044807921</v>
      </c>
      <c r="DY24" s="7">
        <v>3.2066535729951551E-2</v>
      </c>
      <c r="DZ24" s="7">
        <v>4.8904664258799802E-2</v>
      </c>
      <c r="EA24" s="7">
        <v>5.4920183841502608E-2</v>
      </c>
      <c r="EB24" s="7">
        <v>0.1092287723728063</v>
      </c>
      <c r="EC24" s="7">
        <v>-0.25665137996352638</v>
      </c>
      <c r="ED24" s="7">
        <v>5.6172845298362112E-2</v>
      </c>
      <c r="EE24" s="7">
        <v>0.10748065723441801</v>
      </c>
      <c r="EF24" s="8">
        <v>-6.7276677043968364E-2</v>
      </c>
    </row>
    <row r="25" spans="1:136" s="5" customFormat="1" x14ac:dyDescent="0.3">
      <c r="A25" s="6" t="s">
        <v>146</v>
      </c>
      <c r="B25" s="6" t="s">
        <v>147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AE59-477A-43B2-A07B-AFA96B218D32}">
  <dimension ref="A1:EH25"/>
  <sheetViews>
    <sheetView topLeftCell="DE5" workbookViewId="0">
      <selection activeCell="EH23" sqref="EH23"/>
    </sheetView>
  </sheetViews>
  <sheetFormatPr defaultRowHeight="15" x14ac:dyDescent="0.3"/>
  <sheetData>
    <row r="1" spans="1:138" x14ac:dyDescent="0.3">
      <c r="A1" t="s">
        <v>148</v>
      </c>
    </row>
    <row r="2" spans="1:13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143</v>
      </c>
    </row>
    <row r="3" spans="1:138" x14ac:dyDescent="0.3">
      <c r="B3" s="1" t="s">
        <v>135</v>
      </c>
      <c r="C3" s="7">
        <v>4.0547288954257972E-2</v>
      </c>
      <c r="D3" s="7">
        <v>1.474617514759302E-2</v>
      </c>
      <c r="E3" s="7">
        <v>-5.1652342081069953E-2</v>
      </c>
      <c r="F3" s="7">
        <v>-5.4286114871501923E-2</v>
      </c>
      <c r="G3" s="7">
        <v>-5.7552006095647812E-2</v>
      </c>
      <c r="H3" s="7">
        <v>-7.6259449124336243E-2</v>
      </c>
      <c r="I3" s="7">
        <v>-0.107886478304863</v>
      </c>
      <c r="J3" s="7">
        <v>1.373711228370667E-2</v>
      </c>
      <c r="K3" s="7">
        <v>-5.9229228645563133E-2</v>
      </c>
      <c r="L3" s="7">
        <v>-0.1078036949038506</v>
      </c>
      <c r="M3" s="7">
        <v>2.4141319096088409E-2</v>
      </c>
      <c r="N3" s="7">
        <v>-0.1346741318702698</v>
      </c>
      <c r="O3" s="7">
        <v>-7.92685616761446E-3</v>
      </c>
      <c r="P3" s="7">
        <v>-7.5651742517948151E-2</v>
      </c>
      <c r="Q3" s="7">
        <v>-8.6447760462760925E-2</v>
      </c>
      <c r="R3" s="7">
        <v>-3.0133344698697329E-3</v>
      </c>
      <c r="S3" s="7">
        <v>-4.0853243321180337E-2</v>
      </c>
      <c r="T3" s="7">
        <v>-3.2101776450872421E-2</v>
      </c>
      <c r="U3" s="7">
        <v>-0.10543976724147799</v>
      </c>
      <c r="V3" s="7">
        <v>-4.5746464282274253E-2</v>
      </c>
      <c r="W3" s="7">
        <v>-6.8120560608804226E-3</v>
      </c>
      <c r="X3" s="7">
        <v>9.7701430320739746E-2</v>
      </c>
      <c r="Y3" s="7">
        <v>6.1205495148897171E-2</v>
      </c>
      <c r="Z3" s="7">
        <v>1.6075653955340389E-2</v>
      </c>
      <c r="AA3" s="7">
        <v>-1.270355191081762E-2</v>
      </c>
      <c r="AB3" s="7">
        <v>-1.026225462555885E-2</v>
      </c>
      <c r="AC3" s="7">
        <v>2.934014052152634E-2</v>
      </c>
      <c r="AD3" s="7">
        <v>-5.8081243187189102E-3</v>
      </c>
      <c r="AE3" s="7">
        <v>1.1994774453341959E-2</v>
      </c>
      <c r="AF3" s="7">
        <v>3.9971381425857537E-2</v>
      </c>
      <c r="AG3" s="7">
        <v>-1.210324652493E-2</v>
      </c>
      <c r="AH3" s="7">
        <v>2.2090664133429531E-2</v>
      </c>
      <c r="AI3" s="7">
        <v>2.1936081349849701E-2</v>
      </c>
      <c r="AJ3" s="7">
        <v>2.584474720060825E-2</v>
      </c>
      <c r="AK3" s="7">
        <v>-2.3109074681997299E-3</v>
      </c>
      <c r="AL3" s="7">
        <v>-2.0252099260687832E-2</v>
      </c>
      <c r="AM3" s="7">
        <v>2.2393656894564629E-2</v>
      </c>
      <c r="AN3" s="7">
        <v>-3.5141657572239642E-3</v>
      </c>
      <c r="AO3" s="7">
        <v>-2.9745671898126599E-2</v>
      </c>
      <c r="AP3" s="7">
        <v>-2.683783695101738E-2</v>
      </c>
      <c r="AQ3" s="7">
        <v>-2.169711887836456E-2</v>
      </c>
      <c r="AR3" s="7">
        <v>2.3448716849088669E-2</v>
      </c>
      <c r="AS3" s="7">
        <v>1.5802856534719471E-2</v>
      </c>
      <c r="AT3" s="7">
        <v>6.6039755940437317E-2</v>
      </c>
      <c r="AU3" s="7">
        <v>6.2266789376735687E-2</v>
      </c>
      <c r="AV3" s="7">
        <v>5.7940512895584113E-2</v>
      </c>
      <c r="AW3" s="7">
        <v>0.1063941121101379</v>
      </c>
      <c r="AX3" s="7">
        <v>-5.7518132962286472E-3</v>
      </c>
      <c r="AY3" s="7">
        <v>3.4562649670988321E-3</v>
      </c>
      <c r="AZ3" s="7">
        <v>8.6036309599876404E-2</v>
      </c>
      <c r="BA3" s="7">
        <v>0.10234846919775011</v>
      </c>
      <c r="BB3" s="7">
        <v>6.3502728939056396E-2</v>
      </c>
      <c r="BC3" s="7">
        <v>4.844263568520546E-2</v>
      </c>
      <c r="BD3" s="7">
        <v>7.7497914433479309E-2</v>
      </c>
      <c r="BE3" s="7">
        <v>2.7031764388084412E-2</v>
      </c>
      <c r="BF3" s="7">
        <v>2.1175272762775421E-2</v>
      </c>
      <c r="BG3" s="7">
        <v>-1.226798165589571E-2</v>
      </c>
      <c r="BH3" s="7">
        <v>5.1240973174571991E-2</v>
      </c>
      <c r="BI3" s="7">
        <v>5.5158428847789757E-2</v>
      </c>
      <c r="BJ3" s="7">
        <v>8.664897084236145E-2</v>
      </c>
      <c r="BK3" s="7">
        <v>8.1092678010463715E-2</v>
      </c>
      <c r="BL3" s="7">
        <v>5.7930886745452881E-2</v>
      </c>
      <c r="BM3" s="7">
        <v>1.4249543659389021E-2</v>
      </c>
      <c r="BN3" s="7">
        <v>-4.6854224056005478E-3</v>
      </c>
      <c r="BO3" s="7">
        <v>4.5861139893531799E-2</v>
      </c>
      <c r="BP3" s="7">
        <v>8.6037963628768921E-2</v>
      </c>
      <c r="BQ3" s="7">
        <v>0.144142210483551</v>
      </c>
      <c r="BR3" s="7">
        <v>3.7985831499099731E-2</v>
      </c>
      <c r="BS3" s="7">
        <v>8.1880234181880951E-2</v>
      </c>
      <c r="BT3" s="7">
        <v>4.3688308447599411E-2</v>
      </c>
      <c r="BU3" s="7">
        <v>0.10545723885297779</v>
      </c>
      <c r="BV3" s="7">
        <v>0.1175376549363136</v>
      </c>
      <c r="BW3" s="7">
        <v>9.2942401766777039E-2</v>
      </c>
      <c r="BX3" s="7">
        <v>3.5637497901916497E-2</v>
      </c>
      <c r="BY3" s="7">
        <v>4.2925089597702033E-2</v>
      </c>
      <c r="BZ3" s="7">
        <v>9.8455093801021576E-2</v>
      </c>
      <c r="CA3" s="7">
        <v>1.8217885866761211E-2</v>
      </c>
      <c r="CB3" s="7">
        <v>1.9438756629824638E-2</v>
      </c>
      <c r="CC3" s="7">
        <v>-5.0573386251926422E-3</v>
      </c>
      <c r="CD3" s="7">
        <v>-5.7951014488935471E-2</v>
      </c>
      <c r="CE3" s="7">
        <v>-1.193848438560963E-2</v>
      </c>
      <c r="CF3" s="7">
        <v>6.4156758598983288E-3</v>
      </c>
      <c r="CG3" s="7">
        <v>5.6247138418257236E-3</v>
      </c>
      <c r="CH3" s="7">
        <v>5.8184977620840073E-2</v>
      </c>
      <c r="CI3" s="7">
        <v>1.276898570358753E-2</v>
      </c>
      <c r="CJ3" s="7">
        <v>-8.0891326069831848E-2</v>
      </c>
      <c r="CK3" s="7">
        <v>7.3738843202590942E-2</v>
      </c>
      <c r="CL3" s="7">
        <v>6.7692369222640991E-2</v>
      </c>
      <c r="CM3" s="7">
        <v>-1.829254254698753E-2</v>
      </c>
      <c r="CN3" s="7">
        <v>4.6888105571269989E-3</v>
      </c>
      <c r="CO3" s="7">
        <v>-1.2873713858425621E-2</v>
      </c>
      <c r="CP3" s="7">
        <v>-5.2108332514762878E-2</v>
      </c>
      <c r="CQ3" s="7">
        <v>-7.2693914175033569E-2</v>
      </c>
      <c r="CR3" s="7">
        <v>-6.0804408043622971E-2</v>
      </c>
      <c r="CS3" s="7">
        <v>1.5148262493312361E-2</v>
      </c>
      <c r="CT3" s="7">
        <v>-6.339031457901001E-2</v>
      </c>
      <c r="CU3" s="7">
        <v>-6.1079829931259162E-2</v>
      </c>
      <c r="CV3" s="7">
        <v>-2.170033194124699E-2</v>
      </c>
      <c r="CW3" s="7">
        <v>-6.0720678418874741E-2</v>
      </c>
      <c r="CX3" s="7">
        <v>-4.0655191987752907E-2</v>
      </c>
      <c r="CY3" s="7">
        <v>-4.5480586588382721E-2</v>
      </c>
      <c r="CZ3" s="7">
        <v>-6.9138072431087494E-2</v>
      </c>
      <c r="DA3" s="7">
        <v>-8.9778468012809753E-2</v>
      </c>
      <c r="DB3" s="7">
        <v>-6.527487188577652E-2</v>
      </c>
      <c r="DC3" s="7">
        <v>-1.3747443445026869E-2</v>
      </c>
      <c r="DD3" s="7">
        <v>-5.9340178966522217E-2</v>
      </c>
      <c r="DE3" s="7">
        <v>-2.9697688296437259E-3</v>
      </c>
      <c r="DF3" s="7">
        <v>2.9266869649291039E-2</v>
      </c>
      <c r="DG3" s="7">
        <v>-2.4713881313800808E-2</v>
      </c>
      <c r="DH3" s="7">
        <v>-3.5376153886318207E-2</v>
      </c>
      <c r="DI3" s="7">
        <v>-2.7640743181109428E-2</v>
      </c>
      <c r="DJ3" s="7">
        <v>-5.7575446553528309E-3</v>
      </c>
      <c r="DK3" s="7">
        <v>-4.8771854490041733E-2</v>
      </c>
      <c r="DL3" s="7">
        <v>-1.13038681447506E-2</v>
      </c>
      <c r="DM3" s="7">
        <v>-4.967803880572319E-2</v>
      </c>
      <c r="DN3" s="7">
        <v>-1.280778273940086E-2</v>
      </c>
      <c r="DO3" s="7">
        <v>-1.587224006652832E-2</v>
      </c>
      <c r="DP3" s="7">
        <v>-7.589586079120636E-3</v>
      </c>
      <c r="DQ3" s="7">
        <v>4.0078632533550262E-2</v>
      </c>
      <c r="DR3" s="7">
        <v>-1.5922309830784801E-2</v>
      </c>
      <c r="DS3" s="7">
        <v>2.3432238027453419E-2</v>
      </c>
      <c r="DT3" s="7">
        <v>-5.3663063794374473E-2</v>
      </c>
      <c r="DU3" s="7">
        <v>-4.4161681085824973E-2</v>
      </c>
      <c r="DV3" s="7">
        <v>-2.3813089355826381E-2</v>
      </c>
      <c r="DW3" s="7">
        <v>2.5176366791129109E-2</v>
      </c>
      <c r="DX3" s="7">
        <v>-3.2621368765830987E-2</v>
      </c>
      <c r="DY3" s="7">
        <v>1.3060665689408779E-2</v>
      </c>
      <c r="DZ3" s="7">
        <v>-4.7912493348121643E-2</v>
      </c>
      <c r="EA3" s="7">
        <v>1.4760352671146389E-2</v>
      </c>
      <c r="EB3" s="7">
        <v>-2.9227724298834801E-2</v>
      </c>
      <c r="EC3" s="7">
        <v>-3.5695001482963562E-2</v>
      </c>
      <c r="ED3" s="7">
        <v>-5.2812475711107247E-2</v>
      </c>
      <c r="EE3" s="7">
        <v>-1.3054582290351391E-2</v>
      </c>
      <c r="EF3" s="7">
        <v>-6.9071874022483826E-2</v>
      </c>
      <c r="EG3" s="1"/>
    </row>
    <row r="4" spans="1:138" x14ac:dyDescent="0.3">
      <c r="B4" s="1" t="s">
        <v>136</v>
      </c>
      <c r="C4" s="7">
        <v>-1.8580827862024311E-2</v>
      </c>
      <c r="D4" s="7">
        <v>-4.8252779990434647E-2</v>
      </c>
      <c r="E4" s="7">
        <v>7.8275678679347038E-3</v>
      </c>
      <c r="F4" s="7">
        <v>-2.6776634156703949E-2</v>
      </c>
      <c r="G4" s="7">
        <v>1.6258874908089641E-2</v>
      </c>
      <c r="H4" s="7">
        <v>-8.7667405605316162E-3</v>
      </c>
      <c r="I4" s="7">
        <v>-7.0548905059695244E-3</v>
      </c>
      <c r="J4" s="7">
        <v>-3.2917611300945282E-2</v>
      </c>
      <c r="K4" s="7">
        <v>7.3888557963073254E-3</v>
      </c>
      <c r="L4" s="7">
        <v>3.5096999257802963E-2</v>
      </c>
      <c r="M4" s="7">
        <v>-1.934842579066753E-2</v>
      </c>
      <c r="N4" s="7">
        <v>-1.2498205527663229E-2</v>
      </c>
      <c r="O4" s="7">
        <v>-6.7216232419013977E-2</v>
      </c>
      <c r="P4" s="7">
        <v>-2.768821083009243E-2</v>
      </c>
      <c r="Q4" s="7">
        <v>-5.9864789247512817E-2</v>
      </c>
      <c r="R4" s="7">
        <v>-7.7407129108905792E-2</v>
      </c>
      <c r="S4" s="7">
        <v>-8.372652530670166E-2</v>
      </c>
      <c r="T4" s="7">
        <v>-5.9324655681848533E-2</v>
      </c>
      <c r="U4" s="7">
        <v>-2.3863557726144791E-3</v>
      </c>
      <c r="V4" s="7">
        <v>4.6488689258694649E-3</v>
      </c>
      <c r="W4" s="7">
        <v>-7.4044972658157349E-2</v>
      </c>
      <c r="X4" s="7">
        <v>-9.8803862929344177E-2</v>
      </c>
      <c r="Y4" s="7">
        <v>-9.1002114117145538E-2</v>
      </c>
      <c r="Z4" s="7">
        <v>-6.800408661365509E-2</v>
      </c>
      <c r="AA4" s="7">
        <v>-8.6181230843067169E-2</v>
      </c>
      <c r="AB4" s="7">
        <v>-8.889392763376236E-2</v>
      </c>
      <c r="AC4" s="7">
        <v>-1.6588440164923671E-2</v>
      </c>
      <c r="AD4" s="7">
        <v>6.3448823988437653E-2</v>
      </c>
      <c r="AE4" s="7">
        <v>-5.9580553323030472E-2</v>
      </c>
      <c r="AF4" s="7">
        <v>1.096150139346719E-3</v>
      </c>
      <c r="AG4" s="7">
        <v>2.8850741684436802E-2</v>
      </c>
      <c r="AH4" s="7">
        <v>2.907080203294754E-2</v>
      </c>
      <c r="AI4" s="7">
        <v>-1.015707012265921E-2</v>
      </c>
      <c r="AJ4" s="7">
        <v>4.4545106589794159E-2</v>
      </c>
      <c r="AK4" s="7">
        <v>-1.327527966350317E-2</v>
      </c>
      <c r="AL4" s="7">
        <v>1.4735002070665359E-2</v>
      </c>
      <c r="AM4" s="7">
        <v>5.2847121842205516E-3</v>
      </c>
      <c r="AN4" s="7">
        <v>4.7137059271335602E-2</v>
      </c>
      <c r="AO4" s="7">
        <v>7.4655739590525627E-3</v>
      </c>
      <c r="AP4" s="7">
        <v>4.6993391588330269E-3</v>
      </c>
      <c r="AQ4" s="7">
        <v>2.0851189270615581E-2</v>
      </c>
      <c r="AR4" s="7">
        <v>5.4104723036289222E-2</v>
      </c>
      <c r="AS4" s="7">
        <v>-5.646181758493185E-3</v>
      </c>
      <c r="AT4" s="7">
        <v>4.0453299880027771E-3</v>
      </c>
      <c r="AU4" s="7">
        <v>2.0628450438380241E-2</v>
      </c>
      <c r="AV4" s="7">
        <v>2.111388556659222E-2</v>
      </c>
      <c r="AW4" s="7">
        <v>-4.1878089308738708E-2</v>
      </c>
      <c r="AX4" s="7">
        <v>1.5781458467245098E-2</v>
      </c>
      <c r="AY4" s="7">
        <v>-2.299829013645649E-2</v>
      </c>
      <c r="AZ4" s="7">
        <v>5.878029391169548E-3</v>
      </c>
      <c r="BA4" s="7">
        <v>-2.1811418235301971E-2</v>
      </c>
      <c r="BB4" s="7">
        <v>-7.6676465570926666E-2</v>
      </c>
      <c r="BC4" s="7">
        <v>1.004549115896225E-2</v>
      </c>
      <c r="BD4" s="7">
        <v>-4.7882307320833213E-2</v>
      </c>
      <c r="BE4" s="7">
        <v>-6.8554230034351349E-2</v>
      </c>
      <c r="BF4" s="7">
        <v>-8.2745306193828583E-2</v>
      </c>
      <c r="BG4" s="7">
        <v>-0.1204242408275604</v>
      </c>
      <c r="BH4" s="7">
        <v>-0.10103762894868849</v>
      </c>
      <c r="BI4" s="7">
        <v>-3.9490096271038062E-2</v>
      </c>
      <c r="BJ4" s="7">
        <v>-6.4256303012371063E-2</v>
      </c>
      <c r="BK4" s="7">
        <v>-0.14447127282619479</v>
      </c>
      <c r="BL4" s="7">
        <v>-0.1120113208889961</v>
      </c>
      <c r="BM4" s="7">
        <v>-3.4826010465621948E-2</v>
      </c>
      <c r="BN4" s="7">
        <v>-8.5986465215682983E-2</v>
      </c>
      <c r="BO4" s="7">
        <v>-7.0973977446556091E-2</v>
      </c>
      <c r="BP4" s="7">
        <v>-3.4846525639295578E-2</v>
      </c>
      <c r="BQ4" s="7">
        <v>-2.0351750776171681E-2</v>
      </c>
      <c r="BR4" s="7">
        <v>-2.315560914576054E-2</v>
      </c>
      <c r="BS4" s="7">
        <v>-3.2191596925258643E-2</v>
      </c>
      <c r="BT4" s="7">
        <v>-6.8826571106910706E-2</v>
      </c>
      <c r="BU4" s="7">
        <v>-9.2764981091022491E-2</v>
      </c>
      <c r="BV4" s="7">
        <v>-8.1678107380867004E-2</v>
      </c>
      <c r="BW4" s="7">
        <v>-6.8563610315322876E-2</v>
      </c>
      <c r="BX4" s="7">
        <v>-1.983198523521423E-2</v>
      </c>
      <c r="BY4" s="7">
        <v>-6.1186797916889191E-2</v>
      </c>
      <c r="BZ4" s="7">
        <v>-7.0581048727035522E-2</v>
      </c>
      <c r="CA4" s="7">
        <v>-7.2609454393386841E-2</v>
      </c>
      <c r="CB4" s="7">
        <v>-8.8862821459770203E-2</v>
      </c>
      <c r="CC4" s="7">
        <v>-6.5672166645526886E-2</v>
      </c>
      <c r="CD4" s="7">
        <v>-7.0492014288902283E-2</v>
      </c>
      <c r="CE4" s="7">
        <v>-8.9266888797283173E-2</v>
      </c>
      <c r="CF4" s="7">
        <v>-1.9554028287529949E-2</v>
      </c>
      <c r="CG4" s="7">
        <v>-3.8807325065135963E-2</v>
      </c>
      <c r="CH4" s="7">
        <v>-2.6853706687688831E-2</v>
      </c>
      <c r="CI4" s="7">
        <v>-2.3996761068701741E-2</v>
      </c>
      <c r="CJ4" s="7">
        <v>-6.9834161549806586E-3</v>
      </c>
      <c r="CK4" s="7">
        <v>-1.185638178139925E-2</v>
      </c>
      <c r="CL4" s="7">
        <v>-1.1220706626772881E-2</v>
      </c>
      <c r="CM4" s="7">
        <v>-1.975167170166969E-2</v>
      </c>
      <c r="CN4" s="7">
        <v>-1.7389096319675449E-2</v>
      </c>
      <c r="CO4" s="7">
        <v>9.1980240540578961E-4</v>
      </c>
      <c r="CP4" s="7">
        <v>-2.7678526937961578E-2</v>
      </c>
      <c r="CQ4" s="7">
        <v>-2.722612768411636E-2</v>
      </c>
      <c r="CR4" s="7">
        <v>-3.4191105514764793E-2</v>
      </c>
      <c r="CS4" s="7">
        <v>-3.7506073713302612E-2</v>
      </c>
      <c r="CT4" s="7">
        <v>-4.9283858388662338E-2</v>
      </c>
      <c r="CU4" s="7">
        <v>-2.3866469040513039E-2</v>
      </c>
      <c r="CV4" s="7">
        <v>-2.7314594481140379E-3</v>
      </c>
      <c r="CW4" s="7">
        <v>2.5829777121543881E-2</v>
      </c>
      <c r="CX4" s="7">
        <v>-7.7818602323532104E-2</v>
      </c>
      <c r="CY4" s="7">
        <v>-1.714335381984711E-2</v>
      </c>
      <c r="CZ4" s="7">
        <v>6.4833508804440498E-3</v>
      </c>
      <c r="DA4" s="7">
        <v>2.1121479570865631E-2</v>
      </c>
      <c r="DB4" s="7">
        <v>1.6250079497694969E-3</v>
      </c>
      <c r="DC4" s="7">
        <v>1.4495826326310629E-2</v>
      </c>
      <c r="DD4" s="7">
        <v>3.7542592734098428E-2</v>
      </c>
      <c r="DE4" s="7">
        <v>-4.7325566411018372E-2</v>
      </c>
      <c r="DF4" s="7">
        <v>3.3347133547067642E-2</v>
      </c>
      <c r="DG4" s="7">
        <v>-1.8042853102087971E-2</v>
      </c>
      <c r="DH4" s="7">
        <v>-1.2872833758592611E-2</v>
      </c>
      <c r="DI4" s="7">
        <v>2.5734813883900639E-2</v>
      </c>
      <c r="DJ4" s="7">
        <v>1.416372787207365E-2</v>
      </c>
      <c r="DK4" s="7">
        <v>-3.316790983080864E-2</v>
      </c>
      <c r="DL4" s="7">
        <v>-2.1062262356281281E-2</v>
      </c>
      <c r="DM4" s="7">
        <v>1.4148561283946041E-2</v>
      </c>
      <c r="DN4" s="7">
        <v>-1.9859654828906059E-2</v>
      </c>
      <c r="DO4" s="7">
        <v>-3.856055811047554E-2</v>
      </c>
      <c r="DP4" s="7">
        <v>5.259593203663826E-2</v>
      </c>
      <c r="DQ4" s="7">
        <v>5.0834372639656067E-2</v>
      </c>
      <c r="DR4" s="7">
        <v>3.4424390643835068E-2</v>
      </c>
      <c r="DS4" s="7">
        <v>2.6739172637462619E-2</v>
      </c>
      <c r="DT4" s="7">
        <v>-2.2692034021019939E-2</v>
      </c>
      <c r="DU4" s="7">
        <v>2.356254868209362E-2</v>
      </c>
      <c r="DV4" s="7">
        <v>1.1204046197235581E-2</v>
      </c>
      <c r="DW4" s="7">
        <v>9.7593218088150024E-3</v>
      </c>
      <c r="DX4" s="7">
        <v>-1.200891844928265E-2</v>
      </c>
      <c r="DY4" s="7">
        <v>-1.29100177437067E-2</v>
      </c>
      <c r="DZ4" s="7">
        <v>1.4516728930175299E-2</v>
      </c>
      <c r="EA4" s="7">
        <v>2.0058911293745041E-2</v>
      </c>
      <c r="EB4" s="7">
        <v>5.2505847066640847E-2</v>
      </c>
      <c r="EC4" s="7">
        <v>3.2138381153345108E-2</v>
      </c>
      <c r="ED4" s="7">
        <v>-9.5858694985508919E-3</v>
      </c>
      <c r="EE4" s="7">
        <v>1.6591379418969151E-2</v>
      </c>
      <c r="EF4" s="7">
        <v>2.4656090885400769E-2</v>
      </c>
      <c r="EG4" s="1"/>
    </row>
    <row r="5" spans="1:138" x14ac:dyDescent="0.3">
      <c r="B5" s="1" t="s">
        <v>137</v>
      </c>
      <c r="C5" s="7">
        <v>-1.9821943715214729E-2</v>
      </c>
      <c r="D5" s="7">
        <v>-2.4067563936114311E-2</v>
      </c>
      <c r="E5" s="7">
        <v>-7.5782481580972672E-3</v>
      </c>
      <c r="F5" s="7">
        <v>3.8560427725315087E-2</v>
      </c>
      <c r="G5" s="7">
        <v>-7.0930332876741886E-3</v>
      </c>
      <c r="H5" s="7">
        <v>-2.8790984302759171E-2</v>
      </c>
      <c r="I5" s="7">
        <v>-5.0696283578872681E-2</v>
      </c>
      <c r="J5" s="7">
        <v>-1.75021740142256E-3</v>
      </c>
      <c r="K5" s="7">
        <v>-4.8410315066576004E-3</v>
      </c>
      <c r="L5" s="7">
        <v>-2.5085138157010078E-2</v>
      </c>
      <c r="M5" s="7">
        <v>3.4981705248355872E-2</v>
      </c>
      <c r="N5" s="7">
        <v>7.1464717388153076E-2</v>
      </c>
      <c r="O5" s="7">
        <v>4.9568243324756622E-2</v>
      </c>
      <c r="P5" s="7">
        <v>9.211605042219162E-2</v>
      </c>
      <c r="Q5" s="7">
        <v>7.458747923374176E-2</v>
      </c>
      <c r="R5" s="7">
        <v>3.6225240677595139E-2</v>
      </c>
      <c r="S5" s="7">
        <v>6.8880669772624969E-2</v>
      </c>
      <c r="T5" s="7">
        <v>5.0580024719238281E-2</v>
      </c>
      <c r="U5" s="7">
        <v>5.0022769719362259E-2</v>
      </c>
      <c r="V5" s="7">
        <v>6.5072879195213318E-2</v>
      </c>
      <c r="W5" s="7">
        <v>8.2305394113063812E-2</v>
      </c>
      <c r="X5" s="7">
        <v>4.979049414396286E-2</v>
      </c>
      <c r="Y5" s="7">
        <v>0.16213490068912509</v>
      </c>
      <c r="Z5" s="7">
        <v>4.9829393625259399E-2</v>
      </c>
      <c r="AA5" s="7">
        <v>-9.6141993999481201E-3</v>
      </c>
      <c r="AB5" s="7">
        <v>-9.4462800770998001E-3</v>
      </c>
      <c r="AC5" s="7">
        <v>-1.5571466647088529E-2</v>
      </c>
      <c r="AD5" s="7">
        <v>-5.6024580262601384E-3</v>
      </c>
      <c r="AE5" s="7">
        <v>2.4225909262895581E-2</v>
      </c>
      <c r="AF5" s="7">
        <v>6.4355872571468353E-2</v>
      </c>
      <c r="AG5" s="7">
        <v>6.0781430453062057E-2</v>
      </c>
      <c r="AH5" s="7">
        <v>2.877256274223328E-2</v>
      </c>
      <c r="AI5" s="7">
        <v>4.2393732815980911E-2</v>
      </c>
      <c r="AJ5" s="7">
        <v>1.3549104332923889E-2</v>
      </c>
      <c r="AK5" s="7">
        <v>0.104340173304081</v>
      </c>
      <c r="AL5" s="7">
        <v>2.3477694019675251E-2</v>
      </c>
      <c r="AM5" s="7">
        <v>4.9679871648550027E-2</v>
      </c>
      <c r="AN5" s="7">
        <v>-1.9429741427302361E-2</v>
      </c>
      <c r="AO5" s="7">
        <v>-9.9202198907732964E-3</v>
      </c>
      <c r="AP5" s="7">
        <v>1.375884562730789E-2</v>
      </c>
      <c r="AQ5" s="7">
        <v>-4.9647921696305266E-3</v>
      </c>
      <c r="AR5" s="7">
        <v>-1.355784293264151E-2</v>
      </c>
      <c r="AS5" s="7">
        <v>-2.6926254853606221E-2</v>
      </c>
      <c r="AT5" s="7">
        <v>-7.0274341851472846E-3</v>
      </c>
      <c r="AU5" s="7">
        <v>9.5545966178178787E-3</v>
      </c>
      <c r="AV5" s="7">
        <v>3.9484385401010513E-2</v>
      </c>
      <c r="AW5" s="7">
        <v>1.0149263776838779E-2</v>
      </c>
      <c r="AX5" s="7">
        <v>2.7402361854910851E-2</v>
      </c>
      <c r="AY5" s="7">
        <v>3.636043518781662E-2</v>
      </c>
      <c r="AZ5" s="7">
        <v>-1.262158527970314E-2</v>
      </c>
      <c r="BA5" s="7">
        <v>5.0261570140719414E-3</v>
      </c>
      <c r="BB5" s="7">
        <v>3.7919752299785607E-2</v>
      </c>
      <c r="BC5" s="7">
        <v>5.3017329424619668E-2</v>
      </c>
      <c r="BD5" s="7">
        <v>-5.6791070848703377E-2</v>
      </c>
      <c r="BE5" s="7">
        <v>-1.0663941502571109E-2</v>
      </c>
      <c r="BF5" s="7">
        <v>-4.5907318592071533E-2</v>
      </c>
      <c r="BG5" s="7">
        <v>-4.1811093688011169E-2</v>
      </c>
      <c r="BH5" s="7">
        <v>-8.6124790832400322E-3</v>
      </c>
      <c r="BI5" s="7">
        <v>5.799414124339819E-3</v>
      </c>
      <c r="BJ5" s="7">
        <v>-1.243619527667761E-2</v>
      </c>
      <c r="BK5" s="7">
        <v>2.8031732887029651E-2</v>
      </c>
      <c r="BL5" s="7">
        <v>1.237457524985075E-2</v>
      </c>
      <c r="BM5" s="7">
        <v>3.3071968704462051E-2</v>
      </c>
      <c r="BN5" s="7">
        <v>5.3148314356803887E-2</v>
      </c>
      <c r="BO5" s="7">
        <v>-2.6408641133457422E-4</v>
      </c>
      <c r="BP5" s="7">
        <v>2.5249753147363659E-2</v>
      </c>
      <c r="BQ5" s="7">
        <v>1.6997437924146649E-2</v>
      </c>
      <c r="BR5" s="7">
        <v>3.9869185537099838E-2</v>
      </c>
      <c r="BS5" s="7">
        <v>1.4649398624897E-2</v>
      </c>
      <c r="BT5" s="7">
        <v>-1.352826133370399E-3</v>
      </c>
      <c r="BU5" s="7">
        <v>-1.624243147671223E-2</v>
      </c>
      <c r="BV5" s="7">
        <v>-1.9686918705701831E-2</v>
      </c>
      <c r="BW5" s="7">
        <v>1.865353994071484E-2</v>
      </c>
      <c r="BX5" s="7">
        <v>1.243885513395071E-2</v>
      </c>
      <c r="BY5" s="7">
        <v>1.172025687992573E-2</v>
      </c>
      <c r="BZ5" s="7">
        <v>2.6449056342244152E-2</v>
      </c>
      <c r="CA5" s="7">
        <v>2.04578060656786E-2</v>
      </c>
      <c r="CB5" s="7">
        <v>-1.0790687054395681E-2</v>
      </c>
      <c r="CC5" s="7">
        <v>2.7279853820800781E-2</v>
      </c>
      <c r="CD5" s="7">
        <v>-2.825878094881773E-3</v>
      </c>
      <c r="CE5" s="7">
        <v>-3.9107587188482278E-2</v>
      </c>
      <c r="CF5" s="7">
        <v>2.643934823572636E-2</v>
      </c>
      <c r="CG5" s="7">
        <v>-1.353815849870443E-2</v>
      </c>
      <c r="CH5" s="7">
        <v>3.3741135150194168E-2</v>
      </c>
      <c r="CI5" s="7">
        <v>-1.802918687462807E-2</v>
      </c>
      <c r="CJ5" s="7">
        <v>7.7282674610614777E-3</v>
      </c>
      <c r="CK5" s="7">
        <v>4.5171476900577552E-2</v>
      </c>
      <c r="CL5" s="7">
        <v>-1.4336470048874621E-3</v>
      </c>
      <c r="CM5" s="7">
        <v>-4.3408293277025223E-2</v>
      </c>
      <c r="CN5" s="7">
        <v>-4.8494711518287659E-2</v>
      </c>
      <c r="CO5" s="7">
        <v>-3.4412361681461327E-2</v>
      </c>
      <c r="CP5" s="7">
        <v>-3.1831637024879463E-2</v>
      </c>
      <c r="CQ5" s="7">
        <v>-2.954593114554882E-2</v>
      </c>
      <c r="CR5" s="7">
        <v>-4.6193767338991172E-2</v>
      </c>
      <c r="CS5" s="7">
        <v>-2.2423639893531799E-2</v>
      </c>
      <c r="CT5" s="7">
        <v>2.7818739414215091E-2</v>
      </c>
      <c r="CU5" s="7">
        <v>3.4685932099819183E-2</v>
      </c>
      <c r="CV5" s="7">
        <v>2.074115909636021E-2</v>
      </c>
      <c r="CW5" s="7">
        <v>3.9250623434782028E-2</v>
      </c>
      <c r="CX5" s="7">
        <v>2.3623250424861911E-2</v>
      </c>
      <c r="CY5" s="7">
        <v>2.0947696641087529E-2</v>
      </c>
      <c r="CZ5" s="7">
        <v>2.7976941782981162E-3</v>
      </c>
      <c r="DA5" s="7">
        <v>3.1392037868499763E-2</v>
      </c>
      <c r="DB5" s="7">
        <v>2.502433024346828E-3</v>
      </c>
      <c r="DC5" s="7">
        <v>4.6531397849321372E-2</v>
      </c>
      <c r="DD5" s="7">
        <v>3.7525448948144913E-2</v>
      </c>
      <c r="DE5" s="7">
        <v>6.0277972370386117E-2</v>
      </c>
      <c r="DF5" s="7">
        <v>-1.6737030819058418E-2</v>
      </c>
      <c r="DG5" s="7">
        <v>-9.5816031098365784E-3</v>
      </c>
      <c r="DH5" s="7">
        <v>2.3357640951871868E-2</v>
      </c>
      <c r="DI5" s="7">
        <v>-4.1918892413377762E-2</v>
      </c>
      <c r="DJ5" s="7">
        <v>-1.131146331317723E-3</v>
      </c>
      <c r="DK5" s="7">
        <v>4.1163764894008643E-2</v>
      </c>
      <c r="DL5" s="7">
        <v>2.8391024097800251E-2</v>
      </c>
      <c r="DM5" s="7">
        <v>-2.8915755450725559E-2</v>
      </c>
      <c r="DN5" s="7">
        <v>-1.6116663813591E-2</v>
      </c>
      <c r="DO5" s="7">
        <v>-4.4103553518652916E-3</v>
      </c>
      <c r="DP5" s="7">
        <v>-2.803636156022549E-2</v>
      </c>
      <c r="DQ5" s="7">
        <v>3.730235388502479E-3</v>
      </c>
      <c r="DR5" s="7">
        <v>4.8961839638650417E-3</v>
      </c>
      <c r="DS5" s="7">
        <v>1.518423017114401E-2</v>
      </c>
      <c r="DT5" s="7">
        <v>-2.709389291703701E-2</v>
      </c>
      <c r="DU5" s="7">
        <v>2.157741412520409E-2</v>
      </c>
      <c r="DV5" s="7">
        <v>-1.6142900567501779E-3</v>
      </c>
      <c r="DW5" s="7">
        <v>-4.1363826021552086E-3</v>
      </c>
      <c r="DX5" s="7">
        <v>-4.4376425445079803E-2</v>
      </c>
      <c r="DY5" s="7">
        <v>-3.3609867095947273E-2</v>
      </c>
      <c r="DZ5" s="7">
        <v>-4.8759568482637412E-2</v>
      </c>
      <c r="EA5" s="7">
        <v>5.7486207224428654E-3</v>
      </c>
      <c r="EB5" s="7">
        <v>5.8685941621661186E-3</v>
      </c>
      <c r="EC5" s="7">
        <v>4.229099303483963E-2</v>
      </c>
      <c r="ED5" s="7">
        <v>2.5345668196678162E-2</v>
      </c>
      <c r="EE5" s="7">
        <v>7.0743728429079056E-3</v>
      </c>
      <c r="EF5" s="7">
        <v>3.71592678129673E-2</v>
      </c>
      <c r="EG5" s="1"/>
    </row>
    <row r="6" spans="1:138" x14ac:dyDescent="0.3">
      <c r="A6" s="10" t="s">
        <v>138</v>
      </c>
      <c r="B6" s="11"/>
      <c r="C6" s="7">
        <f t="array" ref="C6">MATCH(MAX(ABS(C3:C5)), ABS(C3:C5), 0)</f>
        <v>1</v>
      </c>
      <c r="D6" s="7">
        <f t="array" ref="D6">MATCH(MAX(ABS(D3:D5)), ABS(D3:D5), 0)</f>
        <v>2</v>
      </c>
      <c r="E6" s="7">
        <f t="array" ref="E6">MATCH(MAX(ABS(E3:E5)), ABS(E3:E5), 0)</f>
        <v>1</v>
      </c>
      <c r="F6" s="7">
        <f t="array" ref="F6">MATCH(MAX(ABS(F3:F5)), ABS(F3:F5), 0)</f>
        <v>1</v>
      </c>
      <c r="G6" s="7">
        <f t="array" ref="G6">MATCH(MAX(ABS(G3:G5)), ABS(G3:G5), 0)</f>
        <v>1</v>
      </c>
      <c r="H6" s="7">
        <f t="array" ref="H6">MATCH(MAX(ABS(H3:H5)), ABS(H3:H5), 0)</f>
        <v>1</v>
      </c>
      <c r="I6" s="7">
        <f t="array" ref="I6">MATCH(MAX(ABS(I3:I5)), ABS(I3:I5), 0)</f>
        <v>1</v>
      </c>
      <c r="J6" s="7">
        <f t="array" ref="J6">MATCH(MAX(ABS(J3:J5)), ABS(J3:J5), 0)</f>
        <v>2</v>
      </c>
      <c r="K6" s="7">
        <f t="array" ref="K6">MATCH(MAX(ABS(K3:K5)), ABS(K3:K5), 0)</f>
        <v>1</v>
      </c>
      <c r="L6" s="7">
        <f t="array" ref="L6">MATCH(MAX(ABS(L3:L5)), ABS(L3:L5), 0)</f>
        <v>1</v>
      </c>
      <c r="M6" s="7">
        <f t="array" ref="M6">MATCH(MAX(ABS(M3:M5)), ABS(M3:M5), 0)</f>
        <v>3</v>
      </c>
      <c r="N6" s="7">
        <f t="array" ref="N6">MATCH(MAX(ABS(N3:N5)), ABS(N3:N5), 0)</f>
        <v>1</v>
      </c>
      <c r="O6" s="7">
        <f t="array" ref="O6">MATCH(MAX(ABS(O3:O5)), ABS(O3:O5), 0)</f>
        <v>2</v>
      </c>
      <c r="P6" s="7">
        <f t="array" ref="P6">MATCH(MAX(ABS(P3:P5)), ABS(P3:P5), 0)</f>
        <v>3</v>
      </c>
      <c r="Q6" s="7">
        <f t="array" ref="Q6">MATCH(MAX(ABS(Q3:Q5)), ABS(Q3:Q5), 0)</f>
        <v>1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2</v>
      </c>
      <c r="U6" s="7">
        <f t="array" ref="U6">MATCH(MAX(ABS(U3:U5)), ABS(U3:U5), 0)</f>
        <v>1</v>
      </c>
      <c r="V6" s="7">
        <f t="array" ref="V6">MATCH(MAX(ABS(V3:V5)), ABS(V3:V5), 0)</f>
        <v>3</v>
      </c>
      <c r="W6" s="7">
        <f t="array" ref="W6">MATCH(MAX(ABS(W3:W5)), ABS(W3:W5), 0)</f>
        <v>3</v>
      </c>
      <c r="X6" s="7">
        <f t="array" ref="X6">MATCH(MAX(ABS(X3:X5)), ABS(X3:X5), 0)</f>
        <v>2</v>
      </c>
      <c r="Y6" s="7">
        <f t="array" ref="Y6">MATCH(MAX(ABS(Y3:Y5)), ABS(Y3:Y5), 0)</f>
        <v>3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2</v>
      </c>
      <c r="AC6" s="7">
        <f t="array" ref="AC6">MATCH(MAX(ABS(AC3:AC5)), ABS(AC3:AC5), 0)</f>
        <v>1</v>
      </c>
      <c r="AD6" s="7">
        <f t="array" ref="AD6">MATCH(MAX(ABS(AD3:AD5)), ABS(AD3:AD5), 0)</f>
        <v>2</v>
      </c>
      <c r="AE6" s="7">
        <f t="array" ref="AE6">MATCH(MAX(ABS(AE3:AE5)), ABS(AE3:AE5), 0)</f>
        <v>2</v>
      </c>
      <c r="AF6" s="7">
        <f t="array" ref="AF6">MATCH(MAX(ABS(AF3:AF5)), ABS(AF3:AF5), 0)</f>
        <v>3</v>
      </c>
      <c r="AG6" s="7">
        <f t="array" ref="AG6">MATCH(MAX(ABS(AG3:AG5)), ABS(AG3:AG5), 0)</f>
        <v>3</v>
      </c>
      <c r="AH6" s="7">
        <f t="array" ref="AH6">MATCH(MAX(ABS(AH3:AH5)), ABS(AH3:AH5), 0)</f>
        <v>2</v>
      </c>
      <c r="AI6" s="7">
        <f t="array" ref="AI6">MATCH(MAX(ABS(AI3:AI5)), ABS(AI3:AI5), 0)</f>
        <v>3</v>
      </c>
      <c r="AJ6" s="7">
        <f t="array" ref="AJ6">MATCH(MAX(ABS(AJ3:AJ5)), ABS(AJ3:AJ5), 0)</f>
        <v>2</v>
      </c>
      <c r="AK6" s="7">
        <f t="array" ref="AK6">MATCH(MAX(ABS(AK3:AK5)), ABS(AK3:AK5), 0)</f>
        <v>3</v>
      </c>
      <c r="AL6" s="7">
        <f t="array" ref="AL6">MATCH(MAX(ABS(AL3:AL5)), ABS(AL3:AL5), 0)</f>
        <v>3</v>
      </c>
      <c r="AM6" s="7">
        <f t="array" ref="AM6">MATCH(MAX(ABS(AM3:AM5)), ABS(AM3:AM5), 0)</f>
        <v>3</v>
      </c>
      <c r="AN6" s="7">
        <f t="array" ref="AN6">MATCH(MAX(ABS(AN3:AN5)), ABS(AN3:AN5), 0)</f>
        <v>2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2</v>
      </c>
      <c r="AS6" s="7">
        <f t="array" ref="AS6">MATCH(MAX(ABS(AS3:AS5)), ABS(AS3:AS5), 0)</f>
        <v>3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3</v>
      </c>
      <c r="AY6" s="7">
        <f t="array" ref="AY6">MATCH(MAX(ABS(AY3:AY5)), ABS(AY3:AY5), 0)</f>
        <v>3</v>
      </c>
      <c r="AZ6" s="7">
        <f t="array" ref="AZ6">MATCH(MAX(ABS(AZ3:AZ5)), ABS(AZ3:AZ5), 0)</f>
        <v>1</v>
      </c>
      <c r="BA6" s="7">
        <f t="array" ref="BA6">MATCH(MAX(ABS(BA3:BA5)), ABS(BA3:BA5), 0)</f>
        <v>1</v>
      </c>
      <c r="BB6" s="7">
        <f t="array" ref="BB6">MATCH(MAX(ABS(BB3:BB5)), ABS(BB3:BB5), 0)</f>
        <v>2</v>
      </c>
      <c r="BC6" s="7">
        <f t="array" ref="BC6">MATCH(MAX(ABS(BC3:BC5)), ABS(BC3:BC5), 0)</f>
        <v>3</v>
      </c>
      <c r="BD6" s="7">
        <f t="array" ref="BD6">MATCH(MAX(ABS(BD3:BD5)), ABS(BD3:BD5), 0)</f>
        <v>1</v>
      </c>
      <c r="BE6" s="7">
        <f t="array" ref="BE6">MATCH(MAX(ABS(BE3:BE5)), ABS(BE3:BE5), 0)</f>
        <v>2</v>
      </c>
      <c r="BF6" s="7">
        <f t="array" ref="BF6">MATCH(MAX(ABS(BF3:BF5)), ABS(BF3:BF5), 0)</f>
        <v>2</v>
      </c>
      <c r="BG6" s="7">
        <f t="array" ref="BG6">MATCH(MAX(ABS(BG3:BG5)), ABS(BG3:BG5), 0)</f>
        <v>2</v>
      </c>
      <c r="BH6" s="7">
        <f t="array" ref="BH6">MATCH(MAX(ABS(BH3:BH5)), ABS(BH3:BH5), 0)</f>
        <v>2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2</v>
      </c>
      <c r="BL6" s="7">
        <f t="array" ref="BL6">MATCH(MAX(ABS(BL3:BL5)), ABS(BL3:BL5), 0)</f>
        <v>2</v>
      </c>
      <c r="BM6" s="7">
        <f t="array" ref="BM6">MATCH(MAX(ABS(BM3:BM5)), ABS(BM3:BM5), 0)</f>
        <v>2</v>
      </c>
      <c r="BN6" s="7">
        <f t="array" ref="BN6">MATCH(MAX(ABS(BN3:BN5)), ABS(BN3:BN5), 0)</f>
        <v>2</v>
      </c>
      <c r="BO6" s="7">
        <f t="array" ref="BO6">MATCH(MAX(ABS(BO3:BO5)), ABS(BO3:BO5), 0)</f>
        <v>2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3</v>
      </c>
      <c r="BS6" s="7">
        <f t="array" ref="BS6">MATCH(MAX(ABS(BS3:BS5)), ABS(BS3:BS5), 0)</f>
        <v>1</v>
      </c>
      <c r="BT6" s="7">
        <f t="array" ref="BT6">MATCH(MAX(ABS(BT3:BT5)), ABS(BT3:BT5), 0)</f>
        <v>2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2</v>
      </c>
      <c r="BZ6" s="7">
        <f t="array" ref="BZ6">MATCH(MAX(ABS(BZ3:BZ5)), ABS(BZ3:BZ5), 0)</f>
        <v>1</v>
      </c>
      <c r="CA6" s="7">
        <f t="array" ref="CA6">MATCH(MAX(ABS(CA3:CA5)), ABS(CA3:CA5), 0)</f>
        <v>2</v>
      </c>
      <c r="CB6" s="7">
        <f t="array" ref="CB6">MATCH(MAX(ABS(CB3:CB5)), ABS(CB3:CB5), 0)</f>
        <v>2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3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2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3</v>
      </c>
      <c r="CN6" s="7">
        <f t="array" ref="CN6">MATCH(MAX(ABS(CN3:CN5)), ABS(CN3:CN5), 0)</f>
        <v>3</v>
      </c>
      <c r="CO6" s="7">
        <f t="array" ref="CO6">MATCH(MAX(ABS(CO3:CO5)), ABS(CO3:CO5), 0)</f>
        <v>3</v>
      </c>
      <c r="CP6" s="7">
        <f t="array" ref="CP6">MATCH(MAX(ABS(CP3:CP5)), ABS(CP3:CP5), 0)</f>
        <v>1</v>
      </c>
      <c r="CQ6" s="7">
        <f t="array" ref="CQ6">MATCH(MAX(ABS(CQ3:CQ5)), ABS(CQ3:CQ5), 0)</f>
        <v>1</v>
      </c>
      <c r="CR6" s="7">
        <f t="array" ref="CR6">MATCH(MAX(ABS(CR3:CR5)), ABS(CR3:CR5), 0)</f>
        <v>1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2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3</v>
      </c>
      <c r="DD6" s="7">
        <f t="array" ref="DD6">MATCH(MAX(ABS(DD3:DD5)), ABS(DD3:DD5), 0)</f>
        <v>1</v>
      </c>
      <c r="DE6" s="7">
        <f t="array" ref="DE6">MATCH(MAX(ABS(DE3:DE5)), ABS(DE3:DE5), 0)</f>
        <v>3</v>
      </c>
      <c r="DF6" s="7">
        <f t="array" ref="DF6">MATCH(MAX(ABS(DF3:DF5)), ABS(DF3:DF5), 0)</f>
        <v>2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3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3</v>
      </c>
      <c r="DM6" s="7">
        <f t="array" ref="DM6">MATCH(MAX(ABS(DM3:DM5)), ABS(DM3:DM5), 0)</f>
        <v>1</v>
      </c>
      <c r="DN6" s="7">
        <f t="array" ref="DN6">MATCH(MAX(ABS(DN3:DN5)), ABS(DN3:DN5), 0)</f>
        <v>2</v>
      </c>
      <c r="DO6" s="7">
        <f t="array" ref="DO6">MATCH(MAX(ABS(DO3:DO5)), ABS(DO3:DO5), 0)</f>
        <v>2</v>
      </c>
      <c r="DP6" s="7">
        <f t="array" ref="DP6">MATCH(MAX(ABS(DP3:DP5)), ABS(DP3:DP5), 0)</f>
        <v>2</v>
      </c>
      <c r="DQ6" s="7">
        <f t="array" ref="DQ6">MATCH(MAX(ABS(DQ3:DQ5)), ABS(DQ3:DQ5), 0)</f>
        <v>2</v>
      </c>
      <c r="DR6" s="7">
        <f t="array" ref="DR6">MATCH(MAX(ABS(DR3:DR5)), ABS(DR3:DR5), 0)</f>
        <v>2</v>
      </c>
      <c r="DS6" s="7">
        <f t="array" ref="DS6">MATCH(MAX(ABS(DS3:DS5)), ABS(DS3:DS5), 0)</f>
        <v>2</v>
      </c>
      <c r="DT6" s="7">
        <f t="array" ref="DT6">MATCH(MAX(ABS(DT3:DT5)), ABS(DT3:DT5), 0)</f>
        <v>1</v>
      </c>
      <c r="DU6" s="7">
        <f t="array" ref="DU6">MATCH(MAX(ABS(DU3:DU5)), ABS(DU3:DU5), 0)</f>
        <v>1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2</v>
      </c>
      <c r="EC6" s="7">
        <f t="array" ref="EC6">MATCH(MAX(ABS(EC3:EC5)), ABS(EC3:EC5), 0)</f>
        <v>3</v>
      </c>
      <c r="ED6" s="7">
        <f t="array" ref="ED6">MATCH(MAX(ABS(ED3:ED5)), ABS(ED3:ED5), 0)</f>
        <v>1</v>
      </c>
      <c r="EE6" s="7">
        <f t="array" ref="EE6">MATCH(MAX(ABS(EE3:EE5)), ABS(EE3:EE5), 0)</f>
        <v>2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8" x14ac:dyDescent="0.3">
      <c r="C7" s="7" t="str">
        <f t="shared" ref="C7:BN7" si="0">IF(C6=1,"bm",IF(C6=2,"size",IF(C6=3,"mom")))</f>
        <v>bm</v>
      </c>
      <c r="D7" s="7" t="str">
        <f t="shared" si="0"/>
        <v>size</v>
      </c>
      <c r="E7" s="7" t="str">
        <f t="shared" si="0"/>
        <v>bm</v>
      </c>
      <c r="F7" s="7" t="str">
        <f t="shared" si="0"/>
        <v>bm</v>
      </c>
      <c r="G7" s="7" t="str">
        <f t="shared" si="0"/>
        <v>bm</v>
      </c>
      <c r="H7" s="7" t="str">
        <f t="shared" si="0"/>
        <v>bm</v>
      </c>
      <c r="I7" s="7" t="str">
        <f t="shared" si="0"/>
        <v>bm</v>
      </c>
      <c r="J7" s="7" t="str">
        <f t="shared" si="0"/>
        <v>size</v>
      </c>
      <c r="K7" s="7" t="str">
        <f t="shared" si="0"/>
        <v>bm</v>
      </c>
      <c r="L7" s="7" t="str">
        <f t="shared" si="0"/>
        <v>bm</v>
      </c>
      <c r="M7" s="7" t="str">
        <f t="shared" si="0"/>
        <v>mom</v>
      </c>
      <c r="N7" s="7" t="str">
        <f t="shared" si="0"/>
        <v>bm</v>
      </c>
      <c r="O7" s="7" t="str">
        <f t="shared" si="0"/>
        <v>size</v>
      </c>
      <c r="P7" s="7" t="str">
        <f t="shared" si="0"/>
        <v>mom</v>
      </c>
      <c r="Q7" s="7" t="str">
        <f t="shared" si="0"/>
        <v>bm</v>
      </c>
      <c r="R7" s="7" t="str">
        <f t="shared" si="0"/>
        <v>size</v>
      </c>
      <c r="S7" s="7" t="str">
        <f t="shared" si="0"/>
        <v>size</v>
      </c>
      <c r="T7" s="7" t="str">
        <f t="shared" si="0"/>
        <v>size</v>
      </c>
      <c r="U7" s="7" t="str">
        <f t="shared" si="0"/>
        <v>bm</v>
      </c>
      <c r="V7" s="7" t="str">
        <f t="shared" si="0"/>
        <v>mom</v>
      </c>
      <c r="W7" s="7" t="str">
        <f t="shared" si="0"/>
        <v>mom</v>
      </c>
      <c r="X7" s="7" t="str">
        <f t="shared" si="0"/>
        <v>size</v>
      </c>
      <c r="Y7" s="7" t="str">
        <f t="shared" si="0"/>
        <v>mom</v>
      </c>
      <c r="Z7" s="7" t="str">
        <f t="shared" si="0"/>
        <v>size</v>
      </c>
      <c r="AA7" s="7" t="str">
        <f t="shared" si="0"/>
        <v>size</v>
      </c>
      <c r="AB7" s="7" t="str">
        <f t="shared" si="0"/>
        <v>size</v>
      </c>
      <c r="AC7" s="7" t="str">
        <f t="shared" si="0"/>
        <v>bm</v>
      </c>
      <c r="AD7" s="7" t="str">
        <f t="shared" si="0"/>
        <v>size</v>
      </c>
      <c r="AE7" s="7" t="str">
        <f t="shared" si="0"/>
        <v>size</v>
      </c>
      <c r="AF7" s="7" t="str">
        <f t="shared" si="0"/>
        <v>mom</v>
      </c>
      <c r="AG7" s="7" t="str">
        <f t="shared" si="0"/>
        <v>mom</v>
      </c>
      <c r="AH7" s="7" t="str">
        <f t="shared" si="0"/>
        <v>size</v>
      </c>
      <c r="AI7" s="7" t="str">
        <f t="shared" si="0"/>
        <v>mom</v>
      </c>
      <c r="AJ7" s="7" t="str">
        <f t="shared" si="0"/>
        <v>size</v>
      </c>
      <c r="AK7" s="7" t="str">
        <f t="shared" si="0"/>
        <v>mom</v>
      </c>
      <c r="AL7" s="7" t="str">
        <f t="shared" si="0"/>
        <v>mom</v>
      </c>
      <c r="AM7" s="7" t="str">
        <f t="shared" si="0"/>
        <v>mom</v>
      </c>
      <c r="AN7" s="7" t="str">
        <f t="shared" si="0"/>
        <v>size</v>
      </c>
      <c r="AO7" s="7" t="str">
        <f t="shared" si="0"/>
        <v>bm</v>
      </c>
      <c r="AP7" s="7" t="str">
        <f t="shared" si="0"/>
        <v>bm</v>
      </c>
      <c r="AQ7" s="7" t="str">
        <f t="shared" si="0"/>
        <v>bm</v>
      </c>
      <c r="AR7" s="7" t="str">
        <f t="shared" si="0"/>
        <v>size</v>
      </c>
      <c r="AS7" s="7" t="str">
        <f t="shared" si="0"/>
        <v>mom</v>
      </c>
      <c r="AT7" s="7" t="str">
        <f t="shared" si="0"/>
        <v>bm</v>
      </c>
      <c r="AU7" s="7" t="str">
        <f t="shared" si="0"/>
        <v>bm</v>
      </c>
      <c r="AV7" s="7" t="str">
        <f t="shared" si="0"/>
        <v>bm</v>
      </c>
      <c r="AW7" s="7" t="str">
        <f t="shared" si="0"/>
        <v>bm</v>
      </c>
      <c r="AX7" s="7" t="str">
        <f t="shared" si="0"/>
        <v>mom</v>
      </c>
      <c r="AY7" s="7" t="str">
        <f t="shared" si="0"/>
        <v>mom</v>
      </c>
      <c r="AZ7" s="7" t="str">
        <f t="shared" si="0"/>
        <v>bm</v>
      </c>
      <c r="BA7" s="7" t="str">
        <f t="shared" si="0"/>
        <v>bm</v>
      </c>
      <c r="BB7" s="7" t="str">
        <f t="shared" si="0"/>
        <v>size</v>
      </c>
      <c r="BC7" s="7" t="str">
        <f t="shared" si="0"/>
        <v>mom</v>
      </c>
      <c r="BD7" s="7" t="str">
        <f t="shared" si="0"/>
        <v>bm</v>
      </c>
      <c r="BE7" s="7" t="str">
        <f t="shared" si="0"/>
        <v>size</v>
      </c>
      <c r="BF7" s="7" t="str">
        <f t="shared" si="0"/>
        <v>size</v>
      </c>
      <c r="BG7" s="7" t="str">
        <f t="shared" si="0"/>
        <v>size</v>
      </c>
      <c r="BH7" s="7" t="str">
        <f t="shared" si="0"/>
        <v>size</v>
      </c>
      <c r="BI7" s="7" t="str">
        <f t="shared" si="0"/>
        <v>bm</v>
      </c>
      <c r="BJ7" s="7" t="str">
        <f t="shared" si="0"/>
        <v>bm</v>
      </c>
      <c r="BK7" s="7" t="str">
        <f t="shared" si="0"/>
        <v>size</v>
      </c>
      <c r="BL7" s="7" t="str">
        <f t="shared" si="0"/>
        <v>size</v>
      </c>
      <c r="BM7" s="7" t="str">
        <f t="shared" si="0"/>
        <v>size</v>
      </c>
      <c r="BN7" s="7" t="str">
        <f t="shared" si="0"/>
        <v>size</v>
      </c>
      <c r="BO7" s="7" t="str">
        <f t="shared" ref="BO7:DZ7" si="1">IF(BO6=1,"bm",IF(BO6=2,"size",IF(BO6=3,"mom")))</f>
        <v>size</v>
      </c>
      <c r="BP7" s="7" t="str">
        <f t="shared" si="1"/>
        <v>bm</v>
      </c>
      <c r="BQ7" s="7" t="str">
        <f t="shared" si="1"/>
        <v>bm</v>
      </c>
      <c r="BR7" s="7" t="str">
        <f t="shared" si="1"/>
        <v>mom</v>
      </c>
      <c r="BS7" s="7" t="str">
        <f t="shared" si="1"/>
        <v>bm</v>
      </c>
      <c r="BT7" s="7" t="str">
        <f t="shared" si="1"/>
        <v>size</v>
      </c>
      <c r="BU7" s="7" t="str">
        <f t="shared" si="1"/>
        <v>bm</v>
      </c>
      <c r="BV7" s="7" t="str">
        <f t="shared" si="1"/>
        <v>bm</v>
      </c>
      <c r="BW7" s="7" t="str">
        <f t="shared" si="1"/>
        <v>bm</v>
      </c>
      <c r="BX7" s="7" t="str">
        <f t="shared" si="1"/>
        <v>bm</v>
      </c>
      <c r="BY7" s="7" t="str">
        <f t="shared" si="1"/>
        <v>size</v>
      </c>
      <c r="BZ7" s="7" t="str">
        <f t="shared" si="1"/>
        <v>bm</v>
      </c>
      <c r="CA7" s="7" t="str">
        <f t="shared" si="1"/>
        <v>size</v>
      </c>
      <c r="CB7" s="7" t="str">
        <f t="shared" si="1"/>
        <v>size</v>
      </c>
      <c r="CC7" s="7" t="str">
        <f t="shared" si="1"/>
        <v>size</v>
      </c>
      <c r="CD7" s="7" t="str">
        <f t="shared" si="1"/>
        <v>size</v>
      </c>
      <c r="CE7" s="7" t="str">
        <f t="shared" si="1"/>
        <v>size</v>
      </c>
      <c r="CF7" s="7" t="str">
        <f t="shared" si="1"/>
        <v>mom</v>
      </c>
      <c r="CG7" s="7" t="str">
        <f t="shared" si="1"/>
        <v>size</v>
      </c>
      <c r="CH7" s="7" t="str">
        <f t="shared" si="1"/>
        <v>bm</v>
      </c>
      <c r="CI7" s="7" t="str">
        <f t="shared" si="1"/>
        <v>size</v>
      </c>
      <c r="CJ7" s="7" t="str">
        <f t="shared" si="1"/>
        <v>bm</v>
      </c>
      <c r="CK7" s="7" t="str">
        <f t="shared" si="1"/>
        <v>bm</v>
      </c>
      <c r="CL7" s="7" t="str">
        <f t="shared" si="1"/>
        <v>bm</v>
      </c>
      <c r="CM7" s="7" t="str">
        <f t="shared" si="1"/>
        <v>mom</v>
      </c>
      <c r="CN7" s="7" t="str">
        <f t="shared" si="1"/>
        <v>mom</v>
      </c>
      <c r="CO7" s="7" t="str">
        <f t="shared" si="1"/>
        <v>mom</v>
      </c>
      <c r="CP7" s="7" t="str">
        <f t="shared" si="1"/>
        <v>bm</v>
      </c>
      <c r="CQ7" s="7" t="str">
        <f t="shared" si="1"/>
        <v>bm</v>
      </c>
      <c r="CR7" s="7" t="str">
        <f t="shared" si="1"/>
        <v>bm</v>
      </c>
      <c r="CS7" s="7" t="str">
        <f t="shared" si="1"/>
        <v>size</v>
      </c>
      <c r="CT7" s="7" t="str">
        <f t="shared" si="1"/>
        <v>bm</v>
      </c>
      <c r="CU7" s="7" t="str">
        <f t="shared" si="1"/>
        <v>bm</v>
      </c>
      <c r="CV7" s="7" t="str">
        <f t="shared" si="1"/>
        <v>bm</v>
      </c>
      <c r="CW7" s="7" t="str">
        <f t="shared" si="1"/>
        <v>bm</v>
      </c>
      <c r="CX7" s="7" t="str">
        <f t="shared" si="1"/>
        <v>size</v>
      </c>
      <c r="CY7" s="7" t="str">
        <f t="shared" si="1"/>
        <v>bm</v>
      </c>
      <c r="CZ7" s="7" t="str">
        <f t="shared" si="1"/>
        <v>bm</v>
      </c>
      <c r="DA7" s="7" t="str">
        <f t="shared" si="1"/>
        <v>bm</v>
      </c>
      <c r="DB7" s="7" t="str">
        <f t="shared" si="1"/>
        <v>bm</v>
      </c>
      <c r="DC7" s="7" t="str">
        <f t="shared" si="1"/>
        <v>mom</v>
      </c>
      <c r="DD7" s="7" t="str">
        <f t="shared" si="1"/>
        <v>bm</v>
      </c>
      <c r="DE7" s="7" t="str">
        <f t="shared" si="1"/>
        <v>mom</v>
      </c>
      <c r="DF7" s="7" t="str">
        <f t="shared" si="1"/>
        <v>size</v>
      </c>
      <c r="DG7" s="7" t="str">
        <f t="shared" si="1"/>
        <v>bm</v>
      </c>
      <c r="DH7" s="7" t="str">
        <f t="shared" si="1"/>
        <v>bm</v>
      </c>
      <c r="DI7" s="7" t="str">
        <f t="shared" si="1"/>
        <v>mom</v>
      </c>
      <c r="DJ7" s="7" t="str">
        <f t="shared" si="1"/>
        <v>size</v>
      </c>
      <c r="DK7" s="7" t="str">
        <f t="shared" si="1"/>
        <v>bm</v>
      </c>
      <c r="DL7" s="7" t="str">
        <f t="shared" si="1"/>
        <v>mom</v>
      </c>
      <c r="DM7" s="7" t="str">
        <f t="shared" si="1"/>
        <v>bm</v>
      </c>
      <c r="DN7" s="7" t="str">
        <f t="shared" si="1"/>
        <v>size</v>
      </c>
      <c r="DO7" s="7" t="str">
        <f t="shared" si="1"/>
        <v>size</v>
      </c>
      <c r="DP7" s="7" t="str">
        <f t="shared" si="1"/>
        <v>size</v>
      </c>
      <c r="DQ7" s="7" t="str">
        <f t="shared" si="1"/>
        <v>size</v>
      </c>
      <c r="DR7" s="7" t="str">
        <f t="shared" si="1"/>
        <v>size</v>
      </c>
      <c r="DS7" s="7" t="str">
        <f t="shared" si="1"/>
        <v>size</v>
      </c>
      <c r="DT7" s="7" t="str">
        <f t="shared" si="1"/>
        <v>bm</v>
      </c>
      <c r="DU7" s="7" t="str">
        <f t="shared" si="1"/>
        <v>bm</v>
      </c>
      <c r="DV7" s="7" t="str">
        <f t="shared" si="1"/>
        <v>bm</v>
      </c>
      <c r="DW7" s="7" t="str">
        <f t="shared" si="1"/>
        <v>bm</v>
      </c>
      <c r="DX7" s="7" t="str">
        <f t="shared" si="1"/>
        <v>mom</v>
      </c>
      <c r="DY7" s="7" t="str">
        <f t="shared" si="1"/>
        <v>mom</v>
      </c>
      <c r="DZ7" s="7" t="str">
        <f t="shared" si="1"/>
        <v>mom</v>
      </c>
      <c r="EA7" s="7" t="str">
        <f t="shared" ref="EA7:EG7" si="2">IF(EA6=1,"bm",IF(EA6=2,"size",IF(EA6=3,"mom")))</f>
        <v>size</v>
      </c>
      <c r="EB7" s="7" t="str">
        <f t="shared" si="2"/>
        <v>size</v>
      </c>
      <c r="EC7" s="7" t="str">
        <f t="shared" si="2"/>
        <v>mom</v>
      </c>
      <c r="ED7" s="7" t="str">
        <f t="shared" si="2"/>
        <v>bm</v>
      </c>
      <c r="EE7" s="7" t="str">
        <f t="shared" si="2"/>
        <v>size</v>
      </c>
      <c r="EF7" s="7" t="str">
        <f t="shared" si="2"/>
        <v>bm</v>
      </c>
      <c r="EG7" s="1" t="str">
        <f t="shared" si="2"/>
        <v>bm</v>
      </c>
    </row>
    <row r="8" spans="1:138" x14ac:dyDescent="0.3">
      <c r="C8" s="7">
        <f t="shared" ref="C8:BN8" si="3">IF(C6=1,C3,IF(C6=2,C4,IF(C6=3,C5)))</f>
        <v>4.0547288954257972E-2</v>
      </c>
      <c r="D8" s="7">
        <f t="shared" si="3"/>
        <v>-4.8252779990434647E-2</v>
      </c>
      <c r="E8" s="7">
        <f t="shared" si="3"/>
        <v>-5.1652342081069953E-2</v>
      </c>
      <c r="F8" s="7">
        <f t="shared" si="3"/>
        <v>-5.4286114871501923E-2</v>
      </c>
      <c r="G8" s="7">
        <f t="shared" si="3"/>
        <v>-5.7552006095647812E-2</v>
      </c>
      <c r="H8" s="7">
        <f t="shared" si="3"/>
        <v>-7.6259449124336243E-2</v>
      </c>
      <c r="I8" s="7">
        <f t="shared" si="3"/>
        <v>-0.107886478304863</v>
      </c>
      <c r="J8" s="7">
        <f t="shared" si="3"/>
        <v>-3.2917611300945282E-2</v>
      </c>
      <c r="K8" s="7">
        <f t="shared" si="3"/>
        <v>-5.9229228645563133E-2</v>
      </c>
      <c r="L8" s="7">
        <f t="shared" si="3"/>
        <v>-0.1078036949038506</v>
      </c>
      <c r="M8" s="7">
        <f t="shared" si="3"/>
        <v>3.4981705248355872E-2</v>
      </c>
      <c r="N8" s="7">
        <f t="shared" si="3"/>
        <v>-0.1346741318702698</v>
      </c>
      <c r="O8" s="7">
        <f t="shared" si="3"/>
        <v>-6.7216232419013977E-2</v>
      </c>
      <c r="P8" s="7">
        <f t="shared" si="3"/>
        <v>9.211605042219162E-2</v>
      </c>
      <c r="Q8" s="7">
        <f t="shared" si="3"/>
        <v>-8.6447760462760925E-2</v>
      </c>
      <c r="R8" s="7">
        <f t="shared" si="3"/>
        <v>-7.7407129108905792E-2</v>
      </c>
      <c r="S8" s="7">
        <f t="shared" si="3"/>
        <v>-8.372652530670166E-2</v>
      </c>
      <c r="T8" s="7">
        <f t="shared" si="3"/>
        <v>-5.9324655681848533E-2</v>
      </c>
      <c r="U8" s="7">
        <f t="shared" si="3"/>
        <v>-0.10543976724147799</v>
      </c>
      <c r="V8" s="7">
        <f t="shared" si="3"/>
        <v>6.5072879195213318E-2</v>
      </c>
      <c r="W8" s="7">
        <f t="shared" si="3"/>
        <v>8.2305394113063812E-2</v>
      </c>
      <c r="X8" s="7">
        <f t="shared" si="3"/>
        <v>-9.8803862929344177E-2</v>
      </c>
      <c r="Y8" s="7">
        <f t="shared" si="3"/>
        <v>0.16213490068912509</v>
      </c>
      <c r="Z8" s="7">
        <f t="shared" si="3"/>
        <v>-6.800408661365509E-2</v>
      </c>
      <c r="AA8" s="7">
        <f t="shared" si="3"/>
        <v>-8.6181230843067169E-2</v>
      </c>
      <c r="AB8" s="7">
        <f t="shared" si="3"/>
        <v>-8.889392763376236E-2</v>
      </c>
      <c r="AC8" s="7">
        <f t="shared" si="3"/>
        <v>2.934014052152634E-2</v>
      </c>
      <c r="AD8" s="7">
        <f t="shared" si="3"/>
        <v>6.3448823988437653E-2</v>
      </c>
      <c r="AE8" s="7">
        <f t="shared" si="3"/>
        <v>-5.9580553323030472E-2</v>
      </c>
      <c r="AF8" s="7">
        <f t="shared" si="3"/>
        <v>6.4355872571468353E-2</v>
      </c>
      <c r="AG8" s="7">
        <f t="shared" si="3"/>
        <v>6.0781430453062057E-2</v>
      </c>
      <c r="AH8" s="7">
        <f t="shared" si="3"/>
        <v>2.907080203294754E-2</v>
      </c>
      <c r="AI8" s="7">
        <f t="shared" si="3"/>
        <v>4.2393732815980911E-2</v>
      </c>
      <c r="AJ8" s="7">
        <f t="shared" si="3"/>
        <v>4.4545106589794159E-2</v>
      </c>
      <c r="AK8" s="7">
        <f t="shared" si="3"/>
        <v>0.104340173304081</v>
      </c>
      <c r="AL8" s="7">
        <f t="shared" si="3"/>
        <v>2.3477694019675251E-2</v>
      </c>
      <c r="AM8" s="7">
        <f t="shared" si="3"/>
        <v>4.9679871648550027E-2</v>
      </c>
      <c r="AN8" s="7">
        <f t="shared" si="3"/>
        <v>4.7137059271335602E-2</v>
      </c>
      <c r="AO8" s="7">
        <f t="shared" si="3"/>
        <v>-2.9745671898126599E-2</v>
      </c>
      <c r="AP8" s="7">
        <f t="shared" si="3"/>
        <v>-2.683783695101738E-2</v>
      </c>
      <c r="AQ8" s="7">
        <f t="shared" si="3"/>
        <v>-2.169711887836456E-2</v>
      </c>
      <c r="AR8" s="7">
        <f t="shared" si="3"/>
        <v>5.4104723036289222E-2</v>
      </c>
      <c r="AS8" s="7">
        <f t="shared" si="3"/>
        <v>-2.6926254853606221E-2</v>
      </c>
      <c r="AT8" s="7">
        <f t="shared" si="3"/>
        <v>6.6039755940437317E-2</v>
      </c>
      <c r="AU8" s="7">
        <f t="shared" si="3"/>
        <v>6.2266789376735687E-2</v>
      </c>
      <c r="AV8" s="7">
        <f t="shared" si="3"/>
        <v>5.7940512895584113E-2</v>
      </c>
      <c r="AW8" s="7">
        <f t="shared" si="3"/>
        <v>0.1063941121101379</v>
      </c>
      <c r="AX8" s="7">
        <f t="shared" si="3"/>
        <v>2.7402361854910851E-2</v>
      </c>
      <c r="AY8" s="7">
        <f t="shared" si="3"/>
        <v>3.636043518781662E-2</v>
      </c>
      <c r="AZ8" s="7">
        <f t="shared" si="3"/>
        <v>8.6036309599876404E-2</v>
      </c>
      <c r="BA8" s="7">
        <f t="shared" si="3"/>
        <v>0.10234846919775011</v>
      </c>
      <c r="BB8" s="7">
        <f t="shared" si="3"/>
        <v>-7.6676465570926666E-2</v>
      </c>
      <c r="BC8" s="7">
        <f t="shared" si="3"/>
        <v>5.3017329424619668E-2</v>
      </c>
      <c r="BD8" s="7">
        <f t="shared" si="3"/>
        <v>7.7497914433479309E-2</v>
      </c>
      <c r="BE8" s="7">
        <f t="shared" si="3"/>
        <v>-6.8554230034351349E-2</v>
      </c>
      <c r="BF8" s="7">
        <f t="shared" si="3"/>
        <v>-8.2745306193828583E-2</v>
      </c>
      <c r="BG8" s="7">
        <f t="shared" si="3"/>
        <v>-0.1204242408275604</v>
      </c>
      <c r="BH8" s="7">
        <f t="shared" si="3"/>
        <v>-0.10103762894868849</v>
      </c>
      <c r="BI8" s="7">
        <f t="shared" si="3"/>
        <v>5.5158428847789757E-2</v>
      </c>
      <c r="BJ8" s="7">
        <f t="shared" si="3"/>
        <v>8.664897084236145E-2</v>
      </c>
      <c r="BK8" s="7">
        <f t="shared" si="3"/>
        <v>-0.14447127282619479</v>
      </c>
      <c r="BL8" s="7">
        <f t="shared" si="3"/>
        <v>-0.1120113208889961</v>
      </c>
      <c r="BM8" s="7">
        <f t="shared" si="3"/>
        <v>-3.4826010465621948E-2</v>
      </c>
      <c r="BN8" s="7">
        <f t="shared" si="3"/>
        <v>-8.5986465215682983E-2</v>
      </c>
      <c r="BO8" s="7">
        <f t="shared" ref="BO8:DZ8" si="4">IF(BO6=1,BO3,IF(BO6=2,BO4,IF(BO6=3,BO5)))</f>
        <v>-7.0973977446556091E-2</v>
      </c>
      <c r="BP8" s="7">
        <f t="shared" si="4"/>
        <v>8.6037963628768921E-2</v>
      </c>
      <c r="BQ8" s="7">
        <f t="shared" si="4"/>
        <v>0.144142210483551</v>
      </c>
      <c r="BR8" s="7">
        <f t="shared" si="4"/>
        <v>3.9869185537099838E-2</v>
      </c>
      <c r="BS8" s="7">
        <f t="shared" si="4"/>
        <v>8.1880234181880951E-2</v>
      </c>
      <c r="BT8" s="7">
        <f t="shared" si="4"/>
        <v>-6.8826571106910706E-2</v>
      </c>
      <c r="BU8" s="7">
        <f t="shared" si="4"/>
        <v>0.10545723885297779</v>
      </c>
      <c r="BV8" s="7">
        <f t="shared" si="4"/>
        <v>0.1175376549363136</v>
      </c>
      <c r="BW8" s="7">
        <f t="shared" si="4"/>
        <v>9.2942401766777039E-2</v>
      </c>
      <c r="BX8" s="7">
        <f t="shared" si="4"/>
        <v>3.5637497901916497E-2</v>
      </c>
      <c r="BY8" s="7">
        <f t="shared" si="4"/>
        <v>-6.1186797916889191E-2</v>
      </c>
      <c r="BZ8" s="7">
        <f t="shared" si="4"/>
        <v>9.8455093801021576E-2</v>
      </c>
      <c r="CA8" s="7">
        <f t="shared" si="4"/>
        <v>-7.2609454393386841E-2</v>
      </c>
      <c r="CB8" s="7">
        <f t="shared" si="4"/>
        <v>-8.8862821459770203E-2</v>
      </c>
      <c r="CC8" s="7">
        <f t="shared" si="4"/>
        <v>-6.5672166645526886E-2</v>
      </c>
      <c r="CD8" s="7">
        <f t="shared" si="4"/>
        <v>-7.0492014288902283E-2</v>
      </c>
      <c r="CE8" s="7">
        <f t="shared" si="4"/>
        <v>-8.9266888797283173E-2</v>
      </c>
      <c r="CF8" s="7">
        <f t="shared" si="4"/>
        <v>2.643934823572636E-2</v>
      </c>
      <c r="CG8" s="7">
        <f t="shared" si="4"/>
        <v>-3.8807325065135963E-2</v>
      </c>
      <c r="CH8" s="7">
        <f t="shared" si="4"/>
        <v>5.8184977620840073E-2</v>
      </c>
      <c r="CI8" s="7">
        <f t="shared" si="4"/>
        <v>-2.3996761068701741E-2</v>
      </c>
      <c r="CJ8" s="7">
        <f t="shared" si="4"/>
        <v>-8.0891326069831848E-2</v>
      </c>
      <c r="CK8" s="7">
        <f t="shared" si="4"/>
        <v>7.3738843202590942E-2</v>
      </c>
      <c r="CL8" s="7">
        <f t="shared" si="4"/>
        <v>6.7692369222640991E-2</v>
      </c>
      <c r="CM8" s="7">
        <f t="shared" si="4"/>
        <v>-4.3408293277025223E-2</v>
      </c>
      <c r="CN8" s="7">
        <f t="shared" si="4"/>
        <v>-4.8494711518287659E-2</v>
      </c>
      <c r="CO8" s="7">
        <f t="shared" si="4"/>
        <v>-3.4412361681461327E-2</v>
      </c>
      <c r="CP8" s="7">
        <f t="shared" si="4"/>
        <v>-5.2108332514762878E-2</v>
      </c>
      <c r="CQ8" s="7">
        <f t="shared" si="4"/>
        <v>-7.2693914175033569E-2</v>
      </c>
      <c r="CR8" s="7">
        <f t="shared" si="4"/>
        <v>-6.0804408043622971E-2</v>
      </c>
      <c r="CS8" s="7">
        <f t="shared" si="4"/>
        <v>-3.7506073713302612E-2</v>
      </c>
      <c r="CT8" s="7">
        <f t="shared" si="4"/>
        <v>-6.339031457901001E-2</v>
      </c>
      <c r="CU8" s="7">
        <f t="shared" si="4"/>
        <v>-6.1079829931259162E-2</v>
      </c>
      <c r="CV8" s="7">
        <f t="shared" si="4"/>
        <v>-2.170033194124699E-2</v>
      </c>
      <c r="CW8" s="7">
        <f t="shared" si="4"/>
        <v>-6.0720678418874741E-2</v>
      </c>
      <c r="CX8" s="7">
        <f t="shared" si="4"/>
        <v>-7.7818602323532104E-2</v>
      </c>
      <c r="CY8" s="7">
        <f t="shared" si="4"/>
        <v>-4.5480586588382721E-2</v>
      </c>
      <c r="CZ8" s="7">
        <f t="shared" si="4"/>
        <v>-6.9138072431087494E-2</v>
      </c>
      <c r="DA8" s="7">
        <f t="shared" si="4"/>
        <v>-8.9778468012809753E-2</v>
      </c>
      <c r="DB8" s="7">
        <f t="shared" si="4"/>
        <v>-6.527487188577652E-2</v>
      </c>
      <c r="DC8" s="7">
        <f t="shared" si="4"/>
        <v>4.6531397849321372E-2</v>
      </c>
      <c r="DD8" s="7">
        <f t="shared" si="4"/>
        <v>-5.9340178966522217E-2</v>
      </c>
      <c r="DE8" s="7">
        <f t="shared" si="4"/>
        <v>6.0277972370386117E-2</v>
      </c>
      <c r="DF8" s="7">
        <f t="shared" si="4"/>
        <v>3.3347133547067642E-2</v>
      </c>
      <c r="DG8" s="7">
        <f t="shared" si="4"/>
        <v>-2.4713881313800808E-2</v>
      </c>
      <c r="DH8" s="7">
        <f t="shared" si="4"/>
        <v>-3.5376153886318207E-2</v>
      </c>
      <c r="DI8" s="7">
        <f t="shared" si="4"/>
        <v>-4.1918892413377762E-2</v>
      </c>
      <c r="DJ8" s="7">
        <f t="shared" si="4"/>
        <v>1.416372787207365E-2</v>
      </c>
      <c r="DK8" s="7">
        <f t="shared" si="4"/>
        <v>-4.8771854490041733E-2</v>
      </c>
      <c r="DL8" s="7">
        <f t="shared" si="4"/>
        <v>2.8391024097800251E-2</v>
      </c>
      <c r="DM8" s="7">
        <f t="shared" si="4"/>
        <v>-4.967803880572319E-2</v>
      </c>
      <c r="DN8" s="7">
        <f t="shared" si="4"/>
        <v>-1.9859654828906059E-2</v>
      </c>
      <c r="DO8" s="7">
        <f t="shared" si="4"/>
        <v>-3.856055811047554E-2</v>
      </c>
      <c r="DP8" s="7">
        <f t="shared" si="4"/>
        <v>5.259593203663826E-2</v>
      </c>
      <c r="DQ8" s="7">
        <f t="shared" si="4"/>
        <v>5.0834372639656067E-2</v>
      </c>
      <c r="DR8" s="7">
        <f t="shared" si="4"/>
        <v>3.4424390643835068E-2</v>
      </c>
      <c r="DS8" s="7">
        <f t="shared" si="4"/>
        <v>2.6739172637462619E-2</v>
      </c>
      <c r="DT8" s="7">
        <f t="shared" si="4"/>
        <v>-5.3663063794374473E-2</v>
      </c>
      <c r="DU8" s="7">
        <f t="shared" si="4"/>
        <v>-4.4161681085824973E-2</v>
      </c>
      <c r="DV8" s="7">
        <f t="shared" si="4"/>
        <v>-2.3813089355826381E-2</v>
      </c>
      <c r="DW8" s="7">
        <f t="shared" si="4"/>
        <v>2.5176366791129109E-2</v>
      </c>
      <c r="DX8" s="7">
        <f t="shared" si="4"/>
        <v>-4.4376425445079803E-2</v>
      </c>
      <c r="DY8" s="7">
        <f t="shared" si="4"/>
        <v>-3.3609867095947273E-2</v>
      </c>
      <c r="DZ8" s="7">
        <f t="shared" si="4"/>
        <v>-4.8759568482637412E-2</v>
      </c>
      <c r="EA8" s="7">
        <f t="shared" ref="EA8:EG8" si="5">IF(EA6=1,EA3,IF(EA6=2,EA4,IF(EA6=3,EA5)))</f>
        <v>2.0058911293745041E-2</v>
      </c>
      <c r="EB8" s="7">
        <f t="shared" si="5"/>
        <v>5.2505847066640847E-2</v>
      </c>
      <c r="EC8" s="7">
        <f t="shared" si="5"/>
        <v>4.229099303483963E-2</v>
      </c>
      <c r="ED8" s="7">
        <f t="shared" si="5"/>
        <v>-5.2812475711107247E-2</v>
      </c>
      <c r="EE8" s="7">
        <f t="shared" si="5"/>
        <v>1.6591379418969151E-2</v>
      </c>
      <c r="EF8" s="7">
        <f t="shared" si="5"/>
        <v>-6.9071874022483826E-2</v>
      </c>
      <c r="EG8" s="1">
        <f t="shared" si="5"/>
        <v>0</v>
      </c>
    </row>
    <row r="10" spans="1:138" x14ac:dyDescent="0.3">
      <c r="A10" s="10" t="s">
        <v>139</v>
      </c>
      <c r="B10" s="11"/>
      <c r="C10" s="1" t="s">
        <v>140</v>
      </c>
      <c r="D10" s="2">
        <v>964</v>
      </c>
    </row>
    <row r="11" spans="1:138" x14ac:dyDescent="0.3">
      <c r="A11" s="1" t="s">
        <v>141</v>
      </c>
      <c r="B11" s="1" t="s">
        <v>142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  <c r="P11" s="1" t="s">
        <v>15</v>
      </c>
      <c r="Q11" s="1" t="s">
        <v>16</v>
      </c>
      <c r="R11" s="1" t="s">
        <v>17</v>
      </c>
      <c r="S11" s="1" t="s">
        <v>18</v>
      </c>
      <c r="T11" s="1" t="s">
        <v>19</v>
      </c>
      <c r="U11" s="1" t="s">
        <v>20</v>
      </c>
      <c r="V11" s="1" t="s">
        <v>21</v>
      </c>
      <c r="W11" s="1" t="s">
        <v>22</v>
      </c>
      <c r="X11" s="1" t="s">
        <v>23</v>
      </c>
      <c r="Y11" s="1" t="s">
        <v>24</v>
      </c>
      <c r="Z11" s="1" t="s">
        <v>25</v>
      </c>
      <c r="AA11" s="1" t="s">
        <v>26</v>
      </c>
      <c r="AB11" s="1" t="s">
        <v>27</v>
      </c>
      <c r="AC11" s="1" t="s">
        <v>28</v>
      </c>
      <c r="AD11" s="1" t="s">
        <v>29</v>
      </c>
      <c r="AE11" s="1" t="s">
        <v>30</v>
      </c>
      <c r="AF11" s="1" t="s">
        <v>31</v>
      </c>
      <c r="AG11" s="1" t="s">
        <v>32</v>
      </c>
      <c r="AH11" s="1" t="s">
        <v>33</v>
      </c>
      <c r="AI11" s="1" t="s">
        <v>34</v>
      </c>
      <c r="AJ11" s="1" t="s">
        <v>35</v>
      </c>
      <c r="AK11" s="1" t="s">
        <v>36</v>
      </c>
      <c r="AL11" s="1" t="s">
        <v>37</v>
      </c>
      <c r="AM11" s="1" t="s">
        <v>38</v>
      </c>
      <c r="AN11" s="1" t="s">
        <v>39</v>
      </c>
      <c r="AO11" s="1" t="s">
        <v>40</v>
      </c>
      <c r="AP11" s="1" t="s">
        <v>41</v>
      </c>
      <c r="AQ11" s="1" t="s">
        <v>42</v>
      </c>
      <c r="AR11" s="1" t="s">
        <v>43</v>
      </c>
      <c r="AS11" s="1" t="s">
        <v>44</v>
      </c>
      <c r="AT11" s="1" t="s">
        <v>45</v>
      </c>
      <c r="AU11" s="1" t="s">
        <v>46</v>
      </c>
      <c r="AV11" s="1" t="s">
        <v>47</v>
      </c>
      <c r="AW11" s="1" t="s">
        <v>48</v>
      </c>
      <c r="AX11" s="1" t="s">
        <v>49</v>
      </c>
      <c r="AY11" s="1" t="s">
        <v>50</v>
      </c>
      <c r="AZ11" s="1" t="s">
        <v>51</v>
      </c>
      <c r="BA11" s="1" t="s">
        <v>52</v>
      </c>
      <c r="BB11" s="1" t="s">
        <v>53</v>
      </c>
      <c r="BC11" s="1" t="s">
        <v>54</v>
      </c>
      <c r="BD11" s="1" t="s">
        <v>55</v>
      </c>
      <c r="BE11" s="1" t="s">
        <v>56</v>
      </c>
      <c r="BF11" s="1" t="s">
        <v>57</v>
      </c>
      <c r="BG11" s="1" t="s">
        <v>58</v>
      </c>
      <c r="BH11" s="1" t="s">
        <v>59</v>
      </c>
      <c r="BI11" s="1" t="s">
        <v>60</v>
      </c>
      <c r="BJ11" s="1" t="s">
        <v>61</v>
      </c>
      <c r="BK11" s="1" t="s">
        <v>62</v>
      </c>
      <c r="BL11" s="1" t="s">
        <v>63</v>
      </c>
      <c r="BM11" s="1" t="s">
        <v>64</v>
      </c>
      <c r="BN11" s="1" t="s">
        <v>65</v>
      </c>
      <c r="BO11" s="1" t="s">
        <v>66</v>
      </c>
      <c r="BP11" s="1" t="s">
        <v>67</v>
      </c>
      <c r="BQ11" s="1" t="s">
        <v>68</v>
      </c>
      <c r="BR11" s="1" t="s">
        <v>69</v>
      </c>
      <c r="BS11" s="1" t="s">
        <v>70</v>
      </c>
      <c r="BT11" s="1" t="s">
        <v>71</v>
      </c>
      <c r="BU11" s="1" t="s">
        <v>72</v>
      </c>
      <c r="BV11" s="1" t="s">
        <v>73</v>
      </c>
      <c r="BW11" s="1" t="s">
        <v>74</v>
      </c>
      <c r="BX11" s="1" t="s">
        <v>75</v>
      </c>
      <c r="BY11" s="1" t="s">
        <v>76</v>
      </c>
      <c r="BZ11" s="1" t="s">
        <v>77</v>
      </c>
      <c r="CA11" s="1" t="s">
        <v>78</v>
      </c>
      <c r="CB11" s="1" t="s">
        <v>79</v>
      </c>
      <c r="CC11" s="1" t="s">
        <v>80</v>
      </c>
      <c r="CD11" s="1" t="s">
        <v>81</v>
      </c>
      <c r="CE11" s="1" t="s">
        <v>82</v>
      </c>
      <c r="CF11" s="1" t="s">
        <v>83</v>
      </c>
      <c r="CG11" s="1" t="s">
        <v>84</v>
      </c>
      <c r="CH11" s="1" t="s">
        <v>85</v>
      </c>
      <c r="CI11" s="1" t="s">
        <v>86</v>
      </c>
      <c r="CJ11" s="1" t="s">
        <v>87</v>
      </c>
      <c r="CK11" s="1" t="s">
        <v>88</v>
      </c>
      <c r="CL11" s="1" t="s">
        <v>89</v>
      </c>
      <c r="CM11" s="1" t="s">
        <v>90</v>
      </c>
      <c r="CN11" s="1" t="s">
        <v>91</v>
      </c>
      <c r="CO11" s="1" t="s">
        <v>92</v>
      </c>
      <c r="CP11" s="1" t="s">
        <v>93</v>
      </c>
      <c r="CQ11" s="1" t="s">
        <v>94</v>
      </c>
      <c r="CR11" s="1" t="s">
        <v>95</v>
      </c>
      <c r="CS11" s="1" t="s">
        <v>96</v>
      </c>
      <c r="CT11" s="1" t="s">
        <v>97</v>
      </c>
      <c r="CU11" s="1" t="s">
        <v>98</v>
      </c>
      <c r="CV11" s="1" t="s">
        <v>99</v>
      </c>
      <c r="CW11" s="1" t="s">
        <v>100</v>
      </c>
      <c r="CX11" s="1" t="s">
        <v>101</v>
      </c>
      <c r="CY11" s="1" t="s">
        <v>102</v>
      </c>
      <c r="CZ11" s="1" t="s">
        <v>103</v>
      </c>
      <c r="DA11" s="1" t="s">
        <v>104</v>
      </c>
      <c r="DB11" s="1" t="s">
        <v>105</v>
      </c>
      <c r="DC11" s="1" t="s">
        <v>106</v>
      </c>
      <c r="DD11" s="1" t="s">
        <v>107</v>
      </c>
      <c r="DE11" s="1" t="s">
        <v>108</v>
      </c>
      <c r="DF11" s="1" t="s">
        <v>109</v>
      </c>
      <c r="DG11" s="1" t="s">
        <v>110</v>
      </c>
      <c r="DH11" s="1" t="s">
        <v>111</v>
      </c>
      <c r="DI11" s="1" t="s">
        <v>112</v>
      </c>
      <c r="DJ11" s="1" t="s">
        <v>113</v>
      </c>
      <c r="DK11" s="1" t="s">
        <v>114</v>
      </c>
      <c r="DL11" s="1" t="s">
        <v>115</v>
      </c>
      <c r="DM11" s="1" t="s">
        <v>116</v>
      </c>
      <c r="DN11" s="1" t="s">
        <v>117</v>
      </c>
      <c r="DO11" s="1" t="s">
        <v>118</v>
      </c>
      <c r="DP11" s="1" t="s">
        <v>119</v>
      </c>
      <c r="DQ11" s="1" t="s">
        <v>120</v>
      </c>
      <c r="DR11" s="1" t="s">
        <v>121</v>
      </c>
      <c r="DS11" s="1" t="s">
        <v>122</v>
      </c>
      <c r="DT11" s="1" t="s">
        <v>123</v>
      </c>
      <c r="DU11" s="1" t="s">
        <v>124</v>
      </c>
      <c r="DV11" s="1" t="s">
        <v>125</v>
      </c>
      <c r="DW11" s="1" t="s">
        <v>126</v>
      </c>
      <c r="DX11" s="1" t="s">
        <v>127</v>
      </c>
      <c r="DY11" s="1" t="s">
        <v>128</v>
      </c>
      <c r="DZ11" s="1" t="s">
        <v>129</v>
      </c>
      <c r="EA11" s="1" t="s">
        <v>130</v>
      </c>
      <c r="EB11" s="1" t="s">
        <v>131</v>
      </c>
      <c r="EC11" s="1" t="s">
        <v>132</v>
      </c>
      <c r="ED11" s="1" t="s">
        <v>133</v>
      </c>
      <c r="EE11" s="1" t="s">
        <v>134</v>
      </c>
      <c r="EF11" s="1" t="s">
        <v>143</v>
      </c>
      <c r="EG11" t="s">
        <v>144</v>
      </c>
      <c r="EH11" t="s">
        <v>145</v>
      </c>
    </row>
    <row r="12" spans="1:138" x14ac:dyDescent="0.3">
      <c r="A12" s="1">
        <v>10</v>
      </c>
      <c r="B12" s="1">
        <v>96</v>
      </c>
      <c r="C12" s="7">
        <f>IF(預測IC!C12&gt;預測IC!C$25,1,0)</f>
        <v>1</v>
      </c>
      <c r="D12" s="7">
        <f>IF(預測IC!D12&gt;預測IC!D$25,1,0)</f>
        <v>1</v>
      </c>
      <c r="E12" s="7">
        <f>IF(預測IC!E12&gt;預測IC!E$25,1,0)</f>
        <v>0</v>
      </c>
      <c r="F12" s="7">
        <f>IF(預測IC!F12&gt;預測IC!F$25,1,0)</f>
        <v>1</v>
      </c>
      <c r="G12" s="7">
        <f>IF(預測IC!G12&gt;預測IC!G$25,1,0)</f>
        <v>0</v>
      </c>
      <c r="H12" s="7">
        <f>IF(預測IC!H12&gt;預測IC!H$25,1,0)</f>
        <v>0</v>
      </c>
      <c r="I12" s="7">
        <f>IF(預測IC!I12&gt;預測IC!I$25,1,0)</f>
        <v>0</v>
      </c>
      <c r="J12" s="7">
        <f>IF(預測IC!J12&gt;預測IC!J$25,1,0)</f>
        <v>0</v>
      </c>
      <c r="K12" s="7">
        <f>IF(預測IC!K12&gt;預測IC!K$25,1,0)</f>
        <v>1</v>
      </c>
      <c r="L12" s="7">
        <f>IF(預測IC!L12&gt;預測IC!L$25,1,0)</f>
        <v>1</v>
      </c>
      <c r="M12" s="7">
        <f>IF(預測IC!M12&gt;預測IC!M$25,1,0)</f>
        <v>1</v>
      </c>
      <c r="N12" s="7">
        <f>IF(預測IC!N12&gt;預測IC!N$25,1,0)</f>
        <v>0</v>
      </c>
      <c r="O12" s="7">
        <f>IF(預測IC!O12&gt;預測IC!O$25,1,0)</f>
        <v>1</v>
      </c>
      <c r="P12" s="7">
        <f>IF(預測IC!P12&gt;預測IC!P$25,1,0)</f>
        <v>0</v>
      </c>
      <c r="Q12" s="7">
        <f>IF(預測IC!Q12&gt;預測IC!Q$25,1,0)</f>
        <v>1</v>
      </c>
      <c r="R12" s="7">
        <f>IF(預測IC!R12&gt;預測IC!R$25,1,0)</f>
        <v>0</v>
      </c>
      <c r="S12" s="7">
        <f>IF(預測IC!S12&gt;預測IC!S$25,1,0)</f>
        <v>0</v>
      </c>
      <c r="T12" s="7">
        <f>IF(預測IC!T12&gt;預測IC!T$25,1,0)</f>
        <v>1</v>
      </c>
      <c r="U12" s="7">
        <f>IF(預測IC!U12&gt;預測IC!U$25,1,0)</f>
        <v>1</v>
      </c>
      <c r="V12" s="7">
        <f>IF(預測IC!V12&gt;預測IC!V$25,1,0)</f>
        <v>1</v>
      </c>
      <c r="W12" s="7">
        <f>IF(預測IC!W12&gt;預測IC!W$25,1,0)</f>
        <v>0</v>
      </c>
      <c r="X12" s="7">
        <f>IF(預測IC!X12&gt;預測IC!X$25,1,0)</f>
        <v>0</v>
      </c>
      <c r="Y12" s="7">
        <f>IF(預測IC!Y12&gt;預測IC!Y$25,1,0)</f>
        <v>1</v>
      </c>
      <c r="Z12" s="7">
        <f>IF(預測IC!Z12&gt;預測IC!Z$25,1,0)</f>
        <v>1</v>
      </c>
      <c r="AA12" s="7">
        <f>IF(預測IC!AA12&gt;預測IC!AA$25,1,0)</f>
        <v>1</v>
      </c>
      <c r="AB12" s="7">
        <f>IF(預測IC!AB12&gt;預測IC!AB$25,1,0)</f>
        <v>0</v>
      </c>
      <c r="AC12" s="7">
        <f>IF(預測IC!AC12&gt;預測IC!AC$25,1,0)</f>
        <v>0</v>
      </c>
      <c r="AD12" s="7">
        <f>IF(預測IC!AD12&gt;預測IC!AD$25,1,0)</f>
        <v>1</v>
      </c>
      <c r="AE12" s="7">
        <f>IF(預測IC!AE12&gt;預測IC!AE$25,1,0)</f>
        <v>0</v>
      </c>
      <c r="AF12" s="7">
        <f>IF(預測IC!AF12&gt;預測IC!AF$25,1,0)</f>
        <v>0</v>
      </c>
      <c r="AG12" s="7">
        <f>IF(預測IC!AG12&gt;預測IC!AG$25,1,0)</f>
        <v>0</v>
      </c>
      <c r="AH12" s="7">
        <f>IF(預測IC!AH12&gt;預測IC!AH$25,1,0)</f>
        <v>0</v>
      </c>
      <c r="AI12" s="7">
        <f>IF(預測IC!AI12&gt;預測IC!AI$25,1,0)</f>
        <v>0</v>
      </c>
      <c r="AJ12" s="7">
        <f>IF(預測IC!AJ12&gt;預測IC!AJ$25,1,0)</f>
        <v>0</v>
      </c>
      <c r="AK12" s="7">
        <f>IF(預測IC!AK12&gt;預測IC!AK$25,1,0)</f>
        <v>0</v>
      </c>
      <c r="AL12" s="7">
        <f>IF(預測IC!AL12&gt;預測IC!AL$25,1,0)</f>
        <v>0</v>
      </c>
      <c r="AM12" s="7">
        <f>IF(預測IC!AM12&gt;預測IC!AM$25,1,0)</f>
        <v>0</v>
      </c>
      <c r="AN12" s="7">
        <f>IF(預測IC!AN12&gt;預測IC!AN$25,1,0)</f>
        <v>0</v>
      </c>
      <c r="AO12" s="7">
        <f>IF(預測IC!AO12&gt;預測IC!AO$25,1,0)</f>
        <v>0</v>
      </c>
      <c r="AP12" s="7">
        <f>IF(預測IC!AP12&gt;預測IC!AP$25,1,0)</f>
        <v>1</v>
      </c>
      <c r="AQ12" s="7">
        <f>IF(預測IC!AQ12&gt;預測IC!AQ$25,1,0)</f>
        <v>0</v>
      </c>
      <c r="AR12" s="7">
        <f>IF(預測IC!AR12&gt;預測IC!AR$25,1,0)</f>
        <v>0</v>
      </c>
      <c r="AS12" s="7">
        <f>IF(預測IC!AS12&gt;預測IC!AS$25,1,0)</f>
        <v>0</v>
      </c>
      <c r="AT12" s="7">
        <f>IF(預測IC!AT12&gt;預測IC!AT$25,1,0)</f>
        <v>0</v>
      </c>
      <c r="AU12" s="7">
        <f>IF(預測IC!AU12&gt;預測IC!AU$25,1,0)</f>
        <v>1</v>
      </c>
      <c r="AV12" s="7">
        <f>IF(預測IC!AV12&gt;預測IC!AV$25,1,0)</f>
        <v>0</v>
      </c>
      <c r="AW12" s="7">
        <f>IF(預測IC!AW12&gt;預測IC!AW$25,1,0)</f>
        <v>1</v>
      </c>
      <c r="AX12" s="7">
        <f>IF(預測IC!AX12&gt;預測IC!AX$25,1,0)</f>
        <v>0</v>
      </c>
      <c r="AY12" s="7">
        <f>IF(預測IC!AY12&gt;預測IC!AY$25,1,0)</f>
        <v>0</v>
      </c>
      <c r="AZ12" s="7">
        <f>IF(預測IC!AZ12&gt;預測IC!AZ$25,1,0)</f>
        <v>1</v>
      </c>
      <c r="BA12" s="7">
        <f>IF(預測IC!BA12&gt;預測IC!BA$25,1,0)</f>
        <v>0</v>
      </c>
      <c r="BB12" s="7">
        <f>IF(預測IC!BB12&gt;預測IC!BB$25,1,0)</f>
        <v>1</v>
      </c>
      <c r="BC12" s="7">
        <f>IF(預測IC!BC12&gt;預測IC!BC$25,1,0)</f>
        <v>1</v>
      </c>
      <c r="BD12" s="7">
        <f>IF(預測IC!BD12&gt;預測IC!BD$25,1,0)</f>
        <v>1</v>
      </c>
      <c r="BE12" s="7">
        <f>IF(預測IC!BE12&gt;預測IC!BE$25,1,0)</f>
        <v>0</v>
      </c>
      <c r="BF12" s="7">
        <f>IF(預測IC!BF12&gt;預測IC!BF$25,1,0)</f>
        <v>0</v>
      </c>
      <c r="BG12" s="7">
        <f>IF(預測IC!BG12&gt;預測IC!BG$25,1,0)</f>
        <v>1</v>
      </c>
      <c r="BH12" s="7">
        <f>IF(預測IC!BH12&gt;預測IC!BH$25,1,0)</f>
        <v>1</v>
      </c>
      <c r="BI12" s="7">
        <f>IF(預測IC!BI12&gt;預測IC!BI$25,1,0)</f>
        <v>1</v>
      </c>
      <c r="BJ12" s="7">
        <f>IF(預測IC!BJ12&gt;預測IC!BJ$25,1,0)</f>
        <v>1</v>
      </c>
      <c r="BK12" s="7">
        <f>IF(預測IC!BK12&gt;預測IC!BK$25,1,0)</f>
        <v>0</v>
      </c>
      <c r="BL12" s="7">
        <f>IF(預測IC!BL12&gt;預測IC!BL$25,1,0)</f>
        <v>0</v>
      </c>
      <c r="BM12" s="7">
        <f>IF(預測IC!BM12&gt;預測IC!BM$25,1,0)</f>
        <v>0</v>
      </c>
      <c r="BN12" s="7">
        <f>IF(預測IC!BN12&gt;預測IC!BN$25,1,0)</f>
        <v>0</v>
      </c>
      <c r="BO12" s="7">
        <f>IF(預測IC!BO12&gt;預測IC!BO$25,1,0)</f>
        <v>1</v>
      </c>
      <c r="BP12" s="7">
        <f>IF(預測IC!BP12&gt;預測IC!BP$25,1,0)</f>
        <v>0</v>
      </c>
      <c r="BQ12" s="7">
        <f>IF(預測IC!BQ12&gt;預測IC!BQ$25,1,0)</f>
        <v>1</v>
      </c>
      <c r="BR12" s="7">
        <f>IF(預測IC!BR12&gt;預測IC!BR$25,1,0)</f>
        <v>1</v>
      </c>
      <c r="BS12" s="7">
        <f>IF(預測IC!BS12&gt;預測IC!BS$25,1,0)</f>
        <v>0</v>
      </c>
      <c r="BT12" s="7">
        <f>IF(預測IC!BT12&gt;預測IC!BT$25,1,0)</f>
        <v>0</v>
      </c>
      <c r="BU12" s="7">
        <f>IF(預測IC!BU12&gt;預測IC!BU$25,1,0)</f>
        <v>0</v>
      </c>
      <c r="BV12" s="7">
        <f>IF(預測IC!BV12&gt;預測IC!BV$25,1,0)</f>
        <v>0</v>
      </c>
      <c r="BW12" s="7">
        <f>IF(預測IC!BW12&gt;預測IC!BW$25,1,0)</f>
        <v>1</v>
      </c>
      <c r="BX12" s="7">
        <f>IF(預測IC!BX12&gt;預測IC!BX$25,1,0)</f>
        <v>1</v>
      </c>
      <c r="BY12" s="7">
        <f>IF(預測IC!BY12&gt;預測IC!BY$25,1,0)</f>
        <v>1</v>
      </c>
      <c r="BZ12" s="7">
        <f>IF(預測IC!BZ12&gt;預測IC!BZ$25,1,0)</f>
        <v>0</v>
      </c>
      <c r="CA12" s="7">
        <f>IF(預測IC!CA12&gt;預測IC!CA$25,1,0)</f>
        <v>1</v>
      </c>
      <c r="CB12" s="7">
        <f>IF(預測IC!CB12&gt;預測IC!CB$25,1,0)</f>
        <v>1</v>
      </c>
      <c r="CC12" s="7">
        <f>IF(預測IC!CC12&gt;預測IC!CC$25,1,0)</f>
        <v>0</v>
      </c>
      <c r="CD12" s="7">
        <f>IF(預測IC!CD12&gt;預測IC!CD$25,1,0)</f>
        <v>1</v>
      </c>
      <c r="CE12" s="7">
        <f>IF(預測IC!CE12&gt;預測IC!CE$25,1,0)</f>
        <v>1</v>
      </c>
      <c r="CF12" s="7">
        <f>IF(預測IC!CF12&gt;預測IC!CF$25,1,0)</f>
        <v>1</v>
      </c>
      <c r="CG12" s="7">
        <f>IF(預測IC!CG12&gt;預測IC!CG$25,1,0)</f>
        <v>0</v>
      </c>
      <c r="CH12" s="7">
        <f>IF(預測IC!CH12&gt;預測IC!CH$25,1,0)</f>
        <v>0</v>
      </c>
      <c r="CI12" s="7">
        <f>IF(預測IC!CI12&gt;預測IC!CI$25,1,0)</f>
        <v>0</v>
      </c>
      <c r="CJ12" s="7">
        <f>IF(預測IC!CJ12&gt;預測IC!CJ$25,1,0)</f>
        <v>0</v>
      </c>
      <c r="CK12" s="7">
        <f>IF(預測IC!CK12&gt;預測IC!CK$25,1,0)</f>
        <v>0</v>
      </c>
      <c r="CL12" s="7">
        <f>IF(預測IC!CL12&gt;預測IC!CL$25,1,0)</f>
        <v>1</v>
      </c>
      <c r="CM12" s="7">
        <f>IF(預測IC!CM12&gt;預測IC!CM$25,1,0)</f>
        <v>1</v>
      </c>
      <c r="CN12" s="7">
        <f>IF(預測IC!CN12&gt;預測IC!CN$25,1,0)</f>
        <v>0</v>
      </c>
      <c r="CO12" s="7">
        <f>IF(預測IC!CO12&gt;預測IC!CO$25,1,0)</f>
        <v>1</v>
      </c>
      <c r="CP12" s="7">
        <f>IF(預測IC!CP12&gt;預測IC!CP$25,1,0)</f>
        <v>0</v>
      </c>
      <c r="CQ12" s="7">
        <f>IF(預測IC!CQ12&gt;預測IC!CQ$25,1,0)</f>
        <v>0</v>
      </c>
      <c r="CR12" s="7">
        <f>IF(預測IC!CR12&gt;預測IC!CR$25,1,0)</f>
        <v>0</v>
      </c>
      <c r="CS12" s="7">
        <f>IF(預測IC!CS12&gt;預測IC!CS$25,1,0)</f>
        <v>0</v>
      </c>
      <c r="CT12" s="7">
        <f>IF(預測IC!CT12&gt;預測IC!CT$25,1,0)</f>
        <v>0</v>
      </c>
      <c r="CU12" s="7">
        <f>IF(預測IC!CU12&gt;預測IC!CU$25,1,0)</f>
        <v>0</v>
      </c>
      <c r="CV12" s="7">
        <f>IF(預測IC!CV12&gt;預測IC!CV$25,1,0)</f>
        <v>0</v>
      </c>
      <c r="CW12" s="7">
        <f>IF(預測IC!CW12&gt;預測IC!CW$25,1,0)</f>
        <v>0</v>
      </c>
      <c r="CX12" s="7">
        <f>IF(預測IC!CX12&gt;預測IC!CX$25,1,0)</f>
        <v>1</v>
      </c>
      <c r="CY12" s="7">
        <f>IF(預測IC!CY12&gt;預測IC!CY$25,1,0)</f>
        <v>0</v>
      </c>
      <c r="CZ12" s="7">
        <f>IF(預測IC!CZ12&gt;預測IC!CZ$25,1,0)</f>
        <v>1</v>
      </c>
      <c r="DA12" s="7">
        <f>IF(預測IC!DA12&gt;預測IC!DA$25,1,0)</f>
        <v>0</v>
      </c>
      <c r="DB12" s="7">
        <f>IF(預測IC!DB12&gt;預測IC!DB$25,1,0)</f>
        <v>1</v>
      </c>
      <c r="DC12" s="7">
        <f>IF(預測IC!DC12&gt;預測IC!DC$25,1,0)</f>
        <v>1</v>
      </c>
      <c r="DD12" s="7">
        <f>IF(預測IC!DD12&gt;預測IC!DD$25,1,0)</f>
        <v>1</v>
      </c>
      <c r="DE12" s="7">
        <f>IF(預測IC!DE12&gt;預測IC!DE$25,1,0)</f>
        <v>0</v>
      </c>
      <c r="DF12" s="7">
        <f>IF(預測IC!DF12&gt;預測IC!DF$25,1,0)</f>
        <v>0</v>
      </c>
      <c r="DG12" s="7">
        <f>IF(預測IC!DG12&gt;預測IC!DG$25,1,0)</f>
        <v>0</v>
      </c>
      <c r="DH12" s="7">
        <f>IF(預測IC!DH12&gt;預測IC!DH$25,1,0)</f>
        <v>0</v>
      </c>
      <c r="DI12" s="7">
        <f>IF(預測IC!DI12&gt;預測IC!DI$25,1,0)</f>
        <v>0</v>
      </c>
      <c r="DJ12" s="7">
        <f>IF(預測IC!DJ12&gt;預測IC!DJ$25,1,0)</f>
        <v>1</v>
      </c>
      <c r="DK12" s="7">
        <f>IF(預測IC!DK12&gt;預測IC!DK$25,1,0)</f>
        <v>0</v>
      </c>
      <c r="DL12" s="7">
        <f>IF(預測IC!DL12&gt;預測IC!DL$25,1,0)</f>
        <v>0</v>
      </c>
      <c r="DM12" s="7">
        <f>IF(預測IC!DM12&gt;預測IC!DM$25,1,0)</f>
        <v>0</v>
      </c>
      <c r="DN12" s="7">
        <f>IF(預測IC!DN12&gt;預測IC!DN$25,1,0)</f>
        <v>1</v>
      </c>
      <c r="DO12" s="7">
        <f>IF(預測IC!DO12&gt;預測IC!DO$25,1,0)</f>
        <v>1</v>
      </c>
      <c r="DP12" s="7">
        <f>IF(預測IC!DP12&gt;預測IC!DP$25,1,0)</f>
        <v>0</v>
      </c>
      <c r="DQ12" s="7">
        <f>IF(預測IC!DQ12&gt;預測IC!DQ$25,1,0)</f>
        <v>0</v>
      </c>
      <c r="DR12" s="7">
        <f>IF(預測IC!DR12&gt;預測IC!DR$25,1,0)</f>
        <v>0</v>
      </c>
      <c r="DS12" s="7">
        <f>IF(預測IC!DS12&gt;預測IC!DS$25,1,0)</f>
        <v>0</v>
      </c>
      <c r="DT12" s="7">
        <f>IF(預測IC!DT12&gt;預測IC!DT$25,1,0)</f>
        <v>0</v>
      </c>
      <c r="DU12" s="7">
        <f>IF(預測IC!DU12&gt;預測IC!DU$25,1,0)</f>
        <v>0</v>
      </c>
      <c r="DV12" s="7">
        <f>IF(預測IC!DV12&gt;預測IC!DV$25,1,0)</f>
        <v>0</v>
      </c>
      <c r="DW12" s="7">
        <f>IF(預測IC!DW12&gt;預測IC!DW$25,1,0)</f>
        <v>1</v>
      </c>
      <c r="DX12" s="7">
        <f>IF(預測IC!DX12&gt;預測IC!DX$25,1,0)</f>
        <v>0</v>
      </c>
      <c r="DY12" s="7">
        <f>IF(預測IC!DY12&gt;預測IC!DY$25,1,0)</f>
        <v>0</v>
      </c>
      <c r="DZ12" s="7">
        <f>IF(預測IC!DZ12&gt;預測IC!DZ$25,1,0)</f>
        <v>0</v>
      </c>
      <c r="EA12" s="7">
        <f>IF(預測IC!EA12&gt;預測IC!EA$25,1,0)</f>
        <v>0</v>
      </c>
      <c r="EB12" s="7">
        <f>IF(預測IC!EB12&gt;預測IC!EB$25,1,0)</f>
        <v>0</v>
      </c>
      <c r="EC12" s="7">
        <f>IF(預測IC!EC12&gt;預測IC!EC$25,1,0)</f>
        <v>1</v>
      </c>
      <c r="ED12" s="7">
        <f>IF(預測IC!ED12&gt;預測IC!ED$25,1,0)</f>
        <v>1</v>
      </c>
      <c r="EE12" s="7">
        <f>IF(預測IC!EE12&gt;預測IC!EE$25,1,0)</f>
        <v>1</v>
      </c>
      <c r="EF12" s="7">
        <f>IF(預測IC!EF12&gt;預測IC!EF$25,1,0)</f>
        <v>0</v>
      </c>
      <c r="EG12">
        <f t="shared" ref="EG12:EG24" si="6">SUM(C12:EF12)</f>
        <v>52</v>
      </c>
      <c r="EH12" s="9">
        <f t="shared" ref="EH12:EH24" si="7">SUM(C12:EE12)/134</f>
        <v>0.38805970149253732</v>
      </c>
    </row>
    <row r="13" spans="1:138" x14ac:dyDescent="0.3">
      <c r="A13" s="1">
        <v>20</v>
      </c>
      <c r="B13" s="1">
        <v>48</v>
      </c>
      <c r="C13" s="7">
        <f>IF(預測IC!C13&gt;預測IC!C$25,1,0)</f>
        <v>1</v>
      </c>
      <c r="D13" s="7">
        <f>IF(預測IC!D13&gt;預測IC!D$25,1,0)</f>
        <v>1</v>
      </c>
      <c r="E13" s="7">
        <f>IF(預測IC!E13&gt;預測IC!E$25,1,0)</f>
        <v>1</v>
      </c>
      <c r="F13" s="7">
        <f>IF(預測IC!F13&gt;預測IC!F$25,1,0)</f>
        <v>1</v>
      </c>
      <c r="G13" s="7">
        <f>IF(預測IC!G13&gt;預測IC!G$25,1,0)</f>
        <v>0</v>
      </c>
      <c r="H13" s="7">
        <f>IF(預測IC!H13&gt;預測IC!H$25,1,0)</f>
        <v>0</v>
      </c>
      <c r="I13" s="7">
        <f>IF(預測IC!I13&gt;預測IC!I$25,1,0)</f>
        <v>0</v>
      </c>
      <c r="J13" s="7">
        <f>IF(預測IC!J13&gt;預測IC!J$25,1,0)</f>
        <v>0</v>
      </c>
      <c r="K13" s="7">
        <f>IF(預測IC!K13&gt;預測IC!K$25,1,0)</f>
        <v>1</v>
      </c>
      <c r="L13" s="7">
        <f>IF(預測IC!L13&gt;預測IC!L$25,1,0)</f>
        <v>1</v>
      </c>
      <c r="M13" s="7">
        <f>IF(預測IC!M13&gt;預測IC!M$25,1,0)</f>
        <v>0</v>
      </c>
      <c r="N13" s="7">
        <f>IF(預測IC!N13&gt;預測IC!N$25,1,0)</f>
        <v>0</v>
      </c>
      <c r="O13" s="7">
        <f>IF(預測IC!O13&gt;預測IC!O$25,1,0)</f>
        <v>1</v>
      </c>
      <c r="P13" s="7">
        <f>IF(預測IC!P13&gt;預測IC!P$25,1,0)</f>
        <v>0</v>
      </c>
      <c r="Q13" s="7">
        <f>IF(預測IC!Q13&gt;預測IC!Q$25,1,0)</f>
        <v>1</v>
      </c>
      <c r="R13" s="7">
        <f>IF(預測IC!R13&gt;預測IC!R$25,1,0)</f>
        <v>0</v>
      </c>
      <c r="S13" s="7">
        <f>IF(預測IC!S13&gt;預測IC!S$25,1,0)</f>
        <v>0</v>
      </c>
      <c r="T13" s="7">
        <f>IF(預測IC!T13&gt;預測IC!T$25,1,0)</f>
        <v>1</v>
      </c>
      <c r="U13" s="7">
        <f>IF(預測IC!U13&gt;預測IC!U$25,1,0)</f>
        <v>1</v>
      </c>
      <c r="V13" s="7">
        <f>IF(預測IC!V13&gt;預測IC!V$25,1,0)</f>
        <v>1</v>
      </c>
      <c r="W13" s="7">
        <f>IF(預測IC!W13&gt;預測IC!W$25,1,0)</f>
        <v>0</v>
      </c>
      <c r="X13" s="7">
        <f>IF(預測IC!X13&gt;預測IC!X$25,1,0)</f>
        <v>1</v>
      </c>
      <c r="Y13" s="7">
        <f>IF(預測IC!Y13&gt;預測IC!Y$25,1,0)</f>
        <v>1</v>
      </c>
      <c r="Z13" s="7">
        <f>IF(預測IC!Z13&gt;預測IC!Z$25,1,0)</f>
        <v>1</v>
      </c>
      <c r="AA13" s="7">
        <f>IF(預測IC!AA13&gt;預測IC!AA$25,1,0)</f>
        <v>1</v>
      </c>
      <c r="AB13" s="7">
        <f>IF(預測IC!AB13&gt;預測IC!AB$25,1,0)</f>
        <v>0</v>
      </c>
      <c r="AC13" s="7">
        <f>IF(預測IC!AC13&gt;預測IC!AC$25,1,0)</f>
        <v>0</v>
      </c>
      <c r="AD13" s="7">
        <f>IF(預測IC!AD13&gt;預測IC!AD$25,1,0)</f>
        <v>1</v>
      </c>
      <c r="AE13" s="7">
        <f>IF(預測IC!AE13&gt;預測IC!AE$25,1,0)</f>
        <v>0</v>
      </c>
      <c r="AF13" s="7">
        <f>IF(預測IC!AF13&gt;預測IC!AF$25,1,0)</f>
        <v>0</v>
      </c>
      <c r="AG13" s="7">
        <f>IF(預測IC!AG13&gt;預測IC!AG$25,1,0)</f>
        <v>0</v>
      </c>
      <c r="AH13" s="7">
        <f>IF(預測IC!AH13&gt;預測IC!AH$25,1,0)</f>
        <v>0</v>
      </c>
      <c r="AI13" s="7">
        <f>IF(預測IC!AI13&gt;預測IC!AI$25,1,0)</f>
        <v>1</v>
      </c>
      <c r="AJ13" s="7">
        <f>IF(預測IC!AJ13&gt;預測IC!AJ$25,1,0)</f>
        <v>0</v>
      </c>
      <c r="AK13" s="7">
        <f>IF(預測IC!AK13&gt;預測IC!AK$25,1,0)</f>
        <v>0</v>
      </c>
      <c r="AL13" s="7">
        <f>IF(預測IC!AL13&gt;預測IC!AL$25,1,0)</f>
        <v>0</v>
      </c>
      <c r="AM13" s="7">
        <f>IF(預測IC!AM13&gt;預測IC!AM$25,1,0)</f>
        <v>0</v>
      </c>
      <c r="AN13" s="7">
        <f>IF(預測IC!AN13&gt;預測IC!AN$25,1,0)</f>
        <v>0</v>
      </c>
      <c r="AO13" s="7">
        <f>IF(預測IC!AO13&gt;預測IC!AO$25,1,0)</f>
        <v>0</v>
      </c>
      <c r="AP13" s="7">
        <f>IF(預測IC!AP13&gt;預測IC!AP$25,1,0)</f>
        <v>1</v>
      </c>
      <c r="AQ13" s="7">
        <f>IF(預測IC!AQ13&gt;預測IC!AQ$25,1,0)</f>
        <v>0</v>
      </c>
      <c r="AR13" s="7">
        <f>IF(預測IC!AR13&gt;預測IC!AR$25,1,0)</f>
        <v>0</v>
      </c>
      <c r="AS13" s="7">
        <f>IF(預測IC!AS13&gt;預測IC!AS$25,1,0)</f>
        <v>0</v>
      </c>
      <c r="AT13" s="7">
        <f>IF(預測IC!AT13&gt;預測IC!AT$25,1,0)</f>
        <v>1</v>
      </c>
      <c r="AU13" s="7">
        <f>IF(預測IC!AU13&gt;預測IC!AU$25,1,0)</f>
        <v>1</v>
      </c>
      <c r="AV13" s="7">
        <f>IF(預測IC!AV13&gt;預測IC!AV$25,1,0)</f>
        <v>0</v>
      </c>
      <c r="AW13" s="7">
        <f>IF(預測IC!AW13&gt;預測IC!AW$25,1,0)</f>
        <v>1</v>
      </c>
      <c r="AX13" s="7">
        <f>IF(預測IC!AX13&gt;預測IC!AX$25,1,0)</f>
        <v>0</v>
      </c>
      <c r="AY13" s="7">
        <f>IF(預測IC!AY13&gt;預測IC!AY$25,1,0)</f>
        <v>0</v>
      </c>
      <c r="AZ13" s="7">
        <f>IF(預測IC!AZ13&gt;預測IC!AZ$25,1,0)</f>
        <v>1</v>
      </c>
      <c r="BA13" s="7">
        <f>IF(預測IC!BA13&gt;預測IC!BA$25,1,0)</f>
        <v>0</v>
      </c>
      <c r="BB13" s="7">
        <f>IF(預測IC!BB13&gt;預測IC!BB$25,1,0)</f>
        <v>1</v>
      </c>
      <c r="BC13" s="7">
        <f>IF(預測IC!BC13&gt;預測IC!BC$25,1,0)</f>
        <v>0</v>
      </c>
      <c r="BD13" s="7">
        <f>IF(預測IC!BD13&gt;預測IC!BD$25,1,0)</f>
        <v>1</v>
      </c>
      <c r="BE13" s="7">
        <f>IF(預測IC!BE13&gt;預測IC!BE$25,1,0)</f>
        <v>0</v>
      </c>
      <c r="BF13" s="7">
        <f>IF(預測IC!BF13&gt;預測IC!BF$25,1,0)</f>
        <v>0</v>
      </c>
      <c r="BG13" s="7">
        <f>IF(預測IC!BG13&gt;預測IC!BG$25,1,0)</f>
        <v>1</v>
      </c>
      <c r="BH13" s="7">
        <f>IF(預測IC!BH13&gt;預測IC!BH$25,1,0)</f>
        <v>1</v>
      </c>
      <c r="BI13" s="7">
        <f>IF(預測IC!BI13&gt;預測IC!BI$25,1,0)</f>
        <v>1</v>
      </c>
      <c r="BJ13" s="7">
        <f>IF(預測IC!BJ13&gt;預測IC!BJ$25,1,0)</f>
        <v>0</v>
      </c>
      <c r="BK13" s="7">
        <f>IF(預測IC!BK13&gt;預測IC!BK$25,1,0)</f>
        <v>0</v>
      </c>
      <c r="BL13" s="7">
        <f>IF(預測IC!BL13&gt;預測IC!BL$25,1,0)</f>
        <v>0</v>
      </c>
      <c r="BM13" s="7">
        <f>IF(預測IC!BM13&gt;預測IC!BM$25,1,0)</f>
        <v>0</v>
      </c>
      <c r="BN13" s="7">
        <f>IF(預測IC!BN13&gt;預測IC!BN$25,1,0)</f>
        <v>0</v>
      </c>
      <c r="BO13" s="7">
        <f>IF(預測IC!BO13&gt;預測IC!BO$25,1,0)</f>
        <v>1</v>
      </c>
      <c r="BP13" s="7">
        <f>IF(預測IC!BP13&gt;預測IC!BP$25,1,0)</f>
        <v>0</v>
      </c>
      <c r="BQ13" s="7">
        <f>IF(預測IC!BQ13&gt;預測IC!BQ$25,1,0)</f>
        <v>1</v>
      </c>
      <c r="BR13" s="7">
        <f>IF(預測IC!BR13&gt;預測IC!BR$25,1,0)</f>
        <v>1</v>
      </c>
      <c r="BS13" s="7">
        <f>IF(預測IC!BS13&gt;預測IC!BS$25,1,0)</f>
        <v>0</v>
      </c>
      <c r="BT13" s="7">
        <f>IF(預測IC!BT13&gt;預測IC!BT$25,1,0)</f>
        <v>0</v>
      </c>
      <c r="BU13" s="7">
        <f>IF(預測IC!BU13&gt;預測IC!BU$25,1,0)</f>
        <v>1</v>
      </c>
      <c r="BV13" s="7">
        <f>IF(預測IC!BV13&gt;預測IC!BV$25,1,0)</f>
        <v>0</v>
      </c>
      <c r="BW13" s="7">
        <f>IF(預測IC!BW13&gt;預測IC!BW$25,1,0)</f>
        <v>1</v>
      </c>
      <c r="BX13" s="7">
        <f>IF(預測IC!BX13&gt;預測IC!BX$25,1,0)</f>
        <v>1</v>
      </c>
      <c r="BY13" s="7">
        <f>IF(預測IC!BY13&gt;預測IC!BY$25,1,0)</f>
        <v>1</v>
      </c>
      <c r="BZ13" s="7">
        <f>IF(預測IC!BZ13&gt;預測IC!BZ$25,1,0)</f>
        <v>0</v>
      </c>
      <c r="CA13" s="7">
        <f>IF(預測IC!CA13&gt;預測IC!CA$25,1,0)</f>
        <v>1</v>
      </c>
      <c r="CB13" s="7">
        <f>IF(預測IC!CB13&gt;預測IC!CB$25,1,0)</f>
        <v>1</v>
      </c>
      <c r="CC13" s="7">
        <f>IF(預測IC!CC13&gt;預測IC!CC$25,1,0)</f>
        <v>1</v>
      </c>
      <c r="CD13" s="7">
        <f>IF(預測IC!CD13&gt;預測IC!CD$25,1,0)</f>
        <v>1</v>
      </c>
      <c r="CE13" s="7">
        <f>IF(預測IC!CE13&gt;預測IC!CE$25,1,0)</f>
        <v>1</v>
      </c>
      <c r="CF13" s="7">
        <f>IF(預測IC!CF13&gt;預測IC!CF$25,1,0)</f>
        <v>0</v>
      </c>
      <c r="CG13" s="7">
        <f>IF(預測IC!CG13&gt;預測IC!CG$25,1,0)</f>
        <v>0</v>
      </c>
      <c r="CH13" s="7">
        <f>IF(預測IC!CH13&gt;預測IC!CH$25,1,0)</f>
        <v>0</v>
      </c>
      <c r="CI13" s="7">
        <f>IF(預測IC!CI13&gt;預測IC!CI$25,1,0)</f>
        <v>0</v>
      </c>
      <c r="CJ13" s="7">
        <f>IF(預測IC!CJ13&gt;預測IC!CJ$25,1,0)</f>
        <v>0</v>
      </c>
      <c r="CK13" s="7">
        <f>IF(預測IC!CK13&gt;預測IC!CK$25,1,0)</f>
        <v>1</v>
      </c>
      <c r="CL13" s="7">
        <f>IF(預測IC!CL13&gt;預測IC!CL$25,1,0)</f>
        <v>1</v>
      </c>
      <c r="CM13" s="7">
        <f>IF(預測IC!CM13&gt;預測IC!CM$25,1,0)</f>
        <v>1</v>
      </c>
      <c r="CN13" s="7">
        <f>IF(預測IC!CN13&gt;預測IC!CN$25,1,0)</f>
        <v>0</v>
      </c>
      <c r="CO13" s="7">
        <f>IF(預測IC!CO13&gt;預測IC!CO$25,1,0)</f>
        <v>1</v>
      </c>
      <c r="CP13" s="7">
        <f>IF(預測IC!CP13&gt;預測IC!CP$25,1,0)</f>
        <v>0</v>
      </c>
      <c r="CQ13" s="7">
        <f>IF(預測IC!CQ13&gt;預測IC!CQ$25,1,0)</f>
        <v>0</v>
      </c>
      <c r="CR13" s="7">
        <f>IF(預測IC!CR13&gt;預測IC!CR$25,1,0)</f>
        <v>0</v>
      </c>
      <c r="CS13" s="7">
        <f>IF(預測IC!CS13&gt;預測IC!CS$25,1,0)</f>
        <v>0</v>
      </c>
      <c r="CT13" s="7">
        <f>IF(預測IC!CT13&gt;預測IC!CT$25,1,0)</f>
        <v>0</v>
      </c>
      <c r="CU13" s="7">
        <f>IF(預測IC!CU13&gt;預測IC!CU$25,1,0)</f>
        <v>0</v>
      </c>
      <c r="CV13" s="7">
        <f>IF(預測IC!CV13&gt;預測IC!CV$25,1,0)</f>
        <v>1</v>
      </c>
      <c r="CW13" s="7">
        <f>IF(預測IC!CW13&gt;預測IC!CW$25,1,0)</f>
        <v>0</v>
      </c>
      <c r="CX13" s="7">
        <f>IF(預測IC!CX13&gt;預測IC!CX$25,1,0)</f>
        <v>1</v>
      </c>
      <c r="CY13" s="7">
        <f>IF(預測IC!CY13&gt;預測IC!CY$25,1,0)</f>
        <v>1</v>
      </c>
      <c r="CZ13" s="7">
        <f>IF(預測IC!CZ13&gt;預測IC!CZ$25,1,0)</f>
        <v>1</v>
      </c>
      <c r="DA13" s="7">
        <f>IF(預測IC!DA13&gt;預測IC!DA$25,1,0)</f>
        <v>0</v>
      </c>
      <c r="DB13" s="7">
        <f>IF(預測IC!DB13&gt;預測IC!DB$25,1,0)</f>
        <v>1</v>
      </c>
      <c r="DC13" s="7">
        <f>IF(預測IC!DC13&gt;預測IC!DC$25,1,0)</f>
        <v>1</v>
      </c>
      <c r="DD13" s="7">
        <f>IF(預測IC!DD13&gt;預測IC!DD$25,1,0)</f>
        <v>1</v>
      </c>
      <c r="DE13" s="7">
        <f>IF(預測IC!DE13&gt;預測IC!DE$25,1,0)</f>
        <v>0</v>
      </c>
      <c r="DF13" s="7">
        <f>IF(預測IC!DF13&gt;預測IC!DF$25,1,0)</f>
        <v>0</v>
      </c>
      <c r="DG13" s="7">
        <f>IF(預測IC!DG13&gt;預測IC!DG$25,1,0)</f>
        <v>0</v>
      </c>
      <c r="DH13" s="7">
        <f>IF(預測IC!DH13&gt;預測IC!DH$25,1,0)</f>
        <v>0</v>
      </c>
      <c r="DI13" s="7">
        <f>IF(預測IC!DI13&gt;預測IC!DI$25,1,0)</f>
        <v>0</v>
      </c>
      <c r="DJ13" s="7">
        <f>IF(預測IC!DJ13&gt;預測IC!DJ$25,1,0)</f>
        <v>1</v>
      </c>
      <c r="DK13" s="7">
        <f>IF(預測IC!DK13&gt;預測IC!DK$25,1,0)</f>
        <v>0</v>
      </c>
      <c r="DL13" s="7">
        <f>IF(預測IC!DL13&gt;預測IC!DL$25,1,0)</f>
        <v>1</v>
      </c>
      <c r="DM13" s="7">
        <f>IF(預測IC!DM13&gt;預測IC!DM$25,1,0)</f>
        <v>0</v>
      </c>
      <c r="DN13" s="7">
        <f>IF(預測IC!DN13&gt;預測IC!DN$25,1,0)</f>
        <v>1</v>
      </c>
      <c r="DO13" s="7">
        <f>IF(預測IC!DO13&gt;預測IC!DO$25,1,0)</f>
        <v>1</v>
      </c>
      <c r="DP13" s="7">
        <f>IF(預測IC!DP13&gt;預測IC!DP$25,1,0)</f>
        <v>0</v>
      </c>
      <c r="DQ13" s="7">
        <f>IF(預測IC!DQ13&gt;預測IC!DQ$25,1,0)</f>
        <v>0</v>
      </c>
      <c r="DR13" s="7">
        <f>IF(預測IC!DR13&gt;預測IC!DR$25,1,0)</f>
        <v>0</v>
      </c>
      <c r="DS13" s="7">
        <f>IF(預測IC!DS13&gt;預測IC!DS$25,1,0)</f>
        <v>0</v>
      </c>
      <c r="DT13" s="7">
        <f>IF(預測IC!DT13&gt;預測IC!DT$25,1,0)</f>
        <v>0</v>
      </c>
      <c r="DU13" s="7">
        <f>IF(預測IC!DU13&gt;預測IC!DU$25,1,0)</f>
        <v>0</v>
      </c>
      <c r="DV13" s="7">
        <f>IF(預測IC!DV13&gt;預測IC!DV$25,1,0)</f>
        <v>0</v>
      </c>
      <c r="DW13" s="7">
        <f>IF(預測IC!DW13&gt;預測IC!DW$25,1,0)</f>
        <v>1</v>
      </c>
      <c r="DX13" s="7">
        <f>IF(預測IC!DX13&gt;預測IC!DX$25,1,0)</f>
        <v>0</v>
      </c>
      <c r="DY13" s="7">
        <f>IF(預測IC!DY13&gt;預測IC!DY$25,1,0)</f>
        <v>1</v>
      </c>
      <c r="DZ13" s="7">
        <f>IF(預測IC!DZ13&gt;預測IC!DZ$25,1,0)</f>
        <v>0</v>
      </c>
      <c r="EA13" s="7">
        <f>IF(預測IC!EA13&gt;預測IC!EA$25,1,0)</f>
        <v>0</v>
      </c>
      <c r="EB13" s="7">
        <f>IF(預測IC!EB13&gt;預測IC!EB$25,1,0)</f>
        <v>0</v>
      </c>
      <c r="EC13" s="7">
        <f>IF(預測IC!EC13&gt;預測IC!EC$25,1,0)</f>
        <v>1</v>
      </c>
      <c r="ED13" s="7">
        <f>IF(預測IC!ED13&gt;預測IC!ED$25,1,0)</f>
        <v>1</v>
      </c>
      <c r="EE13" s="7">
        <f>IF(預測IC!EE13&gt;預測IC!EE$25,1,0)</f>
        <v>1</v>
      </c>
      <c r="EF13" s="7">
        <f>IF(預測IC!EF13&gt;預測IC!EF$25,1,0)</f>
        <v>0</v>
      </c>
      <c r="EG13">
        <f t="shared" si="6"/>
        <v>59</v>
      </c>
      <c r="EH13" s="9">
        <f t="shared" si="7"/>
        <v>0.44029850746268656</v>
      </c>
    </row>
    <row r="14" spans="1:138" x14ac:dyDescent="0.3">
      <c r="A14" s="1">
        <v>50</v>
      </c>
      <c r="B14" s="1">
        <v>19</v>
      </c>
      <c r="C14" s="7">
        <f>IF(預測IC!C14&gt;預測IC!C$25,1,0)</f>
        <v>0</v>
      </c>
      <c r="D14" s="7">
        <f>IF(預測IC!D14&gt;預測IC!D$25,1,0)</f>
        <v>1</v>
      </c>
      <c r="E14" s="7">
        <f>IF(預測IC!E14&gt;預測IC!E$25,1,0)</f>
        <v>1</v>
      </c>
      <c r="F14" s="7">
        <f>IF(預測IC!F14&gt;預測IC!F$25,1,0)</f>
        <v>1</v>
      </c>
      <c r="G14" s="7">
        <f>IF(預測IC!G14&gt;預測IC!G$25,1,0)</f>
        <v>1</v>
      </c>
      <c r="H14" s="7">
        <f>IF(預測IC!H14&gt;預測IC!H$25,1,0)</f>
        <v>0</v>
      </c>
      <c r="I14" s="7">
        <f>IF(預測IC!I14&gt;預測IC!I$25,1,0)</f>
        <v>0</v>
      </c>
      <c r="J14" s="7">
        <f>IF(預測IC!J14&gt;預測IC!J$25,1,0)</f>
        <v>0</v>
      </c>
      <c r="K14" s="7">
        <f>IF(預測IC!K14&gt;預測IC!K$25,1,0)</f>
        <v>1</v>
      </c>
      <c r="L14" s="7">
        <f>IF(預測IC!L14&gt;預測IC!L$25,1,0)</f>
        <v>0</v>
      </c>
      <c r="M14" s="7">
        <f>IF(預測IC!M14&gt;預測IC!M$25,1,0)</f>
        <v>0</v>
      </c>
      <c r="N14" s="7">
        <f>IF(預測IC!N14&gt;預測IC!N$25,1,0)</f>
        <v>0</v>
      </c>
      <c r="O14" s="7">
        <f>IF(預測IC!O14&gt;預測IC!O$25,1,0)</f>
        <v>1</v>
      </c>
      <c r="P14" s="7">
        <f>IF(預測IC!P14&gt;預測IC!P$25,1,0)</f>
        <v>0</v>
      </c>
      <c r="Q14" s="7">
        <f>IF(預測IC!Q14&gt;預測IC!Q$25,1,0)</f>
        <v>1</v>
      </c>
      <c r="R14" s="7">
        <f>IF(預測IC!R14&gt;預測IC!R$25,1,0)</f>
        <v>0</v>
      </c>
      <c r="S14" s="7">
        <f>IF(預測IC!S14&gt;預測IC!S$25,1,0)</f>
        <v>1</v>
      </c>
      <c r="T14" s="7">
        <f>IF(預測IC!T14&gt;預測IC!T$25,1,0)</f>
        <v>1</v>
      </c>
      <c r="U14" s="7">
        <f>IF(預測IC!U14&gt;預測IC!U$25,1,0)</f>
        <v>1</v>
      </c>
      <c r="V14" s="7">
        <f>IF(預測IC!V14&gt;預測IC!V$25,1,0)</f>
        <v>1</v>
      </c>
      <c r="W14" s="7">
        <f>IF(預測IC!W14&gt;預測IC!W$25,1,0)</f>
        <v>0</v>
      </c>
      <c r="X14" s="7">
        <f>IF(預測IC!X14&gt;預測IC!X$25,1,0)</f>
        <v>1</v>
      </c>
      <c r="Y14" s="7">
        <f>IF(預測IC!Y14&gt;預測IC!Y$25,1,0)</f>
        <v>0</v>
      </c>
      <c r="Z14" s="7">
        <f>IF(預測IC!Z14&gt;預測IC!Z$25,1,0)</f>
        <v>1</v>
      </c>
      <c r="AA14" s="7">
        <f>IF(預測IC!AA14&gt;預測IC!AA$25,1,0)</f>
        <v>1</v>
      </c>
      <c r="AB14" s="7">
        <f>IF(預測IC!AB14&gt;預測IC!AB$25,1,0)</f>
        <v>0</v>
      </c>
      <c r="AC14" s="7">
        <f>IF(預測IC!AC14&gt;預測IC!AC$25,1,0)</f>
        <v>0</v>
      </c>
      <c r="AD14" s="7">
        <f>IF(預測IC!AD14&gt;預測IC!AD$25,1,0)</f>
        <v>1</v>
      </c>
      <c r="AE14" s="7">
        <f>IF(預測IC!AE14&gt;預測IC!AE$25,1,0)</f>
        <v>0</v>
      </c>
      <c r="AF14" s="7">
        <f>IF(預測IC!AF14&gt;預測IC!AF$25,1,0)</f>
        <v>0</v>
      </c>
      <c r="AG14" s="7">
        <f>IF(預測IC!AG14&gt;預測IC!AG$25,1,0)</f>
        <v>0</v>
      </c>
      <c r="AH14" s="7">
        <f>IF(預測IC!AH14&gt;預測IC!AH$25,1,0)</f>
        <v>0</v>
      </c>
      <c r="AI14" s="7">
        <f>IF(預測IC!AI14&gt;預測IC!AI$25,1,0)</f>
        <v>0</v>
      </c>
      <c r="AJ14" s="7">
        <f>IF(預測IC!AJ14&gt;預測IC!AJ$25,1,0)</f>
        <v>0</v>
      </c>
      <c r="AK14" s="7">
        <f>IF(預測IC!AK14&gt;預測IC!AK$25,1,0)</f>
        <v>0</v>
      </c>
      <c r="AL14" s="7">
        <f>IF(預測IC!AL14&gt;預測IC!AL$25,1,0)</f>
        <v>0</v>
      </c>
      <c r="AM14" s="7">
        <f>IF(預測IC!AM14&gt;預測IC!AM$25,1,0)</f>
        <v>0</v>
      </c>
      <c r="AN14" s="7">
        <f>IF(預測IC!AN14&gt;預測IC!AN$25,1,0)</f>
        <v>0</v>
      </c>
      <c r="AO14" s="7">
        <f>IF(預測IC!AO14&gt;預測IC!AO$25,1,0)</f>
        <v>0</v>
      </c>
      <c r="AP14" s="7">
        <f>IF(預測IC!AP14&gt;預測IC!AP$25,1,0)</f>
        <v>1</v>
      </c>
      <c r="AQ14" s="7">
        <f>IF(預測IC!AQ14&gt;預測IC!AQ$25,1,0)</f>
        <v>0</v>
      </c>
      <c r="AR14" s="7">
        <f>IF(預測IC!AR14&gt;預測IC!AR$25,1,0)</f>
        <v>0</v>
      </c>
      <c r="AS14" s="7">
        <f>IF(預測IC!AS14&gt;預測IC!AS$25,1,0)</f>
        <v>1</v>
      </c>
      <c r="AT14" s="7">
        <f>IF(預測IC!AT14&gt;預測IC!AT$25,1,0)</f>
        <v>1</v>
      </c>
      <c r="AU14" s="7">
        <f>IF(預測IC!AU14&gt;預測IC!AU$25,1,0)</f>
        <v>1</v>
      </c>
      <c r="AV14" s="7">
        <f>IF(預測IC!AV14&gt;預測IC!AV$25,1,0)</f>
        <v>0</v>
      </c>
      <c r="AW14" s="7">
        <f>IF(預測IC!AW14&gt;預測IC!AW$25,1,0)</f>
        <v>1</v>
      </c>
      <c r="AX14" s="7">
        <f>IF(預測IC!AX14&gt;預測IC!AX$25,1,0)</f>
        <v>0</v>
      </c>
      <c r="AY14" s="7">
        <f>IF(預測IC!AY14&gt;預測IC!AY$25,1,0)</f>
        <v>0</v>
      </c>
      <c r="AZ14" s="7">
        <f>IF(預測IC!AZ14&gt;預測IC!AZ$25,1,0)</f>
        <v>0</v>
      </c>
      <c r="BA14" s="7">
        <f>IF(預測IC!BA14&gt;預測IC!BA$25,1,0)</f>
        <v>1</v>
      </c>
      <c r="BB14" s="7">
        <f>IF(預測IC!BB14&gt;預測IC!BB$25,1,0)</f>
        <v>1</v>
      </c>
      <c r="BC14" s="7">
        <f>IF(預測IC!BC14&gt;預測IC!BC$25,1,0)</f>
        <v>0</v>
      </c>
      <c r="BD14" s="7">
        <f>IF(預測IC!BD14&gt;預測IC!BD$25,1,0)</f>
        <v>1</v>
      </c>
      <c r="BE14" s="7">
        <f>IF(預測IC!BE14&gt;預測IC!BE$25,1,0)</f>
        <v>0</v>
      </c>
      <c r="BF14" s="7">
        <f>IF(預測IC!BF14&gt;預測IC!BF$25,1,0)</f>
        <v>0</v>
      </c>
      <c r="BG14" s="7">
        <f>IF(預測IC!BG14&gt;預測IC!BG$25,1,0)</f>
        <v>1</v>
      </c>
      <c r="BH14" s="7">
        <f>IF(預測IC!BH14&gt;預測IC!BH$25,1,0)</f>
        <v>1</v>
      </c>
      <c r="BI14" s="7">
        <f>IF(預測IC!BI14&gt;預測IC!BI$25,1,0)</f>
        <v>1</v>
      </c>
      <c r="BJ14" s="7">
        <f>IF(預測IC!BJ14&gt;預測IC!BJ$25,1,0)</f>
        <v>0</v>
      </c>
      <c r="BK14" s="7">
        <f>IF(預測IC!BK14&gt;預測IC!BK$25,1,0)</f>
        <v>1</v>
      </c>
      <c r="BL14" s="7">
        <f>IF(預測IC!BL14&gt;預測IC!BL$25,1,0)</f>
        <v>0</v>
      </c>
      <c r="BM14" s="7">
        <f>IF(預測IC!BM14&gt;預測IC!BM$25,1,0)</f>
        <v>0</v>
      </c>
      <c r="BN14" s="7">
        <f>IF(預測IC!BN14&gt;預測IC!BN$25,1,0)</f>
        <v>1</v>
      </c>
      <c r="BO14" s="7">
        <f>IF(預測IC!BO14&gt;預測IC!BO$25,1,0)</f>
        <v>1</v>
      </c>
      <c r="BP14" s="7">
        <f>IF(預測IC!BP14&gt;預測IC!BP$25,1,0)</f>
        <v>0</v>
      </c>
      <c r="BQ14" s="7">
        <f>IF(預測IC!BQ14&gt;預測IC!BQ$25,1,0)</f>
        <v>1</v>
      </c>
      <c r="BR14" s="7">
        <f>IF(預測IC!BR14&gt;預測IC!BR$25,1,0)</f>
        <v>1</v>
      </c>
      <c r="BS14" s="7">
        <f>IF(預測IC!BS14&gt;預測IC!BS$25,1,0)</f>
        <v>0</v>
      </c>
      <c r="BT14" s="7">
        <f>IF(預測IC!BT14&gt;預測IC!BT$25,1,0)</f>
        <v>0</v>
      </c>
      <c r="BU14" s="7">
        <f>IF(預測IC!BU14&gt;預測IC!BU$25,1,0)</f>
        <v>0</v>
      </c>
      <c r="BV14" s="7">
        <f>IF(預測IC!BV14&gt;預測IC!BV$25,1,0)</f>
        <v>0</v>
      </c>
      <c r="BW14" s="7">
        <f>IF(預測IC!BW14&gt;預測IC!BW$25,1,0)</f>
        <v>1</v>
      </c>
      <c r="BX14" s="7">
        <f>IF(預測IC!BX14&gt;預測IC!BX$25,1,0)</f>
        <v>1</v>
      </c>
      <c r="BY14" s="7">
        <f>IF(預測IC!BY14&gt;預測IC!BY$25,1,0)</f>
        <v>1</v>
      </c>
      <c r="BZ14" s="7">
        <f>IF(預測IC!BZ14&gt;預測IC!BZ$25,1,0)</f>
        <v>0</v>
      </c>
      <c r="CA14" s="7">
        <f>IF(預測IC!CA14&gt;預測IC!CA$25,1,0)</f>
        <v>1</v>
      </c>
      <c r="CB14" s="7">
        <f>IF(預測IC!CB14&gt;預測IC!CB$25,1,0)</f>
        <v>1</v>
      </c>
      <c r="CC14" s="7">
        <f>IF(預測IC!CC14&gt;預測IC!CC$25,1,0)</f>
        <v>1</v>
      </c>
      <c r="CD14" s="7">
        <f>IF(預測IC!CD14&gt;預測IC!CD$25,1,0)</f>
        <v>1</v>
      </c>
      <c r="CE14" s="7">
        <f>IF(預測IC!CE14&gt;預測IC!CE$25,1,0)</f>
        <v>1</v>
      </c>
      <c r="CF14" s="7">
        <f>IF(預測IC!CF14&gt;預測IC!CF$25,1,0)</f>
        <v>0</v>
      </c>
      <c r="CG14" s="7">
        <f>IF(預測IC!CG14&gt;預測IC!CG$25,1,0)</f>
        <v>1</v>
      </c>
      <c r="CH14" s="7">
        <f>IF(預測IC!CH14&gt;預測IC!CH$25,1,0)</f>
        <v>0</v>
      </c>
      <c r="CI14" s="7">
        <f>IF(預測IC!CI14&gt;預測IC!CI$25,1,0)</f>
        <v>0</v>
      </c>
      <c r="CJ14" s="7">
        <f>IF(預測IC!CJ14&gt;預測IC!CJ$25,1,0)</f>
        <v>0</v>
      </c>
      <c r="CK14" s="7">
        <f>IF(預測IC!CK14&gt;預測IC!CK$25,1,0)</f>
        <v>0</v>
      </c>
      <c r="CL14" s="7">
        <f>IF(預測IC!CL14&gt;預測IC!CL$25,1,0)</f>
        <v>0</v>
      </c>
      <c r="CM14" s="7">
        <f>IF(預測IC!CM14&gt;預測IC!CM$25,1,0)</f>
        <v>1</v>
      </c>
      <c r="CN14" s="7">
        <f>IF(預測IC!CN14&gt;預測IC!CN$25,1,0)</f>
        <v>0</v>
      </c>
      <c r="CO14" s="7">
        <f>IF(預測IC!CO14&gt;預測IC!CO$25,1,0)</f>
        <v>1</v>
      </c>
      <c r="CP14" s="7">
        <f>IF(預測IC!CP14&gt;預測IC!CP$25,1,0)</f>
        <v>0</v>
      </c>
      <c r="CQ14" s="7">
        <f>IF(預測IC!CQ14&gt;預測IC!CQ$25,1,0)</f>
        <v>0</v>
      </c>
      <c r="CR14" s="7">
        <f>IF(預測IC!CR14&gt;預測IC!CR$25,1,0)</f>
        <v>0</v>
      </c>
      <c r="CS14" s="7">
        <f>IF(預測IC!CS14&gt;預測IC!CS$25,1,0)</f>
        <v>0</v>
      </c>
      <c r="CT14" s="7">
        <f>IF(預測IC!CT14&gt;預測IC!CT$25,1,0)</f>
        <v>0</v>
      </c>
      <c r="CU14" s="7">
        <f>IF(預測IC!CU14&gt;預測IC!CU$25,1,0)</f>
        <v>1</v>
      </c>
      <c r="CV14" s="7">
        <f>IF(預測IC!CV14&gt;預測IC!CV$25,1,0)</f>
        <v>0</v>
      </c>
      <c r="CW14" s="7">
        <f>IF(預測IC!CW14&gt;預測IC!CW$25,1,0)</f>
        <v>1</v>
      </c>
      <c r="CX14" s="7">
        <f>IF(預測IC!CX14&gt;預測IC!CX$25,1,0)</f>
        <v>1</v>
      </c>
      <c r="CY14" s="7">
        <f>IF(預測IC!CY14&gt;預測IC!CY$25,1,0)</f>
        <v>1</v>
      </c>
      <c r="CZ14" s="7">
        <f>IF(預測IC!CZ14&gt;預測IC!CZ$25,1,0)</f>
        <v>1</v>
      </c>
      <c r="DA14" s="7">
        <f>IF(預測IC!DA14&gt;預測IC!DA$25,1,0)</f>
        <v>1</v>
      </c>
      <c r="DB14" s="7">
        <f>IF(預測IC!DB14&gt;預測IC!DB$25,1,0)</f>
        <v>1</v>
      </c>
      <c r="DC14" s="7">
        <f>IF(預測IC!DC14&gt;預測IC!DC$25,1,0)</f>
        <v>1</v>
      </c>
      <c r="DD14" s="7">
        <f>IF(預測IC!DD14&gt;預測IC!DD$25,1,0)</f>
        <v>1</v>
      </c>
      <c r="DE14" s="7">
        <f>IF(預測IC!DE14&gt;預測IC!DE$25,1,0)</f>
        <v>0</v>
      </c>
      <c r="DF14" s="7">
        <f>IF(預測IC!DF14&gt;預測IC!DF$25,1,0)</f>
        <v>0</v>
      </c>
      <c r="DG14" s="7">
        <f>IF(預測IC!DG14&gt;預測IC!DG$25,1,0)</f>
        <v>0</v>
      </c>
      <c r="DH14" s="7">
        <f>IF(預測IC!DH14&gt;預測IC!DH$25,1,0)</f>
        <v>0</v>
      </c>
      <c r="DI14" s="7">
        <f>IF(預測IC!DI14&gt;預測IC!DI$25,1,0)</f>
        <v>0</v>
      </c>
      <c r="DJ14" s="7">
        <f>IF(預測IC!DJ14&gt;預測IC!DJ$25,1,0)</f>
        <v>1</v>
      </c>
      <c r="DK14" s="7">
        <f>IF(預測IC!DK14&gt;預測IC!DK$25,1,0)</f>
        <v>0</v>
      </c>
      <c r="DL14" s="7">
        <f>IF(預測IC!DL14&gt;預測IC!DL$25,1,0)</f>
        <v>1</v>
      </c>
      <c r="DM14" s="7">
        <f>IF(預測IC!DM14&gt;預測IC!DM$25,1,0)</f>
        <v>0</v>
      </c>
      <c r="DN14" s="7">
        <f>IF(預測IC!DN14&gt;預測IC!DN$25,1,0)</f>
        <v>1</v>
      </c>
      <c r="DO14" s="7">
        <f>IF(預測IC!DO14&gt;預測IC!DO$25,1,0)</f>
        <v>1</v>
      </c>
      <c r="DP14" s="7">
        <f>IF(預測IC!DP14&gt;預測IC!DP$25,1,0)</f>
        <v>1</v>
      </c>
      <c r="DQ14" s="7">
        <f>IF(預測IC!DQ14&gt;預測IC!DQ$25,1,0)</f>
        <v>0</v>
      </c>
      <c r="DR14" s="7">
        <f>IF(預測IC!DR14&gt;預測IC!DR$25,1,0)</f>
        <v>0</v>
      </c>
      <c r="DS14" s="7">
        <f>IF(預測IC!DS14&gt;預測IC!DS$25,1,0)</f>
        <v>0</v>
      </c>
      <c r="DT14" s="7">
        <f>IF(預測IC!DT14&gt;預測IC!DT$25,1,0)</f>
        <v>0</v>
      </c>
      <c r="DU14" s="7">
        <f>IF(預測IC!DU14&gt;預測IC!DU$25,1,0)</f>
        <v>0</v>
      </c>
      <c r="DV14" s="7">
        <f>IF(預測IC!DV14&gt;預測IC!DV$25,1,0)</f>
        <v>0</v>
      </c>
      <c r="DW14" s="7">
        <f>IF(預測IC!DW14&gt;預測IC!DW$25,1,0)</f>
        <v>1</v>
      </c>
      <c r="DX14" s="7">
        <f>IF(預測IC!DX14&gt;預測IC!DX$25,1,0)</f>
        <v>0</v>
      </c>
      <c r="DY14" s="7">
        <f>IF(預測IC!DY14&gt;預測IC!DY$25,1,0)</f>
        <v>0</v>
      </c>
      <c r="DZ14" s="7">
        <f>IF(預測IC!DZ14&gt;預測IC!DZ$25,1,0)</f>
        <v>0</v>
      </c>
      <c r="EA14" s="7">
        <f>IF(預測IC!EA14&gt;預測IC!EA$25,1,0)</f>
        <v>0</v>
      </c>
      <c r="EB14" s="7">
        <f>IF(預測IC!EB14&gt;預測IC!EB$25,1,0)</f>
        <v>0</v>
      </c>
      <c r="EC14" s="7">
        <f>IF(預測IC!EC14&gt;預測IC!EC$25,1,0)</f>
        <v>1</v>
      </c>
      <c r="ED14" s="7">
        <f>IF(預測IC!ED14&gt;預測IC!ED$25,1,0)</f>
        <v>1</v>
      </c>
      <c r="EE14" s="7">
        <f>IF(預測IC!EE14&gt;預測IC!EE$25,1,0)</f>
        <v>0</v>
      </c>
      <c r="EF14" s="7">
        <f>IF(預測IC!EF14&gt;預測IC!EF$25,1,0)</f>
        <v>0</v>
      </c>
      <c r="EG14">
        <f t="shared" si="6"/>
        <v>59</v>
      </c>
      <c r="EH14" s="9">
        <f t="shared" si="7"/>
        <v>0.44029850746268656</v>
      </c>
    </row>
    <row r="15" spans="1:138" x14ac:dyDescent="0.3">
      <c r="A15" s="1">
        <v>100</v>
      </c>
      <c r="B15" s="1">
        <v>10</v>
      </c>
      <c r="C15" s="7">
        <f>IF(預測IC!C15&gt;預測IC!C$25,1,0)</f>
        <v>0</v>
      </c>
      <c r="D15" s="7">
        <f>IF(預測IC!D15&gt;預測IC!D$25,1,0)</f>
        <v>1</v>
      </c>
      <c r="E15" s="7">
        <f>IF(預測IC!E15&gt;預測IC!E$25,1,0)</f>
        <v>0</v>
      </c>
      <c r="F15" s="7">
        <f>IF(預測IC!F15&gt;預測IC!F$25,1,0)</f>
        <v>1</v>
      </c>
      <c r="G15" s="7">
        <f>IF(預測IC!G15&gt;預測IC!G$25,1,0)</f>
        <v>1</v>
      </c>
      <c r="H15" s="7">
        <f>IF(預測IC!H15&gt;預測IC!H$25,1,0)</f>
        <v>0</v>
      </c>
      <c r="I15" s="7">
        <f>IF(預測IC!I15&gt;預測IC!I$25,1,0)</f>
        <v>0</v>
      </c>
      <c r="J15" s="7">
        <f>IF(預測IC!J15&gt;預測IC!J$25,1,0)</f>
        <v>0</v>
      </c>
      <c r="K15" s="7">
        <f>IF(預測IC!K15&gt;預測IC!K$25,1,0)</f>
        <v>1</v>
      </c>
      <c r="L15" s="7">
        <f>IF(預測IC!L15&gt;預測IC!L$25,1,0)</f>
        <v>0</v>
      </c>
      <c r="M15" s="7">
        <f>IF(預測IC!M15&gt;預測IC!M$25,1,0)</f>
        <v>0</v>
      </c>
      <c r="N15" s="7">
        <f>IF(預測IC!N15&gt;預測IC!N$25,1,0)</f>
        <v>0</v>
      </c>
      <c r="O15" s="7">
        <f>IF(預測IC!O15&gt;預測IC!O$25,1,0)</f>
        <v>1</v>
      </c>
      <c r="P15" s="7">
        <f>IF(預測IC!P15&gt;預測IC!P$25,1,0)</f>
        <v>0</v>
      </c>
      <c r="Q15" s="7">
        <f>IF(預測IC!Q15&gt;預測IC!Q$25,1,0)</f>
        <v>1</v>
      </c>
      <c r="R15" s="7">
        <f>IF(預測IC!R15&gt;預測IC!R$25,1,0)</f>
        <v>0</v>
      </c>
      <c r="S15" s="7">
        <f>IF(預測IC!S15&gt;預測IC!S$25,1,0)</f>
        <v>0</v>
      </c>
      <c r="T15" s="7">
        <f>IF(預測IC!T15&gt;預測IC!T$25,1,0)</f>
        <v>0</v>
      </c>
      <c r="U15" s="7">
        <f>IF(預測IC!U15&gt;預測IC!U$25,1,0)</f>
        <v>1</v>
      </c>
      <c r="V15" s="7">
        <f>IF(預測IC!V15&gt;預測IC!V$25,1,0)</f>
        <v>0</v>
      </c>
      <c r="W15" s="7">
        <f>IF(預測IC!W15&gt;預測IC!W$25,1,0)</f>
        <v>0</v>
      </c>
      <c r="X15" s="7">
        <f>IF(預測IC!X15&gt;預測IC!X$25,1,0)</f>
        <v>1</v>
      </c>
      <c r="Y15" s="7">
        <f>IF(預測IC!Y15&gt;預測IC!Y$25,1,0)</f>
        <v>0</v>
      </c>
      <c r="Z15" s="7">
        <f>IF(預測IC!Z15&gt;預測IC!Z$25,1,0)</f>
        <v>0</v>
      </c>
      <c r="AA15" s="7">
        <f>IF(預測IC!AA15&gt;預測IC!AA$25,1,0)</f>
        <v>1</v>
      </c>
      <c r="AB15" s="7">
        <f>IF(預測IC!AB15&gt;預測IC!AB$25,1,0)</f>
        <v>0</v>
      </c>
      <c r="AC15" s="7">
        <f>IF(預測IC!AC15&gt;預測IC!AC$25,1,0)</f>
        <v>0</v>
      </c>
      <c r="AD15" s="7">
        <f>IF(預測IC!AD15&gt;預測IC!AD$25,1,0)</f>
        <v>1</v>
      </c>
      <c r="AE15" s="7">
        <f>IF(預測IC!AE15&gt;預測IC!AE$25,1,0)</f>
        <v>1</v>
      </c>
      <c r="AF15" s="7">
        <f>IF(預測IC!AF15&gt;預測IC!AF$25,1,0)</f>
        <v>0</v>
      </c>
      <c r="AG15" s="7">
        <f>IF(預測IC!AG15&gt;預測IC!AG$25,1,0)</f>
        <v>1</v>
      </c>
      <c r="AH15" s="7">
        <f>IF(預測IC!AH15&gt;預測IC!AH$25,1,0)</f>
        <v>1</v>
      </c>
      <c r="AI15" s="7">
        <f>IF(預測IC!AI15&gt;預測IC!AI$25,1,0)</f>
        <v>0</v>
      </c>
      <c r="AJ15" s="7">
        <f>IF(預測IC!AJ15&gt;預測IC!AJ$25,1,0)</f>
        <v>0</v>
      </c>
      <c r="AK15" s="7">
        <f>IF(預測IC!AK15&gt;預測IC!AK$25,1,0)</f>
        <v>0</v>
      </c>
      <c r="AL15" s="7">
        <f>IF(預測IC!AL15&gt;預測IC!AL$25,1,0)</f>
        <v>0</v>
      </c>
      <c r="AM15" s="7">
        <f>IF(預測IC!AM15&gt;預測IC!AM$25,1,0)</f>
        <v>0</v>
      </c>
      <c r="AN15" s="7">
        <f>IF(預測IC!AN15&gt;預測IC!AN$25,1,0)</f>
        <v>0</v>
      </c>
      <c r="AO15" s="7">
        <f>IF(預測IC!AO15&gt;預測IC!AO$25,1,0)</f>
        <v>0</v>
      </c>
      <c r="AP15" s="7">
        <f>IF(預測IC!AP15&gt;預測IC!AP$25,1,0)</f>
        <v>1</v>
      </c>
      <c r="AQ15" s="7">
        <f>IF(預測IC!AQ15&gt;預測IC!AQ$25,1,0)</f>
        <v>1</v>
      </c>
      <c r="AR15" s="7">
        <f>IF(預測IC!AR15&gt;預測IC!AR$25,1,0)</f>
        <v>0</v>
      </c>
      <c r="AS15" s="7">
        <f>IF(預測IC!AS15&gt;預測IC!AS$25,1,0)</f>
        <v>1</v>
      </c>
      <c r="AT15" s="7">
        <f>IF(預測IC!AT15&gt;預測IC!AT$25,1,0)</f>
        <v>1</v>
      </c>
      <c r="AU15" s="7">
        <f>IF(預測IC!AU15&gt;預測IC!AU$25,1,0)</f>
        <v>1</v>
      </c>
      <c r="AV15" s="7">
        <f>IF(預測IC!AV15&gt;預測IC!AV$25,1,0)</f>
        <v>0</v>
      </c>
      <c r="AW15" s="7">
        <f>IF(預測IC!AW15&gt;預測IC!AW$25,1,0)</f>
        <v>1</v>
      </c>
      <c r="AX15" s="7">
        <f>IF(預測IC!AX15&gt;預測IC!AX$25,1,0)</f>
        <v>0</v>
      </c>
      <c r="AY15" s="7">
        <f>IF(預測IC!AY15&gt;預測IC!AY$25,1,0)</f>
        <v>0</v>
      </c>
      <c r="AZ15" s="7">
        <f>IF(預測IC!AZ15&gt;預測IC!AZ$25,1,0)</f>
        <v>0</v>
      </c>
      <c r="BA15" s="7">
        <f>IF(預測IC!BA15&gt;預測IC!BA$25,1,0)</f>
        <v>1</v>
      </c>
      <c r="BB15" s="7">
        <f>IF(預測IC!BB15&gt;預測IC!BB$25,1,0)</f>
        <v>1</v>
      </c>
      <c r="BC15" s="7">
        <f>IF(預測IC!BC15&gt;預測IC!BC$25,1,0)</f>
        <v>0</v>
      </c>
      <c r="BD15" s="7">
        <f>IF(預測IC!BD15&gt;預測IC!BD$25,1,0)</f>
        <v>1</v>
      </c>
      <c r="BE15" s="7">
        <f>IF(預測IC!BE15&gt;預測IC!BE$25,1,0)</f>
        <v>0</v>
      </c>
      <c r="BF15" s="7">
        <f>IF(預測IC!BF15&gt;預測IC!BF$25,1,0)</f>
        <v>0</v>
      </c>
      <c r="BG15" s="7">
        <f>IF(預測IC!BG15&gt;預測IC!BG$25,1,0)</f>
        <v>1</v>
      </c>
      <c r="BH15" s="7">
        <f>IF(預測IC!BH15&gt;預測IC!BH$25,1,0)</f>
        <v>1</v>
      </c>
      <c r="BI15" s="7">
        <f>IF(預測IC!BI15&gt;預測IC!BI$25,1,0)</f>
        <v>1</v>
      </c>
      <c r="BJ15" s="7">
        <f>IF(預測IC!BJ15&gt;預測IC!BJ$25,1,0)</f>
        <v>1</v>
      </c>
      <c r="BK15" s="7">
        <f>IF(預測IC!BK15&gt;預測IC!BK$25,1,0)</f>
        <v>1</v>
      </c>
      <c r="BL15" s="7">
        <f>IF(預測IC!BL15&gt;預測IC!BL$25,1,0)</f>
        <v>0</v>
      </c>
      <c r="BM15" s="7">
        <f>IF(預測IC!BM15&gt;預測IC!BM$25,1,0)</f>
        <v>0</v>
      </c>
      <c r="BN15" s="7">
        <f>IF(預測IC!BN15&gt;預測IC!BN$25,1,0)</f>
        <v>1</v>
      </c>
      <c r="BO15" s="7">
        <f>IF(預測IC!BO15&gt;預測IC!BO$25,1,0)</f>
        <v>1</v>
      </c>
      <c r="BP15" s="7">
        <f>IF(預測IC!BP15&gt;預測IC!BP$25,1,0)</f>
        <v>0</v>
      </c>
      <c r="BQ15" s="7">
        <f>IF(預測IC!BQ15&gt;預測IC!BQ$25,1,0)</f>
        <v>1</v>
      </c>
      <c r="BR15" s="7">
        <f>IF(預測IC!BR15&gt;預測IC!BR$25,1,0)</f>
        <v>1</v>
      </c>
      <c r="BS15" s="7">
        <f>IF(預測IC!BS15&gt;預測IC!BS$25,1,0)</f>
        <v>0</v>
      </c>
      <c r="BT15" s="7">
        <f>IF(預測IC!BT15&gt;預測IC!BT$25,1,0)</f>
        <v>0</v>
      </c>
      <c r="BU15" s="7">
        <f>IF(預測IC!BU15&gt;預測IC!BU$25,1,0)</f>
        <v>1</v>
      </c>
      <c r="BV15" s="7">
        <f>IF(預測IC!BV15&gt;預測IC!BV$25,1,0)</f>
        <v>1</v>
      </c>
      <c r="BW15" s="7">
        <f>IF(預測IC!BW15&gt;預測IC!BW$25,1,0)</f>
        <v>1</v>
      </c>
      <c r="BX15" s="7">
        <f>IF(預測IC!BX15&gt;預測IC!BX$25,1,0)</f>
        <v>1</v>
      </c>
      <c r="BY15" s="7">
        <f>IF(預測IC!BY15&gt;預測IC!BY$25,1,0)</f>
        <v>1</v>
      </c>
      <c r="BZ15" s="7">
        <f>IF(預測IC!BZ15&gt;預測IC!BZ$25,1,0)</f>
        <v>0</v>
      </c>
      <c r="CA15" s="7">
        <f>IF(預測IC!CA15&gt;預測IC!CA$25,1,0)</f>
        <v>1</v>
      </c>
      <c r="CB15" s="7">
        <f>IF(預測IC!CB15&gt;預測IC!CB$25,1,0)</f>
        <v>1</v>
      </c>
      <c r="CC15" s="7">
        <f>IF(預測IC!CC15&gt;預測IC!CC$25,1,0)</f>
        <v>1</v>
      </c>
      <c r="CD15" s="7">
        <f>IF(預測IC!CD15&gt;預測IC!CD$25,1,0)</f>
        <v>1</v>
      </c>
      <c r="CE15" s="7">
        <f>IF(預測IC!CE15&gt;預測IC!CE$25,1,0)</f>
        <v>1</v>
      </c>
      <c r="CF15" s="7">
        <f>IF(預測IC!CF15&gt;預測IC!CF$25,1,0)</f>
        <v>0</v>
      </c>
      <c r="CG15" s="7">
        <f>IF(預測IC!CG15&gt;預測IC!CG$25,1,0)</f>
        <v>1</v>
      </c>
      <c r="CH15" s="7">
        <f>IF(預測IC!CH15&gt;預測IC!CH$25,1,0)</f>
        <v>0</v>
      </c>
      <c r="CI15" s="7">
        <f>IF(預測IC!CI15&gt;預測IC!CI$25,1,0)</f>
        <v>0</v>
      </c>
      <c r="CJ15" s="7">
        <f>IF(預測IC!CJ15&gt;預測IC!CJ$25,1,0)</f>
        <v>1</v>
      </c>
      <c r="CK15" s="7">
        <f>IF(預測IC!CK15&gt;預測IC!CK$25,1,0)</f>
        <v>1</v>
      </c>
      <c r="CL15" s="7">
        <f>IF(預測IC!CL15&gt;預測IC!CL$25,1,0)</f>
        <v>0</v>
      </c>
      <c r="CM15" s="7">
        <f>IF(預測IC!CM15&gt;預測IC!CM$25,1,0)</f>
        <v>0</v>
      </c>
      <c r="CN15" s="7">
        <f>IF(預測IC!CN15&gt;預測IC!CN$25,1,0)</f>
        <v>0</v>
      </c>
      <c r="CO15" s="7">
        <f>IF(預測IC!CO15&gt;預測IC!CO$25,1,0)</f>
        <v>1</v>
      </c>
      <c r="CP15" s="7">
        <f>IF(預測IC!CP15&gt;預測IC!CP$25,1,0)</f>
        <v>0</v>
      </c>
      <c r="CQ15" s="7">
        <f>IF(預測IC!CQ15&gt;預測IC!CQ$25,1,0)</f>
        <v>0</v>
      </c>
      <c r="CR15" s="7">
        <f>IF(預測IC!CR15&gt;預測IC!CR$25,1,0)</f>
        <v>0</v>
      </c>
      <c r="CS15" s="7">
        <f>IF(預測IC!CS15&gt;預測IC!CS$25,1,0)</f>
        <v>0</v>
      </c>
      <c r="CT15" s="7">
        <f>IF(預測IC!CT15&gt;預測IC!CT$25,1,0)</f>
        <v>0</v>
      </c>
      <c r="CU15" s="7">
        <f>IF(預測IC!CU15&gt;預測IC!CU$25,1,0)</f>
        <v>1</v>
      </c>
      <c r="CV15" s="7">
        <f>IF(預測IC!CV15&gt;預測IC!CV$25,1,0)</f>
        <v>1</v>
      </c>
      <c r="CW15" s="7">
        <f>IF(預測IC!CW15&gt;預測IC!CW$25,1,0)</f>
        <v>1</v>
      </c>
      <c r="CX15" s="7">
        <f>IF(預測IC!CX15&gt;預測IC!CX$25,1,0)</f>
        <v>1</v>
      </c>
      <c r="CY15" s="7">
        <f>IF(預測IC!CY15&gt;預測IC!CY$25,1,0)</f>
        <v>1</v>
      </c>
      <c r="CZ15" s="7">
        <f>IF(預測IC!CZ15&gt;預測IC!CZ$25,1,0)</f>
        <v>1</v>
      </c>
      <c r="DA15" s="7">
        <f>IF(預測IC!DA15&gt;預測IC!DA$25,1,0)</f>
        <v>1</v>
      </c>
      <c r="DB15" s="7">
        <f>IF(預測IC!DB15&gt;預測IC!DB$25,1,0)</f>
        <v>1</v>
      </c>
      <c r="DC15" s="7">
        <f>IF(預測IC!DC15&gt;預測IC!DC$25,1,0)</f>
        <v>1</v>
      </c>
      <c r="DD15" s="7">
        <f>IF(預測IC!DD15&gt;預測IC!DD$25,1,0)</f>
        <v>1</v>
      </c>
      <c r="DE15" s="7">
        <f>IF(預測IC!DE15&gt;預測IC!DE$25,1,0)</f>
        <v>0</v>
      </c>
      <c r="DF15" s="7">
        <f>IF(預測IC!DF15&gt;預測IC!DF$25,1,0)</f>
        <v>0</v>
      </c>
      <c r="DG15" s="7">
        <f>IF(預測IC!DG15&gt;預測IC!DG$25,1,0)</f>
        <v>0</v>
      </c>
      <c r="DH15" s="7">
        <f>IF(預測IC!DH15&gt;預測IC!DH$25,1,0)</f>
        <v>1</v>
      </c>
      <c r="DI15" s="7">
        <f>IF(預測IC!DI15&gt;預測IC!DI$25,1,0)</f>
        <v>0</v>
      </c>
      <c r="DJ15" s="7">
        <f>IF(預測IC!DJ15&gt;預測IC!DJ$25,1,0)</f>
        <v>0</v>
      </c>
      <c r="DK15" s="7">
        <f>IF(預測IC!DK15&gt;預測IC!DK$25,1,0)</f>
        <v>0</v>
      </c>
      <c r="DL15" s="7">
        <f>IF(預測IC!DL15&gt;預測IC!DL$25,1,0)</f>
        <v>0</v>
      </c>
      <c r="DM15" s="7">
        <f>IF(預測IC!DM15&gt;預測IC!DM$25,1,0)</f>
        <v>1</v>
      </c>
      <c r="DN15" s="7">
        <f>IF(預測IC!DN15&gt;預測IC!DN$25,1,0)</f>
        <v>0</v>
      </c>
      <c r="DO15" s="7">
        <f>IF(預測IC!DO15&gt;預測IC!DO$25,1,0)</f>
        <v>1</v>
      </c>
      <c r="DP15" s="7">
        <f>IF(預測IC!DP15&gt;預測IC!DP$25,1,0)</f>
        <v>1</v>
      </c>
      <c r="DQ15" s="7">
        <f>IF(預測IC!DQ15&gt;預測IC!DQ$25,1,0)</f>
        <v>0</v>
      </c>
      <c r="DR15" s="7">
        <f>IF(預測IC!DR15&gt;預測IC!DR$25,1,0)</f>
        <v>0</v>
      </c>
      <c r="DS15" s="7">
        <f>IF(預測IC!DS15&gt;預測IC!DS$25,1,0)</f>
        <v>0</v>
      </c>
      <c r="DT15" s="7">
        <f>IF(預測IC!DT15&gt;預測IC!DT$25,1,0)</f>
        <v>1</v>
      </c>
      <c r="DU15" s="7">
        <f>IF(預測IC!DU15&gt;預測IC!DU$25,1,0)</f>
        <v>0</v>
      </c>
      <c r="DV15" s="7">
        <f>IF(預測IC!DV15&gt;預測IC!DV$25,1,0)</f>
        <v>0</v>
      </c>
      <c r="DW15" s="7">
        <f>IF(預測IC!DW15&gt;預測IC!DW$25,1,0)</f>
        <v>0</v>
      </c>
      <c r="DX15" s="7">
        <f>IF(預測IC!DX15&gt;預測IC!DX$25,1,0)</f>
        <v>0</v>
      </c>
      <c r="DY15" s="7">
        <f>IF(預測IC!DY15&gt;預測IC!DY$25,1,0)</f>
        <v>1</v>
      </c>
      <c r="DZ15" s="7">
        <f>IF(預測IC!DZ15&gt;預測IC!DZ$25,1,0)</f>
        <v>0</v>
      </c>
      <c r="EA15" s="7">
        <f>IF(預測IC!EA15&gt;預測IC!EA$25,1,0)</f>
        <v>0</v>
      </c>
      <c r="EB15" s="7">
        <f>IF(預測IC!EB15&gt;預測IC!EB$25,1,0)</f>
        <v>1</v>
      </c>
      <c r="EC15" s="7">
        <f>IF(預測IC!EC15&gt;預測IC!EC$25,1,0)</f>
        <v>1</v>
      </c>
      <c r="ED15" s="7">
        <f>IF(預測IC!ED15&gt;預測IC!ED$25,1,0)</f>
        <v>1</v>
      </c>
      <c r="EE15" s="7">
        <f>IF(預測IC!EE15&gt;預測IC!EE$25,1,0)</f>
        <v>0</v>
      </c>
      <c r="EF15" s="7">
        <f>IF(預測IC!EF15&gt;預測IC!EF$25,1,0)</f>
        <v>0</v>
      </c>
      <c r="EG15">
        <f t="shared" si="6"/>
        <v>64</v>
      </c>
      <c r="EH15" s="9">
        <f t="shared" si="7"/>
        <v>0.47761194029850745</v>
      </c>
    </row>
    <row r="16" spans="1:138" x14ac:dyDescent="0.3">
      <c r="A16" s="1">
        <v>107</v>
      </c>
      <c r="B16" s="1">
        <v>9</v>
      </c>
      <c r="C16" s="7">
        <f>IF(預測IC!C16&gt;預測IC!C$25,1,0)</f>
        <v>0</v>
      </c>
      <c r="D16" s="7">
        <f>IF(預測IC!D16&gt;預測IC!D$25,1,0)</f>
        <v>1</v>
      </c>
      <c r="E16" s="7">
        <f>IF(預測IC!E16&gt;預測IC!E$25,1,0)</f>
        <v>0</v>
      </c>
      <c r="F16" s="7">
        <f>IF(預測IC!F16&gt;預測IC!F$25,1,0)</f>
        <v>1</v>
      </c>
      <c r="G16" s="7">
        <f>IF(預測IC!G16&gt;預測IC!G$25,1,0)</f>
        <v>1</v>
      </c>
      <c r="H16" s="7">
        <f>IF(預測IC!H16&gt;預測IC!H$25,1,0)</f>
        <v>0</v>
      </c>
      <c r="I16" s="7">
        <f>IF(預測IC!I16&gt;預測IC!I$25,1,0)</f>
        <v>0</v>
      </c>
      <c r="J16" s="7">
        <f>IF(預測IC!J16&gt;預測IC!J$25,1,0)</f>
        <v>0</v>
      </c>
      <c r="K16" s="7">
        <f>IF(預測IC!K16&gt;預測IC!K$25,1,0)</f>
        <v>1</v>
      </c>
      <c r="L16" s="7">
        <f>IF(預測IC!L16&gt;預測IC!L$25,1,0)</f>
        <v>0</v>
      </c>
      <c r="M16" s="7">
        <f>IF(預測IC!M16&gt;預測IC!M$25,1,0)</f>
        <v>0</v>
      </c>
      <c r="N16" s="7">
        <f>IF(預測IC!N16&gt;預測IC!N$25,1,0)</f>
        <v>0</v>
      </c>
      <c r="O16" s="7">
        <f>IF(預測IC!O16&gt;預測IC!O$25,1,0)</f>
        <v>1</v>
      </c>
      <c r="P16" s="7">
        <f>IF(預測IC!P16&gt;預測IC!P$25,1,0)</f>
        <v>0</v>
      </c>
      <c r="Q16" s="7">
        <f>IF(預測IC!Q16&gt;預測IC!Q$25,1,0)</f>
        <v>1</v>
      </c>
      <c r="R16" s="7">
        <f>IF(預測IC!R16&gt;預測IC!R$25,1,0)</f>
        <v>0</v>
      </c>
      <c r="S16" s="7">
        <f>IF(預測IC!S16&gt;預測IC!S$25,1,0)</f>
        <v>0</v>
      </c>
      <c r="T16" s="7">
        <f>IF(預測IC!T16&gt;預測IC!T$25,1,0)</f>
        <v>1</v>
      </c>
      <c r="U16" s="7">
        <f>IF(預測IC!U16&gt;預測IC!U$25,1,0)</f>
        <v>1</v>
      </c>
      <c r="V16" s="7">
        <f>IF(預測IC!V16&gt;預測IC!V$25,1,0)</f>
        <v>0</v>
      </c>
      <c r="W16" s="7">
        <f>IF(預測IC!W16&gt;預測IC!W$25,1,0)</f>
        <v>0</v>
      </c>
      <c r="X16" s="7">
        <f>IF(預測IC!X16&gt;預測IC!X$25,1,0)</f>
        <v>1</v>
      </c>
      <c r="Y16" s="7">
        <f>IF(預測IC!Y16&gt;預測IC!Y$25,1,0)</f>
        <v>0</v>
      </c>
      <c r="Z16" s="7">
        <f>IF(預測IC!Z16&gt;預測IC!Z$25,1,0)</f>
        <v>0</v>
      </c>
      <c r="AA16" s="7">
        <f>IF(預測IC!AA16&gt;預測IC!AA$25,1,0)</f>
        <v>1</v>
      </c>
      <c r="AB16" s="7">
        <f>IF(預測IC!AB16&gt;預測IC!AB$25,1,0)</f>
        <v>0</v>
      </c>
      <c r="AC16" s="7">
        <f>IF(預測IC!AC16&gt;預測IC!AC$25,1,0)</f>
        <v>1</v>
      </c>
      <c r="AD16" s="7">
        <f>IF(預測IC!AD16&gt;預測IC!AD$25,1,0)</f>
        <v>1</v>
      </c>
      <c r="AE16" s="7">
        <f>IF(預測IC!AE16&gt;預測IC!AE$25,1,0)</f>
        <v>1</v>
      </c>
      <c r="AF16" s="7">
        <f>IF(預測IC!AF16&gt;預測IC!AF$25,1,0)</f>
        <v>0</v>
      </c>
      <c r="AG16" s="7">
        <f>IF(預測IC!AG16&gt;預測IC!AG$25,1,0)</f>
        <v>1</v>
      </c>
      <c r="AH16" s="7">
        <f>IF(預測IC!AH16&gt;預測IC!AH$25,1,0)</f>
        <v>1</v>
      </c>
      <c r="AI16" s="7">
        <f>IF(預測IC!AI16&gt;預測IC!AI$25,1,0)</f>
        <v>0</v>
      </c>
      <c r="AJ16" s="7">
        <f>IF(預測IC!AJ16&gt;預測IC!AJ$25,1,0)</f>
        <v>1</v>
      </c>
      <c r="AK16" s="7">
        <f>IF(預測IC!AK16&gt;預測IC!AK$25,1,0)</f>
        <v>0</v>
      </c>
      <c r="AL16" s="7">
        <f>IF(預測IC!AL16&gt;預測IC!AL$25,1,0)</f>
        <v>0</v>
      </c>
      <c r="AM16" s="7">
        <f>IF(預測IC!AM16&gt;預測IC!AM$25,1,0)</f>
        <v>0</v>
      </c>
      <c r="AN16" s="7">
        <f>IF(預測IC!AN16&gt;預測IC!AN$25,1,0)</f>
        <v>0</v>
      </c>
      <c r="AO16" s="7">
        <f>IF(預測IC!AO16&gt;預測IC!AO$25,1,0)</f>
        <v>0</v>
      </c>
      <c r="AP16" s="7">
        <f>IF(預測IC!AP16&gt;預測IC!AP$25,1,0)</f>
        <v>1</v>
      </c>
      <c r="AQ16" s="7">
        <f>IF(預測IC!AQ16&gt;預測IC!AQ$25,1,0)</f>
        <v>1</v>
      </c>
      <c r="AR16" s="7">
        <f>IF(預測IC!AR16&gt;預測IC!AR$25,1,0)</f>
        <v>0</v>
      </c>
      <c r="AS16" s="7">
        <f>IF(預測IC!AS16&gt;預測IC!AS$25,1,0)</f>
        <v>1</v>
      </c>
      <c r="AT16" s="7">
        <f>IF(預測IC!AT16&gt;預測IC!AT$25,1,0)</f>
        <v>1</v>
      </c>
      <c r="AU16" s="7">
        <f>IF(預測IC!AU16&gt;預測IC!AU$25,1,0)</f>
        <v>1</v>
      </c>
      <c r="AV16" s="7">
        <f>IF(預測IC!AV16&gt;預測IC!AV$25,1,0)</f>
        <v>0</v>
      </c>
      <c r="AW16" s="7">
        <f>IF(預測IC!AW16&gt;預測IC!AW$25,1,0)</f>
        <v>1</v>
      </c>
      <c r="AX16" s="7">
        <f>IF(預測IC!AX16&gt;預測IC!AX$25,1,0)</f>
        <v>0</v>
      </c>
      <c r="AY16" s="7">
        <f>IF(預測IC!AY16&gt;預測IC!AY$25,1,0)</f>
        <v>0</v>
      </c>
      <c r="AZ16" s="7">
        <f>IF(預測IC!AZ16&gt;預測IC!AZ$25,1,0)</f>
        <v>0</v>
      </c>
      <c r="BA16" s="7">
        <f>IF(預測IC!BA16&gt;預測IC!BA$25,1,0)</f>
        <v>1</v>
      </c>
      <c r="BB16" s="7">
        <f>IF(預測IC!BB16&gt;預測IC!BB$25,1,0)</f>
        <v>1</v>
      </c>
      <c r="BC16" s="7">
        <f>IF(預測IC!BC16&gt;預測IC!BC$25,1,0)</f>
        <v>0</v>
      </c>
      <c r="BD16" s="7">
        <f>IF(預測IC!BD16&gt;預測IC!BD$25,1,0)</f>
        <v>1</v>
      </c>
      <c r="BE16" s="7">
        <f>IF(預測IC!BE16&gt;預測IC!BE$25,1,0)</f>
        <v>0</v>
      </c>
      <c r="BF16" s="7">
        <f>IF(預測IC!BF16&gt;預測IC!BF$25,1,0)</f>
        <v>0</v>
      </c>
      <c r="BG16" s="7">
        <f>IF(預測IC!BG16&gt;預測IC!BG$25,1,0)</f>
        <v>1</v>
      </c>
      <c r="BH16" s="7">
        <f>IF(預測IC!BH16&gt;預測IC!BH$25,1,0)</f>
        <v>1</v>
      </c>
      <c r="BI16" s="7">
        <f>IF(預測IC!BI16&gt;預測IC!BI$25,1,0)</f>
        <v>1</v>
      </c>
      <c r="BJ16" s="7">
        <f>IF(預測IC!BJ16&gt;預測IC!BJ$25,1,0)</f>
        <v>0</v>
      </c>
      <c r="BK16" s="7">
        <f>IF(預測IC!BK16&gt;預測IC!BK$25,1,0)</f>
        <v>1</v>
      </c>
      <c r="BL16" s="7">
        <f>IF(預測IC!BL16&gt;預測IC!BL$25,1,0)</f>
        <v>0</v>
      </c>
      <c r="BM16" s="7">
        <f>IF(預測IC!BM16&gt;預測IC!BM$25,1,0)</f>
        <v>0</v>
      </c>
      <c r="BN16" s="7">
        <f>IF(預測IC!BN16&gt;預測IC!BN$25,1,0)</f>
        <v>1</v>
      </c>
      <c r="BO16" s="7">
        <f>IF(預測IC!BO16&gt;預測IC!BO$25,1,0)</f>
        <v>1</v>
      </c>
      <c r="BP16" s="7">
        <f>IF(預測IC!BP16&gt;預測IC!BP$25,1,0)</f>
        <v>0</v>
      </c>
      <c r="BQ16" s="7">
        <f>IF(預測IC!BQ16&gt;預測IC!BQ$25,1,0)</f>
        <v>1</v>
      </c>
      <c r="BR16" s="7">
        <f>IF(預測IC!BR16&gt;預測IC!BR$25,1,0)</f>
        <v>1</v>
      </c>
      <c r="BS16" s="7">
        <f>IF(預測IC!BS16&gt;預測IC!BS$25,1,0)</f>
        <v>0</v>
      </c>
      <c r="BT16" s="7">
        <f>IF(預測IC!BT16&gt;預測IC!BT$25,1,0)</f>
        <v>0</v>
      </c>
      <c r="BU16" s="7">
        <f>IF(預測IC!BU16&gt;預測IC!BU$25,1,0)</f>
        <v>1</v>
      </c>
      <c r="BV16" s="7">
        <f>IF(預測IC!BV16&gt;預測IC!BV$25,1,0)</f>
        <v>1</v>
      </c>
      <c r="BW16" s="7">
        <f>IF(預測IC!BW16&gt;預測IC!BW$25,1,0)</f>
        <v>0</v>
      </c>
      <c r="BX16" s="7">
        <f>IF(預測IC!BX16&gt;預測IC!BX$25,1,0)</f>
        <v>1</v>
      </c>
      <c r="BY16" s="7">
        <f>IF(預測IC!BY16&gt;預測IC!BY$25,1,0)</f>
        <v>1</v>
      </c>
      <c r="BZ16" s="7">
        <f>IF(預測IC!BZ16&gt;預測IC!BZ$25,1,0)</f>
        <v>0</v>
      </c>
      <c r="CA16" s="7">
        <f>IF(預測IC!CA16&gt;預測IC!CA$25,1,0)</f>
        <v>1</v>
      </c>
      <c r="CB16" s="7">
        <f>IF(預測IC!CB16&gt;預測IC!CB$25,1,0)</f>
        <v>1</v>
      </c>
      <c r="CC16" s="7">
        <f>IF(預測IC!CC16&gt;預測IC!CC$25,1,0)</f>
        <v>0</v>
      </c>
      <c r="CD16" s="7">
        <f>IF(預測IC!CD16&gt;預測IC!CD$25,1,0)</f>
        <v>1</v>
      </c>
      <c r="CE16" s="7">
        <f>IF(預測IC!CE16&gt;預測IC!CE$25,1,0)</f>
        <v>1</v>
      </c>
      <c r="CF16" s="7">
        <f>IF(預測IC!CF16&gt;預測IC!CF$25,1,0)</f>
        <v>0</v>
      </c>
      <c r="CG16" s="7">
        <f>IF(預測IC!CG16&gt;預測IC!CG$25,1,0)</f>
        <v>1</v>
      </c>
      <c r="CH16" s="7">
        <f>IF(預測IC!CH16&gt;預測IC!CH$25,1,0)</f>
        <v>0</v>
      </c>
      <c r="CI16" s="7">
        <f>IF(預測IC!CI16&gt;預測IC!CI$25,1,0)</f>
        <v>0</v>
      </c>
      <c r="CJ16" s="7">
        <f>IF(預測IC!CJ16&gt;預測IC!CJ$25,1,0)</f>
        <v>0</v>
      </c>
      <c r="CK16" s="7">
        <f>IF(預測IC!CK16&gt;預測IC!CK$25,1,0)</f>
        <v>1</v>
      </c>
      <c r="CL16" s="7">
        <f>IF(預測IC!CL16&gt;預測IC!CL$25,1,0)</f>
        <v>0</v>
      </c>
      <c r="CM16" s="7">
        <f>IF(預測IC!CM16&gt;預測IC!CM$25,1,0)</f>
        <v>1</v>
      </c>
      <c r="CN16" s="7">
        <f>IF(預測IC!CN16&gt;預測IC!CN$25,1,0)</f>
        <v>0</v>
      </c>
      <c r="CO16" s="7">
        <f>IF(預測IC!CO16&gt;預測IC!CO$25,1,0)</f>
        <v>1</v>
      </c>
      <c r="CP16" s="7">
        <f>IF(預測IC!CP16&gt;預測IC!CP$25,1,0)</f>
        <v>0</v>
      </c>
      <c r="CQ16" s="7">
        <f>IF(預測IC!CQ16&gt;預測IC!CQ$25,1,0)</f>
        <v>0</v>
      </c>
      <c r="CR16" s="7">
        <f>IF(預測IC!CR16&gt;預測IC!CR$25,1,0)</f>
        <v>0</v>
      </c>
      <c r="CS16" s="7">
        <f>IF(預測IC!CS16&gt;預測IC!CS$25,1,0)</f>
        <v>0</v>
      </c>
      <c r="CT16" s="7">
        <f>IF(預測IC!CT16&gt;預測IC!CT$25,1,0)</f>
        <v>0</v>
      </c>
      <c r="CU16" s="7">
        <f>IF(預測IC!CU16&gt;預測IC!CU$25,1,0)</f>
        <v>1</v>
      </c>
      <c r="CV16" s="7">
        <f>IF(預測IC!CV16&gt;預測IC!CV$25,1,0)</f>
        <v>1</v>
      </c>
      <c r="CW16" s="7">
        <f>IF(預測IC!CW16&gt;預測IC!CW$25,1,0)</f>
        <v>1</v>
      </c>
      <c r="CX16" s="7">
        <f>IF(預測IC!CX16&gt;預測IC!CX$25,1,0)</f>
        <v>1</v>
      </c>
      <c r="CY16" s="7">
        <f>IF(預測IC!CY16&gt;預測IC!CY$25,1,0)</f>
        <v>1</v>
      </c>
      <c r="CZ16" s="7">
        <f>IF(預測IC!CZ16&gt;預測IC!CZ$25,1,0)</f>
        <v>1</v>
      </c>
      <c r="DA16" s="7">
        <f>IF(預測IC!DA16&gt;預測IC!DA$25,1,0)</f>
        <v>1</v>
      </c>
      <c r="DB16" s="7">
        <f>IF(預測IC!DB16&gt;預測IC!DB$25,1,0)</f>
        <v>1</v>
      </c>
      <c r="DC16" s="7">
        <f>IF(預測IC!DC16&gt;預測IC!DC$25,1,0)</f>
        <v>1</v>
      </c>
      <c r="DD16" s="7">
        <f>IF(預測IC!DD16&gt;預測IC!DD$25,1,0)</f>
        <v>1</v>
      </c>
      <c r="DE16" s="7">
        <f>IF(預測IC!DE16&gt;預測IC!DE$25,1,0)</f>
        <v>0</v>
      </c>
      <c r="DF16" s="7">
        <f>IF(預測IC!DF16&gt;預測IC!DF$25,1,0)</f>
        <v>0</v>
      </c>
      <c r="DG16" s="7">
        <f>IF(預測IC!DG16&gt;預測IC!DG$25,1,0)</f>
        <v>0</v>
      </c>
      <c r="DH16" s="7">
        <f>IF(預測IC!DH16&gt;預測IC!DH$25,1,0)</f>
        <v>1</v>
      </c>
      <c r="DI16" s="7">
        <f>IF(預測IC!DI16&gt;預測IC!DI$25,1,0)</f>
        <v>0</v>
      </c>
      <c r="DJ16" s="7">
        <f>IF(預測IC!DJ16&gt;預測IC!DJ$25,1,0)</f>
        <v>0</v>
      </c>
      <c r="DK16" s="7">
        <f>IF(預測IC!DK16&gt;預測IC!DK$25,1,0)</f>
        <v>0</v>
      </c>
      <c r="DL16" s="7">
        <f>IF(預測IC!DL16&gt;預測IC!DL$25,1,0)</f>
        <v>0</v>
      </c>
      <c r="DM16" s="7">
        <f>IF(預測IC!DM16&gt;預測IC!DM$25,1,0)</f>
        <v>1</v>
      </c>
      <c r="DN16" s="7">
        <f>IF(預測IC!DN16&gt;預測IC!DN$25,1,0)</f>
        <v>0</v>
      </c>
      <c r="DO16" s="7">
        <f>IF(預測IC!DO16&gt;預測IC!DO$25,1,0)</f>
        <v>1</v>
      </c>
      <c r="DP16" s="7">
        <f>IF(預測IC!DP16&gt;預測IC!DP$25,1,0)</f>
        <v>1</v>
      </c>
      <c r="DQ16" s="7">
        <f>IF(預測IC!DQ16&gt;預測IC!DQ$25,1,0)</f>
        <v>0</v>
      </c>
      <c r="DR16" s="7">
        <f>IF(預測IC!DR16&gt;預測IC!DR$25,1,0)</f>
        <v>0</v>
      </c>
      <c r="DS16" s="7">
        <f>IF(預測IC!DS16&gt;預測IC!DS$25,1,0)</f>
        <v>0</v>
      </c>
      <c r="DT16" s="7">
        <f>IF(預測IC!DT16&gt;預測IC!DT$25,1,0)</f>
        <v>1</v>
      </c>
      <c r="DU16" s="7">
        <f>IF(預測IC!DU16&gt;預測IC!DU$25,1,0)</f>
        <v>0</v>
      </c>
      <c r="DV16" s="7">
        <f>IF(預測IC!DV16&gt;預測IC!DV$25,1,0)</f>
        <v>0</v>
      </c>
      <c r="DW16" s="7">
        <f>IF(預測IC!DW16&gt;預測IC!DW$25,1,0)</f>
        <v>1</v>
      </c>
      <c r="DX16" s="7">
        <f>IF(預測IC!DX16&gt;預測IC!DX$25,1,0)</f>
        <v>0</v>
      </c>
      <c r="DY16" s="7">
        <f>IF(預測IC!DY16&gt;預測IC!DY$25,1,0)</f>
        <v>1</v>
      </c>
      <c r="DZ16" s="7">
        <f>IF(預測IC!DZ16&gt;預測IC!DZ$25,1,0)</f>
        <v>0</v>
      </c>
      <c r="EA16" s="7">
        <f>IF(預測IC!EA16&gt;預測IC!EA$25,1,0)</f>
        <v>0</v>
      </c>
      <c r="EB16" s="7">
        <f>IF(預測IC!EB16&gt;預測IC!EB$25,1,0)</f>
        <v>1</v>
      </c>
      <c r="EC16" s="7">
        <f>IF(預測IC!EC16&gt;預測IC!EC$25,1,0)</f>
        <v>1</v>
      </c>
      <c r="ED16" s="7">
        <f>IF(預測IC!ED16&gt;預測IC!ED$25,1,0)</f>
        <v>1</v>
      </c>
      <c r="EE16" s="7">
        <f>IF(預測IC!EE16&gt;預測IC!EE$25,1,0)</f>
        <v>0</v>
      </c>
      <c r="EF16" s="7">
        <f>IF(預測IC!EF16&gt;預測IC!EF$25,1,0)</f>
        <v>0</v>
      </c>
      <c r="EG16">
        <f t="shared" si="6"/>
        <v>65</v>
      </c>
      <c r="EH16" s="9">
        <f t="shared" si="7"/>
        <v>0.48507462686567165</v>
      </c>
    </row>
    <row r="17" spans="1:138" x14ac:dyDescent="0.3">
      <c r="A17" s="1">
        <v>120</v>
      </c>
      <c r="B17" s="1">
        <v>8</v>
      </c>
      <c r="C17" s="7">
        <f>IF(預測IC!C17&gt;預測IC!C$25,1,0)</f>
        <v>0</v>
      </c>
      <c r="D17" s="7">
        <f>IF(預測IC!D17&gt;預測IC!D$25,1,0)</f>
        <v>1</v>
      </c>
      <c r="E17" s="7">
        <f>IF(預測IC!E17&gt;預測IC!E$25,1,0)</f>
        <v>0</v>
      </c>
      <c r="F17" s="7">
        <f>IF(預測IC!F17&gt;預測IC!F$25,1,0)</f>
        <v>1</v>
      </c>
      <c r="G17" s="7">
        <f>IF(預測IC!G17&gt;預測IC!G$25,1,0)</f>
        <v>1</v>
      </c>
      <c r="H17" s="7">
        <f>IF(預測IC!H17&gt;預測IC!H$25,1,0)</f>
        <v>0</v>
      </c>
      <c r="I17" s="7">
        <f>IF(預測IC!I17&gt;預測IC!I$25,1,0)</f>
        <v>0</v>
      </c>
      <c r="J17" s="7">
        <f>IF(預測IC!J17&gt;預測IC!J$25,1,0)</f>
        <v>0</v>
      </c>
      <c r="K17" s="7">
        <f>IF(預測IC!K17&gt;預測IC!K$25,1,0)</f>
        <v>1</v>
      </c>
      <c r="L17" s="7">
        <f>IF(預測IC!L17&gt;預測IC!L$25,1,0)</f>
        <v>0</v>
      </c>
      <c r="M17" s="7">
        <f>IF(預測IC!M17&gt;預測IC!M$25,1,0)</f>
        <v>0</v>
      </c>
      <c r="N17" s="7">
        <f>IF(預測IC!N17&gt;預測IC!N$25,1,0)</f>
        <v>0</v>
      </c>
      <c r="O17" s="7">
        <f>IF(預測IC!O17&gt;預測IC!O$25,1,0)</f>
        <v>1</v>
      </c>
      <c r="P17" s="7">
        <f>IF(預測IC!P17&gt;預測IC!P$25,1,0)</f>
        <v>0</v>
      </c>
      <c r="Q17" s="7">
        <f>IF(預測IC!Q17&gt;預測IC!Q$25,1,0)</f>
        <v>1</v>
      </c>
      <c r="R17" s="7">
        <f>IF(預測IC!R17&gt;預測IC!R$25,1,0)</f>
        <v>0</v>
      </c>
      <c r="S17" s="7">
        <f>IF(預測IC!S17&gt;預測IC!S$25,1,0)</f>
        <v>0</v>
      </c>
      <c r="T17" s="7">
        <f>IF(預測IC!T17&gt;預測IC!T$25,1,0)</f>
        <v>1</v>
      </c>
      <c r="U17" s="7">
        <f>IF(預測IC!U17&gt;預測IC!U$25,1,0)</f>
        <v>1</v>
      </c>
      <c r="V17" s="7">
        <f>IF(預測IC!V17&gt;預測IC!V$25,1,0)</f>
        <v>0</v>
      </c>
      <c r="W17" s="7">
        <f>IF(預測IC!W17&gt;預測IC!W$25,1,0)</f>
        <v>0</v>
      </c>
      <c r="X17" s="7">
        <f>IF(預測IC!X17&gt;預測IC!X$25,1,0)</f>
        <v>1</v>
      </c>
      <c r="Y17" s="7">
        <f>IF(預測IC!Y17&gt;預測IC!Y$25,1,0)</f>
        <v>0</v>
      </c>
      <c r="Z17" s="7">
        <f>IF(預測IC!Z17&gt;預測IC!Z$25,1,0)</f>
        <v>0</v>
      </c>
      <c r="AA17" s="7">
        <f>IF(預測IC!AA17&gt;預測IC!AA$25,1,0)</f>
        <v>1</v>
      </c>
      <c r="AB17" s="7">
        <f>IF(預測IC!AB17&gt;預測IC!AB$25,1,0)</f>
        <v>0</v>
      </c>
      <c r="AC17" s="7">
        <f>IF(預測IC!AC17&gt;預測IC!AC$25,1,0)</f>
        <v>1</v>
      </c>
      <c r="AD17" s="7">
        <f>IF(預測IC!AD17&gt;預測IC!AD$25,1,0)</f>
        <v>0</v>
      </c>
      <c r="AE17" s="7">
        <f>IF(預測IC!AE17&gt;預測IC!AE$25,1,0)</f>
        <v>1</v>
      </c>
      <c r="AF17" s="7">
        <f>IF(預測IC!AF17&gt;預測IC!AF$25,1,0)</f>
        <v>0</v>
      </c>
      <c r="AG17" s="7">
        <f>IF(預測IC!AG17&gt;預測IC!AG$25,1,0)</f>
        <v>1</v>
      </c>
      <c r="AH17" s="7">
        <f>IF(預測IC!AH17&gt;預測IC!AH$25,1,0)</f>
        <v>1</v>
      </c>
      <c r="AI17" s="7">
        <f>IF(預測IC!AI17&gt;預測IC!AI$25,1,0)</f>
        <v>0</v>
      </c>
      <c r="AJ17" s="7">
        <f>IF(預測IC!AJ17&gt;預測IC!AJ$25,1,0)</f>
        <v>1</v>
      </c>
      <c r="AK17" s="7">
        <f>IF(預測IC!AK17&gt;預測IC!AK$25,1,0)</f>
        <v>0</v>
      </c>
      <c r="AL17" s="7">
        <f>IF(預測IC!AL17&gt;預測IC!AL$25,1,0)</f>
        <v>0</v>
      </c>
      <c r="AM17" s="7">
        <f>IF(預測IC!AM17&gt;預測IC!AM$25,1,0)</f>
        <v>0</v>
      </c>
      <c r="AN17" s="7">
        <f>IF(預測IC!AN17&gt;預測IC!AN$25,1,0)</f>
        <v>0</v>
      </c>
      <c r="AO17" s="7">
        <f>IF(預測IC!AO17&gt;預測IC!AO$25,1,0)</f>
        <v>0</v>
      </c>
      <c r="AP17" s="7">
        <f>IF(預測IC!AP17&gt;預測IC!AP$25,1,0)</f>
        <v>1</v>
      </c>
      <c r="AQ17" s="7">
        <f>IF(預測IC!AQ17&gt;預測IC!AQ$25,1,0)</f>
        <v>1</v>
      </c>
      <c r="AR17" s="7">
        <f>IF(預測IC!AR17&gt;預測IC!AR$25,1,0)</f>
        <v>0</v>
      </c>
      <c r="AS17" s="7">
        <f>IF(預測IC!AS17&gt;預測IC!AS$25,1,0)</f>
        <v>1</v>
      </c>
      <c r="AT17" s="7">
        <f>IF(預測IC!AT17&gt;預測IC!AT$25,1,0)</f>
        <v>1</v>
      </c>
      <c r="AU17" s="7">
        <f>IF(預測IC!AU17&gt;預測IC!AU$25,1,0)</f>
        <v>1</v>
      </c>
      <c r="AV17" s="7">
        <f>IF(預測IC!AV17&gt;預測IC!AV$25,1,0)</f>
        <v>0</v>
      </c>
      <c r="AW17" s="7">
        <f>IF(預測IC!AW17&gt;預測IC!AW$25,1,0)</f>
        <v>1</v>
      </c>
      <c r="AX17" s="7">
        <f>IF(預測IC!AX17&gt;預測IC!AX$25,1,0)</f>
        <v>0</v>
      </c>
      <c r="AY17" s="7">
        <f>IF(預測IC!AY17&gt;預測IC!AY$25,1,0)</f>
        <v>0</v>
      </c>
      <c r="AZ17" s="7">
        <f>IF(預測IC!AZ17&gt;預測IC!AZ$25,1,0)</f>
        <v>0</v>
      </c>
      <c r="BA17" s="7">
        <f>IF(預測IC!BA17&gt;預測IC!BA$25,1,0)</f>
        <v>1</v>
      </c>
      <c r="BB17" s="7">
        <f>IF(預測IC!BB17&gt;預測IC!BB$25,1,0)</f>
        <v>1</v>
      </c>
      <c r="BC17" s="7">
        <f>IF(預測IC!BC17&gt;預測IC!BC$25,1,0)</f>
        <v>0</v>
      </c>
      <c r="BD17" s="7">
        <f>IF(預測IC!BD17&gt;預測IC!BD$25,1,0)</f>
        <v>1</v>
      </c>
      <c r="BE17" s="7">
        <f>IF(預測IC!BE17&gt;預測IC!BE$25,1,0)</f>
        <v>0</v>
      </c>
      <c r="BF17" s="7">
        <f>IF(預測IC!BF17&gt;預測IC!BF$25,1,0)</f>
        <v>0</v>
      </c>
      <c r="BG17" s="7">
        <f>IF(預測IC!BG17&gt;預測IC!BG$25,1,0)</f>
        <v>0</v>
      </c>
      <c r="BH17" s="7">
        <f>IF(預測IC!BH17&gt;預測IC!BH$25,1,0)</f>
        <v>1</v>
      </c>
      <c r="BI17" s="7">
        <f>IF(預測IC!BI17&gt;預測IC!BI$25,1,0)</f>
        <v>1</v>
      </c>
      <c r="BJ17" s="7">
        <f>IF(預測IC!BJ17&gt;預測IC!BJ$25,1,0)</f>
        <v>1</v>
      </c>
      <c r="BK17" s="7">
        <f>IF(預測IC!BK17&gt;預測IC!BK$25,1,0)</f>
        <v>1</v>
      </c>
      <c r="BL17" s="7">
        <f>IF(預測IC!BL17&gt;預測IC!BL$25,1,0)</f>
        <v>0</v>
      </c>
      <c r="BM17" s="7">
        <f>IF(預測IC!BM17&gt;預測IC!BM$25,1,0)</f>
        <v>0</v>
      </c>
      <c r="BN17" s="7">
        <f>IF(預測IC!BN17&gt;預測IC!BN$25,1,0)</f>
        <v>1</v>
      </c>
      <c r="BO17" s="7">
        <f>IF(預測IC!BO17&gt;預測IC!BO$25,1,0)</f>
        <v>1</v>
      </c>
      <c r="BP17" s="7">
        <f>IF(預測IC!BP17&gt;預測IC!BP$25,1,0)</f>
        <v>1</v>
      </c>
      <c r="BQ17" s="7">
        <f>IF(預測IC!BQ17&gt;預測IC!BQ$25,1,0)</f>
        <v>1</v>
      </c>
      <c r="BR17" s="7">
        <f>IF(預測IC!BR17&gt;預測IC!BR$25,1,0)</f>
        <v>1</v>
      </c>
      <c r="BS17" s="7">
        <f>IF(預測IC!BS17&gt;預測IC!BS$25,1,0)</f>
        <v>0</v>
      </c>
      <c r="BT17" s="7">
        <f>IF(預測IC!BT17&gt;預測IC!BT$25,1,0)</f>
        <v>0</v>
      </c>
      <c r="BU17" s="7">
        <f>IF(預測IC!BU17&gt;預測IC!BU$25,1,0)</f>
        <v>1</v>
      </c>
      <c r="BV17" s="7">
        <f>IF(預測IC!BV17&gt;預測IC!BV$25,1,0)</f>
        <v>1</v>
      </c>
      <c r="BW17" s="7">
        <f>IF(預測IC!BW17&gt;預測IC!BW$25,1,0)</f>
        <v>0</v>
      </c>
      <c r="BX17" s="7">
        <f>IF(預測IC!BX17&gt;預測IC!BX$25,1,0)</f>
        <v>1</v>
      </c>
      <c r="BY17" s="7">
        <f>IF(預測IC!BY17&gt;預測IC!BY$25,1,0)</f>
        <v>1</v>
      </c>
      <c r="BZ17" s="7">
        <f>IF(預測IC!BZ17&gt;預測IC!BZ$25,1,0)</f>
        <v>0</v>
      </c>
      <c r="CA17" s="7">
        <f>IF(預測IC!CA17&gt;預測IC!CA$25,1,0)</f>
        <v>1</v>
      </c>
      <c r="CB17" s="7">
        <f>IF(預測IC!CB17&gt;預測IC!CB$25,1,0)</f>
        <v>1</v>
      </c>
      <c r="CC17" s="7">
        <f>IF(預測IC!CC17&gt;預測IC!CC$25,1,0)</f>
        <v>0</v>
      </c>
      <c r="CD17" s="7">
        <f>IF(預測IC!CD17&gt;預測IC!CD$25,1,0)</f>
        <v>1</v>
      </c>
      <c r="CE17" s="7">
        <f>IF(預測IC!CE17&gt;預測IC!CE$25,1,0)</f>
        <v>1</v>
      </c>
      <c r="CF17" s="7">
        <f>IF(預測IC!CF17&gt;預測IC!CF$25,1,0)</f>
        <v>0</v>
      </c>
      <c r="CG17" s="7">
        <f>IF(預測IC!CG17&gt;預測IC!CG$25,1,0)</f>
        <v>1</v>
      </c>
      <c r="CH17" s="7">
        <f>IF(預測IC!CH17&gt;預測IC!CH$25,1,0)</f>
        <v>0</v>
      </c>
      <c r="CI17" s="7">
        <f>IF(預測IC!CI17&gt;預測IC!CI$25,1,0)</f>
        <v>0</v>
      </c>
      <c r="CJ17" s="7">
        <f>IF(預測IC!CJ17&gt;預測IC!CJ$25,1,0)</f>
        <v>0</v>
      </c>
      <c r="CK17" s="7">
        <f>IF(預測IC!CK17&gt;預測IC!CK$25,1,0)</f>
        <v>1</v>
      </c>
      <c r="CL17" s="7">
        <f>IF(預測IC!CL17&gt;預測IC!CL$25,1,0)</f>
        <v>0</v>
      </c>
      <c r="CM17" s="7">
        <f>IF(預測IC!CM17&gt;預測IC!CM$25,1,0)</f>
        <v>1</v>
      </c>
      <c r="CN17" s="7">
        <f>IF(預測IC!CN17&gt;預測IC!CN$25,1,0)</f>
        <v>0</v>
      </c>
      <c r="CO17" s="7">
        <f>IF(預測IC!CO17&gt;預測IC!CO$25,1,0)</f>
        <v>1</v>
      </c>
      <c r="CP17" s="7">
        <f>IF(預測IC!CP17&gt;預測IC!CP$25,1,0)</f>
        <v>0</v>
      </c>
      <c r="CQ17" s="7">
        <f>IF(預測IC!CQ17&gt;預測IC!CQ$25,1,0)</f>
        <v>0</v>
      </c>
      <c r="CR17" s="7">
        <f>IF(預測IC!CR17&gt;預測IC!CR$25,1,0)</f>
        <v>0</v>
      </c>
      <c r="CS17" s="7">
        <f>IF(預測IC!CS17&gt;預測IC!CS$25,1,0)</f>
        <v>0</v>
      </c>
      <c r="CT17" s="7">
        <f>IF(預測IC!CT17&gt;預測IC!CT$25,1,0)</f>
        <v>0</v>
      </c>
      <c r="CU17" s="7">
        <f>IF(預測IC!CU17&gt;預測IC!CU$25,1,0)</f>
        <v>1</v>
      </c>
      <c r="CV17" s="7">
        <f>IF(預測IC!CV17&gt;預測IC!CV$25,1,0)</f>
        <v>0</v>
      </c>
      <c r="CW17" s="7">
        <f>IF(預測IC!CW17&gt;預測IC!CW$25,1,0)</f>
        <v>1</v>
      </c>
      <c r="CX17" s="7">
        <f>IF(預測IC!CX17&gt;預測IC!CX$25,1,0)</f>
        <v>1</v>
      </c>
      <c r="CY17" s="7">
        <f>IF(預測IC!CY17&gt;預測IC!CY$25,1,0)</f>
        <v>1</v>
      </c>
      <c r="CZ17" s="7">
        <f>IF(預測IC!CZ17&gt;預測IC!CZ$25,1,0)</f>
        <v>1</v>
      </c>
      <c r="DA17" s="7">
        <f>IF(預測IC!DA17&gt;預測IC!DA$25,1,0)</f>
        <v>1</v>
      </c>
      <c r="DB17" s="7">
        <f>IF(預測IC!DB17&gt;預測IC!DB$25,1,0)</f>
        <v>1</v>
      </c>
      <c r="DC17" s="7">
        <f>IF(預測IC!DC17&gt;預測IC!DC$25,1,0)</f>
        <v>1</v>
      </c>
      <c r="DD17" s="7">
        <f>IF(預測IC!DD17&gt;預測IC!DD$25,1,0)</f>
        <v>1</v>
      </c>
      <c r="DE17" s="7">
        <f>IF(預測IC!DE17&gt;預測IC!DE$25,1,0)</f>
        <v>0</v>
      </c>
      <c r="DF17" s="7">
        <f>IF(預測IC!DF17&gt;預測IC!DF$25,1,0)</f>
        <v>0</v>
      </c>
      <c r="DG17" s="7">
        <f>IF(預測IC!DG17&gt;預測IC!DG$25,1,0)</f>
        <v>0</v>
      </c>
      <c r="DH17" s="7">
        <f>IF(預測IC!DH17&gt;預測IC!DH$25,1,0)</f>
        <v>1</v>
      </c>
      <c r="DI17" s="7">
        <f>IF(預測IC!DI17&gt;預測IC!DI$25,1,0)</f>
        <v>0</v>
      </c>
      <c r="DJ17" s="7">
        <f>IF(預測IC!DJ17&gt;預測IC!DJ$25,1,0)</f>
        <v>0</v>
      </c>
      <c r="DK17" s="7">
        <f>IF(預測IC!DK17&gt;預測IC!DK$25,1,0)</f>
        <v>0</v>
      </c>
      <c r="DL17" s="7">
        <f>IF(預測IC!DL17&gt;預測IC!DL$25,1,0)</f>
        <v>0</v>
      </c>
      <c r="DM17" s="7">
        <f>IF(預測IC!DM17&gt;預測IC!DM$25,1,0)</f>
        <v>1</v>
      </c>
      <c r="DN17" s="7">
        <f>IF(預測IC!DN17&gt;預測IC!DN$25,1,0)</f>
        <v>0</v>
      </c>
      <c r="DO17" s="7">
        <f>IF(預測IC!DO17&gt;預測IC!DO$25,1,0)</f>
        <v>1</v>
      </c>
      <c r="DP17" s="7">
        <f>IF(預測IC!DP17&gt;預測IC!DP$25,1,0)</f>
        <v>1</v>
      </c>
      <c r="DQ17" s="7">
        <f>IF(預測IC!DQ17&gt;預測IC!DQ$25,1,0)</f>
        <v>0</v>
      </c>
      <c r="DR17" s="7">
        <f>IF(預測IC!DR17&gt;預測IC!DR$25,1,0)</f>
        <v>0</v>
      </c>
      <c r="DS17" s="7">
        <f>IF(預測IC!DS17&gt;預測IC!DS$25,1,0)</f>
        <v>0</v>
      </c>
      <c r="DT17" s="7">
        <f>IF(預測IC!DT17&gt;預測IC!DT$25,1,0)</f>
        <v>1</v>
      </c>
      <c r="DU17" s="7">
        <f>IF(預測IC!DU17&gt;預測IC!DU$25,1,0)</f>
        <v>1</v>
      </c>
      <c r="DV17" s="7">
        <f>IF(預測IC!DV17&gt;預測IC!DV$25,1,0)</f>
        <v>0</v>
      </c>
      <c r="DW17" s="7">
        <f>IF(預測IC!DW17&gt;預測IC!DW$25,1,0)</f>
        <v>1</v>
      </c>
      <c r="DX17" s="7">
        <f>IF(預測IC!DX17&gt;預測IC!DX$25,1,0)</f>
        <v>0</v>
      </c>
      <c r="DY17" s="7">
        <f>IF(預測IC!DY17&gt;預測IC!DY$25,1,0)</f>
        <v>1</v>
      </c>
      <c r="DZ17" s="7">
        <f>IF(預測IC!DZ17&gt;預測IC!DZ$25,1,0)</f>
        <v>1</v>
      </c>
      <c r="EA17" s="7">
        <f>IF(預測IC!EA17&gt;預測IC!EA$25,1,0)</f>
        <v>0</v>
      </c>
      <c r="EB17" s="7">
        <f>IF(預測IC!EB17&gt;預測IC!EB$25,1,0)</f>
        <v>1</v>
      </c>
      <c r="EC17" s="7">
        <f>IF(預測IC!EC17&gt;預測IC!EC$25,1,0)</f>
        <v>1</v>
      </c>
      <c r="ED17" s="7">
        <f>IF(預測IC!ED17&gt;預測IC!ED$25,1,0)</f>
        <v>1</v>
      </c>
      <c r="EE17" s="7">
        <f>IF(預測IC!EE17&gt;預測IC!EE$25,1,0)</f>
        <v>0</v>
      </c>
      <c r="EF17" s="7">
        <f>IF(預測IC!EF17&gt;預測IC!EF$25,1,0)</f>
        <v>0</v>
      </c>
      <c r="EG17">
        <f t="shared" si="6"/>
        <v>66</v>
      </c>
      <c r="EH17" s="9">
        <f t="shared" si="7"/>
        <v>0.4925373134328358</v>
      </c>
    </row>
    <row r="18" spans="1:138" x14ac:dyDescent="0.3">
      <c r="A18" s="1">
        <v>137</v>
      </c>
      <c r="B18" s="1">
        <v>7</v>
      </c>
      <c r="C18" s="7">
        <f>IF(預測IC!C18&gt;預測IC!C$25,1,0)</f>
        <v>0</v>
      </c>
      <c r="D18" s="7">
        <f>IF(預測IC!D18&gt;預測IC!D$25,1,0)</f>
        <v>1</v>
      </c>
      <c r="E18" s="7">
        <f>IF(預測IC!E18&gt;預測IC!E$25,1,0)</f>
        <v>1</v>
      </c>
      <c r="F18" s="7">
        <f>IF(預測IC!F18&gt;預測IC!F$25,1,0)</f>
        <v>1</v>
      </c>
      <c r="G18" s="7">
        <f>IF(預測IC!G18&gt;預測IC!G$25,1,0)</f>
        <v>1</v>
      </c>
      <c r="H18" s="7">
        <f>IF(預測IC!H18&gt;預測IC!H$25,1,0)</f>
        <v>0</v>
      </c>
      <c r="I18" s="7">
        <f>IF(預測IC!I18&gt;預測IC!I$25,1,0)</f>
        <v>0</v>
      </c>
      <c r="J18" s="7">
        <f>IF(預測IC!J18&gt;預測IC!J$25,1,0)</f>
        <v>0</v>
      </c>
      <c r="K18" s="7">
        <f>IF(預測IC!K18&gt;預測IC!K$25,1,0)</f>
        <v>1</v>
      </c>
      <c r="L18" s="7">
        <f>IF(預測IC!L18&gt;預測IC!L$25,1,0)</f>
        <v>0</v>
      </c>
      <c r="M18" s="7">
        <f>IF(預測IC!M18&gt;預測IC!M$25,1,0)</f>
        <v>1</v>
      </c>
      <c r="N18" s="7">
        <f>IF(預測IC!N18&gt;預測IC!N$25,1,0)</f>
        <v>0</v>
      </c>
      <c r="O18" s="7">
        <f>IF(預測IC!O18&gt;預測IC!O$25,1,0)</f>
        <v>1</v>
      </c>
      <c r="P18" s="7">
        <f>IF(預測IC!P18&gt;預測IC!P$25,1,0)</f>
        <v>0</v>
      </c>
      <c r="Q18" s="7">
        <f>IF(預測IC!Q18&gt;預測IC!Q$25,1,0)</f>
        <v>1</v>
      </c>
      <c r="R18" s="7">
        <f>IF(預測IC!R18&gt;預測IC!R$25,1,0)</f>
        <v>0</v>
      </c>
      <c r="S18" s="7">
        <f>IF(預測IC!S18&gt;預測IC!S$25,1,0)</f>
        <v>0</v>
      </c>
      <c r="T18" s="7">
        <f>IF(預測IC!T18&gt;預測IC!T$25,1,0)</f>
        <v>1</v>
      </c>
      <c r="U18" s="7">
        <f>IF(預測IC!U18&gt;預測IC!U$25,1,0)</f>
        <v>1</v>
      </c>
      <c r="V18" s="7">
        <f>IF(預測IC!V18&gt;預測IC!V$25,1,0)</f>
        <v>0</v>
      </c>
      <c r="W18" s="7">
        <f>IF(預測IC!W18&gt;預測IC!W$25,1,0)</f>
        <v>0</v>
      </c>
      <c r="X18" s="7">
        <f>IF(預測IC!X18&gt;預測IC!X$25,1,0)</f>
        <v>1</v>
      </c>
      <c r="Y18" s="7">
        <f>IF(預測IC!Y18&gt;預測IC!Y$25,1,0)</f>
        <v>0</v>
      </c>
      <c r="Z18" s="7">
        <f>IF(預測IC!Z18&gt;預測IC!Z$25,1,0)</f>
        <v>0</v>
      </c>
      <c r="AA18" s="7">
        <f>IF(預測IC!AA18&gt;預測IC!AA$25,1,0)</f>
        <v>1</v>
      </c>
      <c r="AB18" s="7">
        <f>IF(預測IC!AB18&gt;預測IC!AB$25,1,0)</f>
        <v>0</v>
      </c>
      <c r="AC18" s="7">
        <f>IF(預測IC!AC18&gt;預測IC!AC$25,1,0)</f>
        <v>1</v>
      </c>
      <c r="AD18" s="7">
        <f>IF(預測IC!AD18&gt;預測IC!AD$25,1,0)</f>
        <v>0</v>
      </c>
      <c r="AE18" s="7">
        <f>IF(預測IC!AE18&gt;預測IC!AE$25,1,0)</f>
        <v>1</v>
      </c>
      <c r="AF18" s="7">
        <f>IF(預測IC!AF18&gt;預測IC!AF$25,1,0)</f>
        <v>0</v>
      </c>
      <c r="AG18" s="7">
        <f>IF(預測IC!AG18&gt;預測IC!AG$25,1,0)</f>
        <v>1</v>
      </c>
      <c r="AH18" s="7">
        <f>IF(預測IC!AH18&gt;預測IC!AH$25,1,0)</f>
        <v>1</v>
      </c>
      <c r="AI18" s="7">
        <f>IF(預測IC!AI18&gt;預測IC!AI$25,1,0)</f>
        <v>0</v>
      </c>
      <c r="AJ18" s="7">
        <f>IF(預測IC!AJ18&gt;預測IC!AJ$25,1,0)</f>
        <v>0</v>
      </c>
      <c r="AK18" s="7">
        <f>IF(預測IC!AK18&gt;預測IC!AK$25,1,0)</f>
        <v>0</v>
      </c>
      <c r="AL18" s="7">
        <f>IF(預測IC!AL18&gt;預測IC!AL$25,1,0)</f>
        <v>0</v>
      </c>
      <c r="AM18" s="7">
        <f>IF(預測IC!AM18&gt;預測IC!AM$25,1,0)</f>
        <v>0</v>
      </c>
      <c r="AN18" s="7">
        <f>IF(預測IC!AN18&gt;預測IC!AN$25,1,0)</f>
        <v>0</v>
      </c>
      <c r="AO18" s="7">
        <f>IF(預測IC!AO18&gt;預測IC!AO$25,1,0)</f>
        <v>0</v>
      </c>
      <c r="AP18" s="7">
        <f>IF(預測IC!AP18&gt;預測IC!AP$25,1,0)</f>
        <v>1</v>
      </c>
      <c r="AQ18" s="7">
        <f>IF(預測IC!AQ18&gt;預測IC!AQ$25,1,0)</f>
        <v>1</v>
      </c>
      <c r="AR18" s="7">
        <f>IF(預測IC!AR18&gt;預測IC!AR$25,1,0)</f>
        <v>0</v>
      </c>
      <c r="AS18" s="7">
        <f>IF(預測IC!AS18&gt;預測IC!AS$25,1,0)</f>
        <v>1</v>
      </c>
      <c r="AT18" s="7">
        <f>IF(預測IC!AT18&gt;預測IC!AT$25,1,0)</f>
        <v>1</v>
      </c>
      <c r="AU18" s="7">
        <f>IF(預測IC!AU18&gt;預測IC!AU$25,1,0)</f>
        <v>1</v>
      </c>
      <c r="AV18" s="7">
        <f>IF(預測IC!AV18&gt;預測IC!AV$25,1,0)</f>
        <v>0</v>
      </c>
      <c r="AW18" s="7">
        <f>IF(預測IC!AW18&gt;預測IC!AW$25,1,0)</f>
        <v>1</v>
      </c>
      <c r="AX18" s="7">
        <f>IF(預測IC!AX18&gt;預測IC!AX$25,1,0)</f>
        <v>0</v>
      </c>
      <c r="AY18" s="7">
        <f>IF(預測IC!AY18&gt;預測IC!AY$25,1,0)</f>
        <v>0</v>
      </c>
      <c r="AZ18" s="7">
        <f>IF(預測IC!AZ18&gt;預測IC!AZ$25,1,0)</f>
        <v>0</v>
      </c>
      <c r="BA18" s="7">
        <f>IF(預測IC!BA18&gt;預測IC!BA$25,1,0)</f>
        <v>0</v>
      </c>
      <c r="BB18" s="7">
        <f>IF(預測IC!BB18&gt;預測IC!BB$25,1,0)</f>
        <v>1</v>
      </c>
      <c r="BC18" s="7">
        <f>IF(預測IC!BC18&gt;預測IC!BC$25,1,0)</f>
        <v>1</v>
      </c>
      <c r="BD18" s="7">
        <f>IF(預測IC!BD18&gt;預測IC!BD$25,1,0)</f>
        <v>0</v>
      </c>
      <c r="BE18" s="7">
        <f>IF(預測IC!BE18&gt;預測IC!BE$25,1,0)</f>
        <v>0</v>
      </c>
      <c r="BF18" s="7">
        <f>IF(預測IC!BF18&gt;預測IC!BF$25,1,0)</f>
        <v>0</v>
      </c>
      <c r="BG18" s="7">
        <f>IF(預測IC!BG18&gt;預測IC!BG$25,1,0)</f>
        <v>1</v>
      </c>
      <c r="BH18" s="7">
        <f>IF(預測IC!BH18&gt;預測IC!BH$25,1,0)</f>
        <v>1</v>
      </c>
      <c r="BI18" s="7">
        <f>IF(預測IC!BI18&gt;預測IC!BI$25,1,0)</f>
        <v>1</v>
      </c>
      <c r="BJ18" s="7">
        <f>IF(預測IC!BJ18&gt;預測IC!BJ$25,1,0)</f>
        <v>1</v>
      </c>
      <c r="BK18" s="7">
        <f>IF(預測IC!BK18&gt;預測IC!BK$25,1,0)</f>
        <v>1</v>
      </c>
      <c r="BL18" s="7">
        <f>IF(預測IC!BL18&gt;預測IC!BL$25,1,0)</f>
        <v>0</v>
      </c>
      <c r="BM18" s="7">
        <f>IF(預測IC!BM18&gt;預測IC!BM$25,1,0)</f>
        <v>0</v>
      </c>
      <c r="BN18" s="7">
        <f>IF(預測IC!BN18&gt;預測IC!BN$25,1,0)</f>
        <v>1</v>
      </c>
      <c r="BO18" s="7">
        <f>IF(預測IC!BO18&gt;預測IC!BO$25,1,0)</f>
        <v>1</v>
      </c>
      <c r="BP18" s="7">
        <f>IF(預測IC!BP18&gt;預測IC!BP$25,1,0)</f>
        <v>1</v>
      </c>
      <c r="BQ18" s="7">
        <f>IF(預測IC!BQ18&gt;預測IC!BQ$25,1,0)</f>
        <v>0</v>
      </c>
      <c r="BR18" s="7">
        <f>IF(預測IC!BR18&gt;預測IC!BR$25,1,0)</f>
        <v>1</v>
      </c>
      <c r="BS18" s="7">
        <f>IF(預測IC!BS18&gt;預測IC!BS$25,1,0)</f>
        <v>0</v>
      </c>
      <c r="BT18" s="7">
        <f>IF(預測IC!BT18&gt;預測IC!BT$25,1,0)</f>
        <v>0</v>
      </c>
      <c r="BU18" s="7">
        <f>IF(預測IC!BU18&gt;預測IC!BU$25,1,0)</f>
        <v>1</v>
      </c>
      <c r="BV18" s="7">
        <f>IF(預測IC!BV18&gt;預測IC!BV$25,1,0)</f>
        <v>1</v>
      </c>
      <c r="BW18" s="7">
        <f>IF(預測IC!BW18&gt;預測IC!BW$25,1,0)</f>
        <v>0</v>
      </c>
      <c r="BX18" s="7">
        <f>IF(預測IC!BX18&gt;預測IC!BX$25,1,0)</f>
        <v>1</v>
      </c>
      <c r="BY18" s="7">
        <f>IF(預測IC!BY18&gt;預測IC!BY$25,1,0)</f>
        <v>1</v>
      </c>
      <c r="BZ18" s="7">
        <f>IF(預測IC!BZ18&gt;預測IC!BZ$25,1,0)</f>
        <v>1</v>
      </c>
      <c r="CA18" s="7">
        <f>IF(預測IC!CA18&gt;預測IC!CA$25,1,0)</f>
        <v>1</v>
      </c>
      <c r="CB18" s="7">
        <f>IF(預測IC!CB18&gt;預測IC!CB$25,1,0)</f>
        <v>1</v>
      </c>
      <c r="CC18" s="7">
        <f>IF(預測IC!CC18&gt;預測IC!CC$25,1,0)</f>
        <v>1</v>
      </c>
      <c r="CD18" s="7">
        <f>IF(預測IC!CD18&gt;預測IC!CD$25,1,0)</f>
        <v>1</v>
      </c>
      <c r="CE18" s="7">
        <f>IF(預測IC!CE18&gt;預測IC!CE$25,1,0)</f>
        <v>1</v>
      </c>
      <c r="CF18" s="7">
        <f>IF(預測IC!CF18&gt;預測IC!CF$25,1,0)</f>
        <v>1</v>
      </c>
      <c r="CG18" s="7">
        <f>IF(預測IC!CG18&gt;預測IC!CG$25,1,0)</f>
        <v>1</v>
      </c>
      <c r="CH18" s="7">
        <f>IF(預測IC!CH18&gt;預測IC!CH$25,1,0)</f>
        <v>1</v>
      </c>
      <c r="CI18" s="7">
        <f>IF(預測IC!CI18&gt;預測IC!CI$25,1,0)</f>
        <v>0</v>
      </c>
      <c r="CJ18" s="7">
        <f>IF(預測IC!CJ18&gt;預測IC!CJ$25,1,0)</f>
        <v>1</v>
      </c>
      <c r="CK18" s="7">
        <f>IF(預測IC!CK18&gt;預測IC!CK$25,1,0)</f>
        <v>1</v>
      </c>
      <c r="CL18" s="7">
        <f>IF(預測IC!CL18&gt;預測IC!CL$25,1,0)</f>
        <v>0</v>
      </c>
      <c r="CM18" s="7">
        <f>IF(預測IC!CM18&gt;預測IC!CM$25,1,0)</f>
        <v>1</v>
      </c>
      <c r="CN18" s="7">
        <f>IF(預測IC!CN18&gt;預測IC!CN$25,1,0)</f>
        <v>0</v>
      </c>
      <c r="CO18" s="7">
        <f>IF(預測IC!CO18&gt;預測IC!CO$25,1,0)</f>
        <v>1</v>
      </c>
      <c r="CP18" s="7">
        <f>IF(預測IC!CP18&gt;預測IC!CP$25,1,0)</f>
        <v>0</v>
      </c>
      <c r="CQ18" s="7">
        <f>IF(預測IC!CQ18&gt;預測IC!CQ$25,1,0)</f>
        <v>0</v>
      </c>
      <c r="CR18" s="7">
        <f>IF(預測IC!CR18&gt;預測IC!CR$25,1,0)</f>
        <v>0</v>
      </c>
      <c r="CS18" s="7">
        <f>IF(預測IC!CS18&gt;預測IC!CS$25,1,0)</f>
        <v>1</v>
      </c>
      <c r="CT18" s="7">
        <f>IF(預測IC!CT18&gt;預測IC!CT$25,1,0)</f>
        <v>0</v>
      </c>
      <c r="CU18" s="7">
        <f>IF(預測IC!CU18&gt;預測IC!CU$25,1,0)</f>
        <v>1</v>
      </c>
      <c r="CV18" s="7">
        <f>IF(預測IC!CV18&gt;預測IC!CV$25,1,0)</f>
        <v>0</v>
      </c>
      <c r="CW18" s="7">
        <f>IF(預測IC!CW18&gt;預測IC!CW$25,1,0)</f>
        <v>1</v>
      </c>
      <c r="CX18" s="7">
        <f>IF(預測IC!CX18&gt;預測IC!CX$25,1,0)</f>
        <v>1</v>
      </c>
      <c r="CY18" s="7">
        <f>IF(預測IC!CY18&gt;預測IC!CY$25,1,0)</f>
        <v>1</v>
      </c>
      <c r="CZ18" s="7">
        <f>IF(預測IC!CZ18&gt;預測IC!CZ$25,1,0)</f>
        <v>0</v>
      </c>
      <c r="DA18" s="7">
        <f>IF(預測IC!DA18&gt;預測IC!DA$25,1,0)</f>
        <v>1</v>
      </c>
      <c r="DB18" s="7">
        <f>IF(預測IC!DB18&gt;預測IC!DB$25,1,0)</f>
        <v>1</v>
      </c>
      <c r="DC18" s="7">
        <f>IF(預測IC!DC18&gt;預測IC!DC$25,1,0)</f>
        <v>1</v>
      </c>
      <c r="DD18" s="7">
        <f>IF(預測IC!DD18&gt;預測IC!DD$25,1,0)</f>
        <v>1</v>
      </c>
      <c r="DE18" s="7">
        <f>IF(預測IC!DE18&gt;預測IC!DE$25,1,0)</f>
        <v>0</v>
      </c>
      <c r="DF18" s="7">
        <f>IF(預測IC!DF18&gt;預測IC!DF$25,1,0)</f>
        <v>0</v>
      </c>
      <c r="DG18" s="7">
        <f>IF(預測IC!DG18&gt;預測IC!DG$25,1,0)</f>
        <v>0</v>
      </c>
      <c r="DH18" s="7">
        <f>IF(預測IC!DH18&gt;預測IC!DH$25,1,0)</f>
        <v>1</v>
      </c>
      <c r="DI18" s="7">
        <f>IF(預測IC!DI18&gt;預測IC!DI$25,1,0)</f>
        <v>0</v>
      </c>
      <c r="DJ18" s="7">
        <f>IF(預測IC!DJ18&gt;預測IC!DJ$25,1,0)</f>
        <v>0</v>
      </c>
      <c r="DK18" s="7">
        <f>IF(預測IC!DK18&gt;預測IC!DK$25,1,0)</f>
        <v>0</v>
      </c>
      <c r="DL18" s="7">
        <f>IF(預測IC!DL18&gt;預測IC!DL$25,1,0)</f>
        <v>0</v>
      </c>
      <c r="DM18" s="7">
        <f>IF(預測IC!DM18&gt;預測IC!DM$25,1,0)</f>
        <v>1</v>
      </c>
      <c r="DN18" s="7">
        <f>IF(預測IC!DN18&gt;預測IC!DN$25,1,0)</f>
        <v>0</v>
      </c>
      <c r="DO18" s="7">
        <f>IF(預測IC!DO18&gt;預測IC!DO$25,1,0)</f>
        <v>1</v>
      </c>
      <c r="DP18" s="7">
        <f>IF(預測IC!DP18&gt;預測IC!DP$25,1,0)</f>
        <v>1</v>
      </c>
      <c r="DQ18" s="7">
        <f>IF(預測IC!DQ18&gt;預測IC!DQ$25,1,0)</f>
        <v>0</v>
      </c>
      <c r="DR18" s="7">
        <f>IF(預測IC!DR18&gt;預測IC!DR$25,1,0)</f>
        <v>0</v>
      </c>
      <c r="DS18" s="7">
        <f>IF(預測IC!DS18&gt;預測IC!DS$25,1,0)</f>
        <v>0</v>
      </c>
      <c r="DT18" s="7">
        <f>IF(預測IC!DT18&gt;預測IC!DT$25,1,0)</f>
        <v>1</v>
      </c>
      <c r="DU18" s="7">
        <f>IF(預測IC!DU18&gt;預測IC!DU$25,1,0)</f>
        <v>1</v>
      </c>
      <c r="DV18" s="7">
        <f>IF(預測IC!DV18&gt;預測IC!DV$25,1,0)</f>
        <v>0</v>
      </c>
      <c r="DW18" s="7">
        <f>IF(預測IC!DW18&gt;預測IC!DW$25,1,0)</f>
        <v>1</v>
      </c>
      <c r="DX18" s="7">
        <f>IF(預測IC!DX18&gt;預測IC!DX$25,1,0)</f>
        <v>0</v>
      </c>
      <c r="DY18" s="7">
        <f>IF(預測IC!DY18&gt;預測IC!DY$25,1,0)</f>
        <v>1</v>
      </c>
      <c r="DZ18" s="7">
        <f>IF(預測IC!DZ18&gt;預測IC!DZ$25,1,0)</f>
        <v>1</v>
      </c>
      <c r="EA18" s="7">
        <f>IF(預測IC!EA18&gt;預測IC!EA$25,1,0)</f>
        <v>0</v>
      </c>
      <c r="EB18" s="7">
        <f>IF(預測IC!EB18&gt;預測IC!EB$25,1,0)</f>
        <v>1</v>
      </c>
      <c r="EC18" s="7">
        <f>IF(預測IC!EC18&gt;預測IC!EC$25,1,0)</f>
        <v>1</v>
      </c>
      <c r="ED18" s="7">
        <f>IF(預測IC!ED18&gt;預測IC!ED$25,1,0)</f>
        <v>1</v>
      </c>
      <c r="EE18" s="7">
        <f>IF(預測IC!EE18&gt;預測IC!EE$25,1,0)</f>
        <v>0</v>
      </c>
      <c r="EF18" s="7">
        <f>IF(預測IC!EF18&gt;預測IC!EF$25,1,0)</f>
        <v>0</v>
      </c>
      <c r="EG18">
        <f t="shared" si="6"/>
        <v>71</v>
      </c>
      <c r="EH18" s="12">
        <f t="shared" si="7"/>
        <v>0.52985074626865669</v>
      </c>
    </row>
    <row r="19" spans="1:138" x14ac:dyDescent="0.3">
      <c r="A19" s="1">
        <v>160</v>
      </c>
      <c r="B19" s="1">
        <v>6</v>
      </c>
      <c r="C19" s="7">
        <f>IF(預測IC!C19&gt;預測IC!C$25,1,0)</f>
        <v>0</v>
      </c>
      <c r="D19" s="7">
        <f>IF(預測IC!D19&gt;預測IC!D$25,1,0)</f>
        <v>1</v>
      </c>
      <c r="E19" s="7">
        <f>IF(預測IC!E19&gt;預測IC!E$25,1,0)</f>
        <v>1</v>
      </c>
      <c r="F19" s="7">
        <f>IF(預測IC!F19&gt;預測IC!F$25,1,0)</f>
        <v>1</v>
      </c>
      <c r="G19" s="7">
        <f>IF(預測IC!G19&gt;預測IC!G$25,1,0)</f>
        <v>1</v>
      </c>
      <c r="H19" s="7">
        <f>IF(預測IC!H19&gt;預測IC!H$25,1,0)</f>
        <v>0</v>
      </c>
      <c r="I19" s="7">
        <f>IF(預測IC!I19&gt;預測IC!I$25,1,0)</f>
        <v>0</v>
      </c>
      <c r="J19" s="7">
        <f>IF(預測IC!J19&gt;預測IC!J$25,1,0)</f>
        <v>0</v>
      </c>
      <c r="K19" s="7">
        <f>IF(預測IC!K19&gt;預測IC!K$25,1,0)</f>
        <v>1</v>
      </c>
      <c r="L19" s="7">
        <f>IF(預測IC!L19&gt;預測IC!L$25,1,0)</f>
        <v>0</v>
      </c>
      <c r="M19" s="7">
        <f>IF(預測IC!M19&gt;預測IC!M$25,1,0)</f>
        <v>0</v>
      </c>
      <c r="N19" s="7">
        <f>IF(預測IC!N19&gt;預測IC!N$25,1,0)</f>
        <v>0</v>
      </c>
      <c r="O19" s="7">
        <f>IF(預測IC!O19&gt;預測IC!O$25,1,0)</f>
        <v>0</v>
      </c>
      <c r="P19" s="7">
        <f>IF(預測IC!P19&gt;預測IC!P$25,1,0)</f>
        <v>0</v>
      </c>
      <c r="Q19" s="7">
        <f>IF(預測IC!Q19&gt;預測IC!Q$25,1,0)</f>
        <v>1</v>
      </c>
      <c r="R19" s="7">
        <f>IF(預測IC!R19&gt;預測IC!R$25,1,0)</f>
        <v>1</v>
      </c>
      <c r="S19" s="7">
        <f>IF(預測IC!S19&gt;預測IC!S$25,1,0)</f>
        <v>0</v>
      </c>
      <c r="T19" s="7">
        <f>IF(預測IC!T19&gt;預測IC!T$25,1,0)</f>
        <v>0</v>
      </c>
      <c r="U19" s="7">
        <f>IF(預測IC!U19&gt;預測IC!U$25,1,0)</f>
        <v>1</v>
      </c>
      <c r="V19" s="7">
        <f>IF(預測IC!V19&gt;預測IC!V$25,1,0)</f>
        <v>0</v>
      </c>
      <c r="W19" s="7">
        <f>IF(預測IC!W19&gt;預測IC!W$25,1,0)</f>
        <v>0</v>
      </c>
      <c r="X19" s="7">
        <f>IF(預測IC!X19&gt;預測IC!X$25,1,0)</f>
        <v>1</v>
      </c>
      <c r="Y19" s="7">
        <f>IF(預測IC!Y19&gt;預測IC!Y$25,1,0)</f>
        <v>0</v>
      </c>
      <c r="Z19" s="7">
        <f>IF(預測IC!Z19&gt;預測IC!Z$25,1,0)</f>
        <v>0</v>
      </c>
      <c r="AA19" s="7">
        <f>IF(預測IC!AA19&gt;預測IC!AA$25,1,0)</f>
        <v>1</v>
      </c>
      <c r="AB19" s="7">
        <f>IF(預測IC!AB19&gt;預測IC!AB$25,1,0)</f>
        <v>0</v>
      </c>
      <c r="AC19" s="7">
        <f>IF(預測IC!AC19&gt;預測IC!AC$25,1,0)</f>
        <v>0</v>
      </c>
      <c r="AD19" s="7">
        <f>IF(預測IC!AD19&gt;預測IC!AD$25,1,0)</f>
        <v>0</v>
      </c>
      <c r="AE19" s="7">
        <f>IF(預測IC!AE19&gt;預測IC!AE$25,1,0)</f>
        <v>1</v>
      </c>
      <c r="AF19" s="7">
        <f>IF(預測IC!AF19&gt;預測IC!AF$25,1,0)</f>
        <v>0</v>
      </c>
      <c r="AG19" s="7">
        <f>IF(預測IC!AG19&gt;預測IC!AG$25,1,0)</f>
        <v>1</v>
      </c>
      <c r="AH19" s="7">
        <f>IF(預測IC!AH19&gt;預測IC!AH$25,1,0)</f>
        <v>1</v>
      </c>
      <c r="AI19" s="7">
        <f>IF(預測IC!AI19&gt;預測IC!AI$25,1,0)</f>
        <v>0</v>
      </c>
      <c r="AJ19" s="7">
        <f>IF(預測IC!AJ19&gt;預測IC!AJ$25,1,0)</f>
        <v>0</v>
      </c>
      <c r="AK19" s="7">
        <f>IF(預測IC!AK19&gt;預測IC!AK$25,1,0)</f>
        <v>0</v>
      </c>
      <c r="AL19" s="7">
        <f>IF(預測IC!AL19&gt;預測IC!AL$25,1,0)</f>
        <v>0</v>
      </c>
      <c r="AM19" s="7">
        <f>IF(預測IC!AM19&gt;預測IC!AM$25,1,0)</f>
        <v>0</v>
      </c>
      <c r="AN19" s="7">
        <f>IF(預測IC!AN19&gt;預測IC!AN$25,1,0)</f>
        <v>0</v>
      </c>
      <c r="AO19" s="7">
        <f>IF(預測IC!AO19&gt;預測IC!AO$25,1,0)</f>
        <v>0</v>
      </c>
      <c r="AP19" s="7">
        <f>IF(預測IC!AP19&gt;預測IC!AP$25,1,0)</f>
        <v>1</v>
      </c>
      <c r="AQ19" s="7">
        <f>IF(預測IC!AQ19&gt;預測IC!AQ$25,1,0)</f>
        <v>1</v>
      </c>
      <c r="AR19" s="7">
        <f>IF(預測IC!AR19&gt;預測IC!AR$25,1,0)</f>
        <v>0</v>
      </c>
      <c r="AS19" s="7">
        <f>IF(預測IC!AS19&gt;預測IC!AS$25,1,0)</f>
        <v>1</v>
      </c>
      <c r="AT19" s="7">
        <f>IF(預測IC!AT19&gt;預測IC!AT$25,1,0)</f>
        <v>1</v>
      </c>
      <c r="AU19" s="7">
        <f>IF(預測IC!AU19&gt;預測IC!AU$25,1,0)</f>
        <v>1</v>
      </c>
      <c r="AV19" s="7">
        <f>IF(預測IC!AV19&gt;預測IC!AV$25,1,0)</f>
        <v>0</v>
      </c>
      <c r="AW19" s="7">
        <f>IF(預測IC!AW19&gt;預測IC!AW$25,1,0)</f>
        <v>1</v>
      </c>
      <c r="AX19" s="7">
        <f>IF(預測IC!AX19&gt;預測IC!AX$25,1,0)</f>
        <v>0</v>
      </c>
      <c r="AY19" s="7">
        <f>IF(預測IC!AY19&gt;預測IC!AY$25,1,0)</f>
        <v>1</v>
      </c>
      <c r="AZ19" s="7">
        <f>IF(預測IC!AZ19&gt;預測IC!AZ$25,1,0)</f>
        <v>0</v>
      </c>
      <c r="BA19" s="7">
        <f>IF(預測IC!BA19&gt;預測IC!BA$25,1,0)</f>
        <v>0</v>
      </c>
      <c r="BB19" s="7">
        <f>IF(預測IC!BB19&gt;預測IC!BB$25,1,0)</f>
        <v>1</v>
      </c>
      <c r="BC19" s="7">
        <f>IF(預測IC!BC19&gt;預測IC!BC$25,1,0)</f>
        <v>1</v>
      </c>
      <c r="BD19" s="7">
        <f>IF(預測IC!BD19&gt;預測IC!BD$25,1,0)</f>
        <v>1</v>
      </c>
      <c r="BE19" s="7">
        <f>IF(預測IC!BE19&gt;預測IC!BE$25,1,0)</f>
        <v>0</v>
      </c>
      <c r="BF19" s="7">
        <f>IF(預測IC!BF19&gt;預測IC!BF$25,1,0)</f>
        <v>0</v>
      </c>
      <c r="BG19" s="7">
        <f>IF(預測IC!BG19&gt;預測IC!BG$25,1,0)</f>
        <v>1</v>
      </c>
      <c r="BH19" s="7">
        <f>IF(預測IC!BH19&gt;預測IC!BH$25,1,0)</f>
        <v>1</v>
      </c>
      <c r="BI19" s="7">
        <f>IF(預測IC!BI19&gt;預測IC!BI$25,1,0)</f>
        <v>1</v>
      </c>
      <c r="BJ19" s="7">
        <f>IF(預測IC!BJ19&gt;預測IC!BJ$25,1,0)</f>
        <v>1</v>
      </c>
      <c r="BK19" s="7">
        <f>IF(預測IC!BK19&gt;預測IC!BK$25,1,0)</f>
        <v>1</v>
      </c>
      <c r="BL19" s="7">
        <f>IF(預測IC!BL19&gt;預測IC!BL$25,1,0)</f>
        <v>0</v>
      </c>
      <c r="BM19" s="7">
        <f>IF(預測IC!BM19&gt;預測IC!BM$25,1,0)</f>
        <v>0</v>
      </c>
      <c r="BN19" s="7">
        <f>IF(預測IC!BN19&gt;預測IC!BN$25,1,0)</f>
        <v>1</v>
      </c>
      <c r="BO19" s="7">
        <f>IF(預測IC!BO19&gt;預測IC!BO$25,1,0)</f>
        <v>1</v>
      </c>
      <c r="BP19" s="7">
        <f>IF(預測IC!BP19&gt;預測IC!BP$25,1,0)</f>
        <v>1</v>
      </c>
      <c r="BQ19" s="7">
        <f>IF(預測IC!BQ19&gt;預測IC!BQ$25,1,0)</f>
        <v>1</v>
      </c>
      <c r="BR19" s="7">
        <f>IF(預測IC!BR19&gt;預測IC!BR$25,1,0)</f>
        <v>1</v>
      </c>
      <c r="BS19" s="7">
        <f>IF(預測IC!BS19&gt;預測IC!BS$25,1,0)</f>
        <v>0</v>
      </c>
      <c r="BT19" s="7">
        <f>IF(預測IC!BT19&gt;預測IC!BT$25,1,0)</f>
        <v>0</v>
      </c>
      <c r="BU19" s="7">
        <f>IF(預測IC!BU19&gt;預測IC!BU$25,1,0)</f>
        <v>1</v>
      </c>
      <c r="BV19" s="7">
        <f>IF(預測IC!BV19&gt;預測IC!BV$25,1,0)</f>
        <v>1</v>
      </c>
      <c r="BW19" s="7">
        <f>IF(預測IC!BW19&gt;預測IC!BW$25,1,0)</f>
        <v>0</v>
      </c>
      <c r="BX19" s="7">
        <f>IF(預測IC!BX19&gt;預測IC!BX$25,1,0)</f>
        <v>1</v>
      </c>
      <c r="BY19" s="7">
        <f>IF(預測IC!BY19&gt;預測IC!BY$25,1,0)</f>
        <v>1</v>
      </c>
      <c r="BZ19" s="7">
        <f>IF(預測IC!BZ19&gt;預測IC!BZ$25,1,0)</f>
        <v>0</v>
      </c>
      <c r="CA19" s="7">
        <f>IF(預測IC!CA19&gt;預測IC!CA$25,1,0)</f>
        <v>1</v>
      </c>
      <c r="CB19" s="7">
        <f>IF(預測IC!CB19&gt;預測IC!CB$25,1,0)</f>
        <v>1</v>
      </c>
      <c r="CC19" s="7">
        <f>IF(預測IC!CC19&gt;預測IC!CC$25,1,0)</f>
        <v>0</v>
      </c>
      <c r="CD19" s="7">
        <f>IF(預測IC!CD19&gt;預測IC!CD$25,1,0)</f>
        <v>1</v>
      </c>
      <c r="CE19" s="7">
        <f>IF(預測IC!CE19&gt;預測IC!CE$25,1,0)</f>
        <v>1</v>
      </c>
      <c r="CF19" s="7">
        <f>IF(預測IC!CF19&gt;預測IC!CF$25,1,0)</f>
        <v>1</v>
      </c>
      <c r="CG19" s="7">
        <f>IF(預測IC!CG19&gt;預測IC!CG$25,1,0)</f>
        <v>1</v>
      </c>
      <c r="CH19" s="7">
        <f>IF(預測IC!CH19&gt;預測IC!CH$25,1,0)</f>
        <v>1</v>
      </c>
      <c r="CI19" s="7">
        <f>IF(預測IC!CI19&gt;預測IC!CI$25,1,0)</f>
        <v>0</v>
      </c>
      <c r="CJ19" s="7">
        <f>IF(預測IC!CJ19&gt;預測IC!CJ$25,1,0)</f>
        <v>1</v>
      </c>
      <c r="CK19" s="7">
        <f>IF(預測IC!CK19&gt;預測IC!CK$25,1,0)</f>
        <v>1</v>
      </c>
      <c r="CL19" s="7">
        <f>IF(預測IC!CL19&gt;預測IC!CL$25,1,0)</f>
        <v>0</v>
      </c>
      <c r="CM19" s="7">
        <f>IF(預測IC!CM19&gt;預測IC!CM$25,1,0)</f>
        <v>1</v>
      </c>
      <c r="CN19" s="7">
        <f>IF(預測IC!CN19&gt;預測IC!CN$25,1,0)</f>
        <v>0</v>
      </c>
      <c r="CO19" s="7">
        <f>IF(預測IC!CO19&gt;預測IC!CO$25,1,0)</f>
        <v>1</v>
      </c>
      <c r="CP19" s="7">
        <f>IF(預測IC!CP19&gt;預測IC!CP$25,1,0)</f>
        <v>0</v>
      </c>
      <c r="CQ19" s="7">
        <f>IF(預測IC!CQ19&gt;預測IC!CQ$25,1,0)</f>
        <v>1</v>
      </c>
      <c r="CR19" s="7">
        <f>IF(預測IC!CR19&gt;預測IC!CR$25,1,0)</f>
        <v>0</v>
      </c>
      <c r="CS19" s="7">
        <f>IF(預測IC!CS19&gt;預測IC!CS$25,1,0)</f>
        <v>1</v>
      </c>
      <c r="CT19" s="7">
        <f>IF(預測IC!CT19&gt;預測IC!CT$25,1,0)</f>
        <v>0</v>
      </c>
      <c r="CU19" s="7">
        <f>IF(預測IC!CU19&gt;預測IC!CU$25,1,0)</f>
        <v>1</v>
      </c>
      <c r="CV19" s="7">
        <f>IF(預測IC!CV19&gt;預測IC!CV$25,1,0)</f>
        <v>0</v>
      </c>
      <c r="CW19" s="7">
        <f>IF(預測IC!CW19&gt;預測IC!CW$25,1,0)</f>
        <v>1</v>
      </c>
      <c r="CX19" s="7">
        <f>IF(預測IC!CX19&gt;預測IC!CX$25,1,0)</f>
        <v>1</v>
      </c>
      <c r="CY19" s="7">
        <f>IF(預測IC!CY19&gt;預測IC!CY$25,1,0)</f>
        <v>1</v>
      </c>
      <c r="CZ19" s="7">
        <f>IF(預測IC!CZ19&gt;預測IC!CZ$25,1,0)</f>
        <v>1</v>
      </c>
      <c r="DA19" s="7">
        <f>IF(預測IC!DA19&gt;預測IC!DA$25,1,0)</f>
        <v>1</v>
      </c>
      <c r="DB19" s="7">
        <f>IF(預測IC!DB19&gt;預測IC!DB$25,1,0)</f>
        <v>1</v>
      </c>
      <c r="DC19" s="7">
        <f>IF(預測IC!DC19&gt;預測IC!DC$25,1,0)</f>
        <v>1</v>
      </c>
      <c r="DD19" s="7">
        <f>IF(預測IC!DD19&gt;預測IC!DD$25,1,0)</f>
        <v>1</v>
      </c>
      <c r="DE19" s="7">
        <f>IF(預測IC!DE19&gt;預測IC!DE$25,1,0)</f>
        <v>0</v>
      </c>
      <c r="DF19" s="7">
        <f>IF(預測IC!DF19&gt;預測IC!DF$25,1,0)</f>
        <v>0</v>
      </c>
      <c r="DG19" s="7">
        <f>IF(預測IC!DG19&gt;預測IC!DG$25,1,0)</f>
        <v>0</v>
      </c>
      <c r="DH19" s="7">
        <f>IF(預測IC!DH19&gt;預測IC!DH$25,1,0)</f>
        <v>0</v>
      </c>
      <c r="DI19" s="7">
        <f>IF(預測IC!DI19&gt;預測IC!DI$25,1,0)</f>
        <v>0</v>
      </c>
      <c r="DJ19" s="7">
        <f>IF(預測IC!DJ19&gt;預測IC!DJ$25,1,0)</f>
        <v>0</v>
      </c>
      <c r="DK19" s="7">
        <f>IF(預測IC!DK19&gt;預測IC!DK$25,1,0)</f>
        <v>0</v>
      </c>
      <c r="DL19" s="7">
        <f>IF(預測IC!DL19&gt;預測IC!DL$25,1,0)</f>
        <v>0</v>
      </c>
      <c r="DM19" s="7">
        <f>IF(預測IC!DM19&gt;預測IC!DM$25,1,0)</f>
        <v>1</v>
      </c>
      <c r="DN19" s="7">
        <f>IF(預測IC!DN19&gt;預測IC!DN$25,1,0)</f>
        <v>0</v>
      </c>
      <c r="DO19" s="7">
        <f>IF(預測IC!DO19&gt;預測IC!DO$25,1,0)</f>
        <v>1</v>
      </c>
      <c r="DP19" s="7">
        <f>IF(預測IC!DP19&gt;預測IC!DP$25,1,0)</f>
        <v>1</v>
      </c>
      <c r="DQ19" s="7">
        <f>IF(預測IC!DQ19&gt;預測IC!DQ$25,1,0)</f>
        <v>0</v>
      </c>
      <c r="DR19" s="7">
        <f>IF(預測IC!DR19&gt;預測IC!DR$25,1,0)</f>
        <v>0</v>
      </c>
      <c r="DS19" s="7">
        <f>IF(預測IC!DS19&gt;預測IC!DS$25,1,0)</f>
        <v>1</v>
      </c>
      <c r="DT19" s="7">
        <f>IF(預測IC!DT19&gt;預測IC!DT$25,1,0)</f>
        <v>1</v>
      </c>
      <c r="DU19" s="7">
        <f>IF(預測IC!DU19&gt;預測IC!DU$25,1,0)</f>
        <v>1</v>
      </c>
      <c r="DV19" s="7">
        <f>IF(預測IC!DV19&gt;預測IC!DV$25,1,0)</f>
        <v>0</v>
      </c>
      <c r="DW19" s="7">
        <f>IF(預測IC!DW19&gt;預測IC!DW$25,1,0)</f>
        <v>1</v>
      </c>
      <c r="DX19" s="7">
        <f>IF(預測IC!DX19&gt;預測IC!DX$25,1,0)</f>
        <v>1</v>
      </c>
      <c r="DY19" s="7">
        <f>IF(預測IC!DY19&gt;預測IC!DY$25,1,0)</f>
        <v>1</v>
      </c>
      <c r="DZ19" s="7">
        <f>IF(預測IC!DZ19&gt;預測IC!DZ$25,1,0)</f>
        <v>1</v>
      </c>
      <c r="EA19" s="7">
        <f>IF(預測IC!EA19&gt;預測IC!EA$25,1,0)</f>
        <v>0</v>
      </c>
      <c r="EB19" s="7">
        <f>IF(預測IC!EB19&gt;預測IC!EB$25,1,0)</f>
        <v>1</v>
      </c>
      <c r="EC19" s="7">
        <f>IF(預測IC!EC19&gt;預測IC!EC$25,1,0)</f>
        <v>1</v>
      </c>
      <c r="ED19" s="7">
        <f>IF(預測IC!ED19&gt;預測IC!ED$25,1,0)</f>
        <v>1</v>
      </c>
      <c r="EE19" s="7">
        <f>IF(預測IC!EE19&gt;預測IC!EE$25,1,0)</f>
        <v>0</v>
      </c>
      <c r="EF19" s="7">
        <f>IF(預測IC!EF19&gt;預測IC!EF$25,1,0)</f>
        <v>1</v>
      </c>
      <c r="EG19">
        <f t="shared" si="6"/>
        <v>73</v>
      </c>
      <c r="EH19" s="12">
        <f t="shared" si="7"/>
        <v>0.53731343283582089</v>
      </c>
    </row>
    <row r="20" spans="1:138" x14ac:dyDescent="0.3">
      <c r="A20" s="1">
        <v>192</v>
      </c>
      <c r="B20" s="1">
        <v>5</v>
      </c>
      <c r="C20" s="7">
        <f>IF(預測IC!C20&gt;預測IC!C$25,1,0)</f>
        <v>0</v>
      </c>
      <c r="D20" s="7">
        <f>IF(預測IC!D20&gt;預測IC!D$25,1,0)</f>
        <v>1</v>
      </c>
      <c r="E20" s="7">
        <f>IF(預測IC!E20&gt;預測IC!E$25,1,0)</f>
        <v>0</v>
      </c>
      <c r="F20" s="7">
        <f>IF(預測IC!F20&gt;預測IC!F$25,1,0)</f>
        <v>1</v>
      </c>
      <c r="G20" s="7">
        <f>IF(預測IC!G20&gt;預測IC!G$25,1,0)</f>
        <v>1</v>
      </c>
      <c r="H20" s="7">
        <f>IF(預測IC!H20&gt;預測IC!H$25,1,0)</f>
        <v>0</v>
      </c>
      <c r="I20" s="7">
        <f>IF(預測IC!I20&gt;預測IC!I$25,1,0)</f>
        <v>0</v>
      </c>
      <c r="J20" s="7">
        <f>IF(預測IC!J20&gt;預測IC!J$25,1,0)</f>
        <v>0</v>
      </c>
      <c r="K20" s="7">
        <f>IF(預測IC!K20&gt;預測IC!K$25,1,0)</f>
        <v>1</v>
      </c>
      <c r="L20" s="7">
        <f>IF(預測IC!L20&gt;預測IC!L$25,1,0)</f>
        <v>0</v>
      </c>
      <c r="M20" s="7">
        <f>IF(預測IC!M20&gt;預測IC!M$25,1,0)</f>
        <v>0</v>
      </c>
      <c r="N20" s="7">
        <f>IF(預測IC!N20&gt;預測IC!N$25,1,0)</f>
        <v>0</v>
      </c>
      <c r="O20" s="7">
        <f>IF(預測IC!O20&gt;預測IC!O$25,1,0)</f>
        <v>0</v>
      </c>
      <c r="P20" s="7">
        <f>IF(預測IC!P20&gt;預測IC!P$25,1,0)</f>
        <v>1</v>
      </c>
      <c r="Q20" s="7">
        <f>IF(預測IC!Q20&gt;預測IC!Q$25,1,0)</f>
        <v>1</v>
      </c>
      <c r="R20" s="7">
        <f>IF(預測IC!R20&gt;預測IC!R$25,1,0)</f>
        <v>1</v>
      </c>
      <c r="S20" s="7">
        <f>IF(預測IC!S20&gt;預測IC!S$25,1,0)</f>
        <v>0</v>
      </c>
      <c r="T20" s="7">
        <f>IF(預測IC!T20&gt;預測IC!T$25,1,0)</f>
        <v>0</v>
      </c>
      <c r="U20" s="7">
        <f>IF(預測IC!U20&gt;預測IC!U$25,1,0)</f>
        <v>1</v>
      </c>
      <c r="V20" s="7">
        <f>IF(預測IC!V20&gt;預測IC!V$25,1,0)</f>
        <v>0</v>
      </c>
      <c r="W20" s="7">
        <f>IF(預測IC!W20&gt;預測IC!W$25,1,0)</f>
        <v>0</v>
      </c>
      <c r="X20" s="7">
        <f>IF(預測IC!X20&gt;預測IC!X$25,1,0)</f>
        <v>1</v>
      </c>
      <c r="Y20" s="7">
        <f>IF(預測IC!Y20&gt;預測IC!Y$25,1,0)</f>
        <v>0</v>
      </c>
      <c r="Z20" s="7">
        <f>IF(預測IC!Z20&gt;預測IC!Z$25,1,0)</f>
        <v>1</v>
      </c>
      <c r="AA20" s="7">
        <f>IF(預測IC!AA20&gt;預測IC!AA$25,1,0)</f>
        <v>1</v>
      </c>
      <c r="AB20" s="7">
        <f>IF(預測IC!AB20&gt;預測IC!AB$25,1,0)</f>
        <v>0</v>
      </c>
      <c r="AC20" s="7">
        <f>IF(預測IC!AC20&gt;預測IC!AC$25,1,0)</f>
        <v>1</v>
      </c>
      <c r="AD20" s="7">
        <f>IF(預測IC!AD20&gt;預測IC!AD$25,1,0)</f>
        <v>0</v>
      </c>
      <c r="AE20" s="7">
        <f>IF(預測IC!AE20&gt;預測IC!AE$25,1,0)</f>
        <v>0</v>
      </c>
      <c r="AF20" s="7">
        <f>IF(預測IC!AF20&gt;預測IC!AF$25,1,0)</f>
        <v>0</v>
      </c>
      <c r="AG20" s="7">
        <f>IF(預測IC!AG20&gt;預測IC!AG$25,1,0)</f>
        <v>0</v>
      </c>
      <c r="AH20" s="7">
        <f>IF(預測IC!AH20&gt;預測IC!AH$25,1,0)</f>
        <v>1</v>
      </c>
      <c r="AI20" s="7">
        <f>IF(預測IC!AI20&gt;預測IC!AI$25,1,0)</f>
        <v>0</v>
      </c>
      <c r="AJ20" s="7">
        <f>IF(預測IC!AJ20&gt;預測IC!AJ$25,1,0)</f>
        <v>0</v>
      </c>
      <c r="AK20" s="7">
        <f>IF(預測IC!AK20&gt;預測IC!AK$25,1,0)</f>
        <v>0</v>
      </c>
      <c r="AL20" s="7">
        <f>IF(預測IC!AL20&gt;預測IC!AL$25,1,0)</f>
        <v>0</v>
      </c>
      <c r="AM20" s="7">
        <f>IF(預測IC!AM20&gt;預測IC!AM$25,1,0)</f>
        <v>0</v>
      </c>
      <c r="AN20" s="7">
        <f>IF(預測IC!AN20&gt;預測IC!AN$25,1,0)</f>
        <v>1</v>
      </c>
      <c r="AO20" s="7">
        <f>IF(預測IC!AO20&gt;預測IC!AO$25,1,0)</f>
        <v>0</v>
      </c>
      <c r="AP20" s="7">
        <f>IF(預測IC!AP20&gt;預測IC!AP$25,1,0)</f>
        <v>1</v>
      </c>
      <c r="AQ20" s="7">
        <f>IF(預測IC!AQ20&gt;預測IC!AQ$25,1,0)</f>
        <v>0</v>
      </c>
      <c r="AR20" s="7">
        <f>IF(預測IC!AR20&gt;預測IC!AR$25,1,0)</f>
        <v>0</v>
      </c>
      <c r="AS20" s="7">
        <f>IF(預測IC!AS20&gt;預測IC!AS$25,1,0)</f>
        <v>1</v>
      </c>
      <c r="AT20" s="7">
        <f>IF(預測IC!AT20&gt;預測IC!AT$25,1,0)</f>
        <v>0</v>
      </c>
      <c r="AU20" s="7">
        <f>IF(預測IC!AU20&gt;預測IC!AU$25,1,0)</f>
        <v>1</v>
      </c>
      <c r="AV20" s="7">
        <f>IF(預測IC!AV20&gt;預測IC!AV$25,1,0)</f>
        <v>0</v>
      </c>
      <c r="AW20" s="7">
        <f>IF(預測IC!AW20&gt;預測IC!AW$25,1,0)</f>
        <v>1</v>
      </c>
      <c r="AX20" s="7">
        <f>IF(預測IC!AX20&gt;預測IC!AX$25,1,0)</f>
        <v>0</v>
      </c>
      <c r="AY20" s="7">
        <f>IF(預測IC!AY20&gt;預測IC!AY$25,1,0)</f>
        <v>0</v>
      </c>
      <c r="AZ20" s="7">
        <f>IF(預測IC!AZ20&gt;預測IC!AZ$25,1,0)</f>
        <v>0</v>
      </c>
      <c r="BA20" s="7">
        <f>IF(預測IC!BA20&gt;預測IC!BA$25,1,0)</f>
        <v>0</v>
      </c>
      <c r="BB20" s="7">
        <f>IF(預測IC!BB20&gt;預測IC!BB$25,1,0)</f>
        <v>1</v>
      </c>
      <c r="BC20" s="7">
        <f>IF(預測IC!BC20&gt;預測IC!BC$25,1,0)</f>
        <v>1</v>
      </c>
      <c r="BD20" s="7">
        <f>IF(預測IC!BD20&gt;預測IC!BD$25,1,0)</f>
        <v>0</v>
      </c>
      <c r="BE20" s="7">
        <f>IF(預測IC!BE20&gt;預測IC!BE$25,1,0)</f>
        <v>0</v>
      </c>
      <c r="BF20" s="7">
        <f>IF(預測IC!BF20&gt;預測IC!BF$25,1,0)</f>
        <v>0</v>
      </c>
      <c r="BG20" s="7">
        <f>IF(預測IC!BG20&gt;預測IC!BG$25,1,0)</f>
        <v>0</v>
      </c>
      <c r="BH20" s="7">
        <f>IF(預測IC!BH20&gt;預測IC!BH$25,1,0)</f>
        <v>1</v>
      </c>
      <c r="BI20" s="7">
        <f>IF(預測IC!BI20&gt;預測IC!BI$25,1,0)</f>
        <v>1</v>
      </c>
      <c r="BJ20" s="7">
        <f>IF(預測IC!BJ20&gt;預測IC!BJ$25,1,0)</f>
        <v>1</v>
      </c>
      <c r="BK20" s="7">
        <f>IF(預測IC!BK20&gt;預測IC!BK$25,1,0)</f>
        <v>1</v>
      </c>
      <c r="BL20" s="7">
        <f>IF(預測IC!BL20&gt;預測IC!BL$25,1,0)</f>
        <v>0</v>
      </c>
      <c r="BM20" s="7">
        <f>IF(預測IC!BM20&gt;預測IC!BM$25,1,0)</f>
        <v>0</v>
      </c>
      <c r="BN20" s="7">
        <f>IF(預測IC!BN20&gt;預測IC!BN$25,1,0)</f>
        <v>0</v>
      </c>
      <c r="BO20" s="7">
        <f>IF(預測IC!BO20&gt;預測IC!BO$25,1,0)</f>
        <v>1</v>
      </c>
      <c r="BP20" s="7">
        <f>IF(預測IC!BP20&gt;預測IC!BP$25,1,0)</f>
        <v>1</v>
      </c>
      <c r="BQ20" s="7">
        <f>IF(預測IC!BQ20&gt;預測IC!BQ$25,1,0)</f>
        <v>1</v>
      </c>
      <c r="BR20" s="7">
        <f>IF(預測IC!BR20&gt;預測IC!BR$25,1,0)</f>
        <v>1</v>
      </c>
      <c r="BS20" s="7">
        <f>IF(預測IC!BS20&gt;預測IC!BS$25,1,0)</f>
        <v>0</v>
      </c>
      <c r="BT20" s="7">
        <f>IF(預測IC!BT20&gt;預測IC!BT$25,1,0)</f>
        <v>1</v>
      </c>
      <c r="BU20" s="7">
        <f>IF(預測IC!BU20&gt;預測IC!BU$25,1,0)</f>
        <v>1</v>
      </c>
      <c r="BV20" s="7">
        <f>IF(預測IC!BV20&gt;預測IC!BV$25,1,0)</f>
        <v>1</v>
      </c>
      <c r="BW20" s="7">
        <f>IF(預測IC!BW20&gt;預測IC!BW$25,1,0)</f>
        <v>0</v>
      </c>
      <c r="BX20" s="7">
        <f>IF(預測IC!BX20&gt;預測IC!BX$25,1,0)</f>
        <v>1</v>
      </c>
      <c r="BY20" s="7">
        <f>IF(預測IC!BY20&gt;預測IC!BY$25,1,0)</f>
        <v>1</v>
      </c>
      <c r="BZ20" s="7">
        <f>IF(預測IC!BZ20&gt;預測IC!BZ$25,1,0)</f>
        <v>0</v>
      </c>
      <c r="CA20" s="7">
        <f>IF(預測IC!CA20&gt;預測IC!CA$25,1,0)</f>
        <v>1</v>
      </c>
      <c r="CB20" s="7">
        <f>IF(預測IC!CB20&gt;預測IC!CB$25,1,0)</f>
        <v>1</v>
      </c>
      <c r="CC20" s="7">
        <f>IF(預測IC!CC20&gt;預測IC!CC$25,1,0)</f>
        <v>0</v>
      </c>
      <c r="CD20" s="7">
        <f>IF(預測IC!CD20&gt;預測IC!CD$25,1,0)</f>
        <v>1</v>
      </c>
      <c r="CE20" s="7">
        <f>IF(預測IC!CE20&gt;預測IC!CE$25,1,0)</f>
        <v>1</v>
      </c>
      <c r="CF20" s="7">
        <f>IF(預測IC!CF20&gt;預測IC!CF$25,1,0)</f>
        <v>1</v>
      </c>
      <c r="CG20" s="7">
        <f>IF(預測IC!CG20&gt;預測IC!CG$25,1,0)</f>
        <v>1</v>
      </c>
      <c r="CH20" s="7">
        <f>IF(預測IC!CH20&gt;預測IC!CH$25,1,0)</f>
        <v>1</v>
      </c>
      <c r="CI20" s="7">
        <f>IF(預測IC!CI20&gt;預測IC!CI$25,1,0)</f>
        <v>0</v>
      </c>
      <c r="CJ20" s="7">
        <f>IF(預測IC!CJ20&gt;預測IC!CJ$25,1,0)</f>
        <v>1</v>
      </c>
      <c r="CK20" s="7">
        <f>IF(預測IC!CK20&gt;預測IC!CK$25,1,0)</f>
        <v>1</v>
      </c>
      <c r="CL20" s="7">
        <f>IF(預測IC!CL20&gt;預測IC!CL$25,1,0)</f>
        <v>0</v>
      </c>
      <c r="CM20" s="7">
        <f>IF(預測IC!CM20&gt;預測IC!CM$25,1,0)</f>
        <v>1</v>
      </c>
      <c r="CN20" s="7">
        <f>IF(預測IC!CN20&gt;預測IC!CN$25,1,0)</f>
        <v>0</v>
      </c>
      <c r="CO20" s="7">
        <f>IF(預測IC!CO20&gt;預測IC!CO$25,1,0)</f>
        <v>1</v>
      </c>
      <c r="CP20" s="7">
        <f>IF(預測IC!CP20&gt;預測IC!CP$25,1,0)</f>
        <v>0</v>
      </c>
      <c r="CQ20" s="7">
        <f>IF(預測IC!CQ20&gt;預測IC!CQ$25,1,0)</f>
        <v>1</v>
      </c>
      <c r="CR20" s="7">
        <f>IF(預測IC!CR20&gt;預測IC!CR$25,1,0)</f>
        <v>0</v>
      </c>
      <c r="CS20" s="7">
        <f>IF(預測IC!CS20&gt;預測IC!CS$25,1,0)</f>
        <v>0</v>
      </c>
      <c r="CT20" s="7">
        <f>IF(預測IC!CT20&gt;預測IC!CT$25,1,0)</f>
        <v>0</v>
      </c>
      <c r="CU20" s="7">
        <f>IF(預測IC!CU20&gt;預測IC!CU$25,1,0)</f>
        <v>1</v>
      </c>
      <c r="CV20" s="7">
        <f>IF(預測IC!CV20&gt;預測IC!CV$25,1,0)</f>
        <v>0</v>
      </c>
      <c r="CW20" s="7">
        <f>IF(預測IC!CW20&gt;預測IC!CW$25,1,0)</f>
        <v>0</v>
      </c>
      <c r="CX20" s="7">
        <f>IF(預測IC!CX20&gt;預測IC!CX$25,1,0)</f>
        <v>1</v>
      </c>
      <c r="CY20" s="7">
        <f>IF(預測IC!CY20&gt;預測IC!CY$25,1,0)</f>
        <v>0</v>
      </c>
      <c r="CZ20" s="7">
        <f>IF(預測IC!CZ20&gt;預測IC!CZ$25,1,0)</f>
        <v>0</v>
      </c>
      <c r="DA20" s="7">
        <f>IF(預測IC!DA20&gt;預測IC!DA$25,1,0)</f>
        <v>1</v>
      </c>
      <c r="DB20" s="7">
        <f>IF(預測IC!DB20&gt;預測IC!DB$25,1,0)</f>
        <v>1</v>
      </c>
      <c r="DC20" s="7">
        <f>IF(預測IC!DC20&gt;預測IC!DC$25,1,0)</f>
        <v>1</v>
      </c>
      <c r="DD20" s="7">
        <f>IF(預測IC!DD20&gt;預測IC!DD$25,1,0)</f>
        <v>1</v>
      </c>
      <c r="DE20" s="7">
        <f>IF(預測IC!DE20&gt;預測IC!DE$25,1,0)</f>
        <v>0</v>
      </c>
      <c r="DF20" s="7">
        <f>IF(預測IC!DF20&gt;預測IC!DF$25,1,0)</f>
        <v>0</v>
      </c>
      <c r="DG20" s="7">
        <f>IF(預測IC!DG20&gt;預測IC!DG$25,1,0)</f>
        <v>0</v>
      </c>
      <c r="DH20" s="7">
        <f>IF(預測IC!DH20&gt;預測IC!DH$25,1,0)</f>
        <v>0</v>
      </c>
      <c r="DI20" s="7">
        <f>IF(預測IC!DI20&gt;預測IC!DI$25,1,0)</f>
        <v>0</v>
      </c>
      <c r="DJ20" s="7">
        <f>IF(預測IC!DJ20&gt;預測IC!DJ$25,1,0)</f>
        <v>0</v>
      </c>
      <c r="DK20" s="7">
        <f>IF(預測IC!DK20&gt;預測IC!DK$25,1,0)</f>
        <v>0</v>
      </c>
      <c r="DL20" s="7">
        <f>IF(預測IC!DL20&gt;預測IC!DL$25,1,0)</f>
        <v>0</v>
      </c>
      <c r="DM20" s="7">
        <f>IF(預測IC!DM20&gt;預測IC!DM$25,1,0)</f>
        <v>0</v>
      </c>
      <c r="DN20" s="7">
        <f>IF(預測IC!DN20&gt;預測IC!DN$25,1,0)</f>
        <v>0</v>
      </c>
      <c r="DO20" s="7">
        <f>IF(預測IC!DO20&gt;預測IC!DO$25,1,0)</f>
        <v>1</v>
      </c>
      <c r="DP20" s="7">
        <f>IF(預測IC!DP20&gt;預測IC!DP$25,1,0)</f>
        <v>1</v>
      </c>
      <c r="DQ20" s="7">
        <f>IF(預測IC!DQ20&gt;預測IC!DQ$25,1,0)</f>
        <v>0</v>
      </c>
      <c r="DR20" s="7">
        <f>IF(預測IC!DR20&gt;預測IC!DR$25,1,0)</f>
        <v>1</v>
      </c>
      <c r="DS20" s="7">
        <f>IF(預測IC!DS20&gt;預測IC!DS$25,1,0)</f>
        <v>1</v>
      </c>
      <c r="DT20" s="7">
        <f>IF(預測IC!DT20&gt;預測IC!DT$25,1,0)</f>
        <v>1</v>
      </c>
      <c r="DU20" s="7">
        <f>IF(預測IC!DU20&gt;預測IC!DU$25,1,0)</f>
        <v>1</v>
      </c>
      <c r="DV20" s="7">
        <f>IF(預測IC!DV20&gt;預測IC!DV$25,1,0)</f>
        <v>0</v>
      </c>
      <c r="DW20" s="7">
        <f>IF(預測IC!DW20&gt;預測IC!DW$25,1,0)</f>
        <v>1</v>
      </c>
      <c r="DX20" s="7">
        <f>IF(預測IC!DX20&gt;預測IC!DX$25,1,0)</f>
        <v>1</v>
      </c>
      <c r="DY20" s="7">
        <f>IF(預測IC!DY20&gt;預測IC!DY$25,1,0)</f>
        <v>1</v>
      </c>
      <c r="DZ20" s="7">
        <f>IF(預測IC!DZ20&gt;預測IC!DZ$25,1,0)</f>
        <v>0</v>
      </c>
      <c r="EA20" s="7">
        <f>IF(預測IC!EA20&gt;預測IC!EA$25,1,0)</f>
        <v>0</v>
      </c>
      <c r="EB20" s="7">
        <f>IF(預測IC!EB20&gt;預測IC!EB$25,1,0)</f>
        <v>1</v>
      </c>
      <c r="EC20" s="7">
        <f>IF(預測IC!EC20&gt;預測IC!EC$25,1,0)</f>
        <v>1</v>
      </c>
      <c r="ED20" s="7">
        <f>IF(預測IC!ED20&gt;預測IC!ED$25,1,0)</f>
        <v>1</v>
      </c>
      <c r="EE20" s="7">
        <f>IF(預測IC!EE20&gt;預測IC!EE$25,1,0)</f>
        <v>0</v>
      </c>
      <c r="EF20" s="7">
        <f>IF(預測IC!EF20&gt;預測IC!EF$25,1,0)</f>
        <v>0</v>
      </c>
      <c r="EG20">
        <f t="shared" si="6"/>
        <v>63</v>
      </c>
      <c r="EH20" s="9">
        <f t="shared" si="7"/>
        <v>0.47014925373134331</v>
      </c>
    </row>
    <row r="21" spans="1:138" x14ac:dyDescent="0.3">
      <c r="A21" s="1">
        <v>241</v>
      </c>
      <c r="B21" s="1">
        <v>4</v>
      </c>
      <c r="C21" s="7">
        <f>IF(預測IC!C21&gt;預測IC!C$25,1,0)</f>
        <v>0</v>
      </c>
      <c r="D21" s="7">
        <f>IF(預測IC!D21&gt;預測IC!D$25,1,0)</f>
        <v>1</v>
      </c>
      <c r="E21" s="7">
        <f>IF(預測IC!E21&gt;預測IC!E$25,1,0)</f>
        <v>0</v>
      </c>
      <c r="F21" s="7">
        <f>IF(預測IC!F21&gt;預測IC!F$25,1,0)</f>
        <v>1</v>
      </c>
      <c r="G21" s="7">
        <f>IF(預測IC!G21&gt;預測IC!G$25,1,0)</f>
        <v>0</v>
      </c>
      <c r="H21" s="7">
        <f>IF(預測IC!H21&gt;預測IC!H$25,1,0)</f>
        <v>0</v>
      </c>
      <c r="I21" s="7">
        <f>IF(預測IC!I21&gt;預測IC!I$25,1,0)</f>
        <v>0</v>
      </c>
      <c r="J21" s="7">
        <f>IF(預測IC!J21&gt;預測IC!J$25,1,0)</f>
        <v>0</v>
      </c>
      <c r="K21" s="7">
        <f>IF(預測IC!K21&gt;預測IC!K$25,1,0)</f>
        <v>1</v>
      </c>
      <c r="L21" s="7">
        <f>IF(預測IC!L21&gt;預測IC!L$25,1,0)</f>
        <v>0</v>
      </c>
      <c r="M21" s="7">
        <f>IF(預測IC!M21&gt;預測IC!M$25,1,0)</f>
        <v>0</v>
      </c>
      <c r="N21" s="7">
        <f>IF(預測IC!N21&gt;預測IC!N$25,1,0)</f>
        <v>0</v>
      </c>
      <c r="O21" s="7">
        <f>IF(預測IC!O21&gt;預測IC!O$25,1,0)</f>
        <v>0</v>
      </c>
      <c r="P21" s="7">
        <f>IF(預測IC!P21&gt;預測IC!P$25,1,0)</f>
        <v>1</v>
      </c>
      <c r="Q21" s="7">
        <f>IF(預測IC!Q21&gt;預測IC!Q$25,1,0)</f>
        <v>1</v>
      </c>
      <c r="R21" s="7">
        <f>IF(預測IC!R21&gt;預測IC!R$25,1,0)</f>
        <v>1</v>
      </c>
      <c r="S21" s="7">
        <f>IF(預測IC!S21&gt;預測IC!S$25,1,0)</f>
        <v>0</v>
      </c>
      <c r="T21" s="7">
        <f>IF(預測IC!T21&gt;預測IC!T$25,1,0)</f>
        <v>0</v>
      </c>
      <c r="U21" s="7">
        <f>IF(預測IC!U21&gt;預測IC!U$25,1,0)</f>
        <v>1</v>
      </c>
      <c r="V21" s="7">
        <f>IF(預測IC!V21&gt;預測IC!V$25,1,0)</f>
        <v>0</v>
      </c>
      <c r="W21" s="7">
        <f>IF(預測IC!W21&gt;預測IC!W$25,1,0)</f>
        <v>0</v>
      </c>
      <c r="X21" s="7">
        <f>IF(預測IC!X21&gt;預測IC!X$25,1,0)</f>
        <v>1</v>
      </c>
      <c r="Y21" s="7">
        <f>IF(預測IC!Y21&gt;預測IC!Y$25,1,0)</f>
        <v>0</v>
      </c>
      <c r="Z21" s="7">
        <f>IF(預測IC!Z21&gt;預測IC!Z$25,1,0)</f>
        <v>1</v>
      </c>
      <c r="AA21" s="7">
        <f>IF(預測IC!AA21&gt;預測IC!AA$25,1,0)</f>
        <v>1</v>
      </c>
      <c r="AB21" s="7">
        <f>IF(預測IC!AB21&gt;預測IC!AB$25,1,0)</f>
        <v>0</v>
      </c>
      <c r="AC21" s="7">
        <f>IF(預測IC!AC21&gt;預測IC!AC$25,1,0)</f>
        <v>1</v>
      </c>
      <c r="AD21" s="7">
        <f>IF(預測IC!AD21&gt;預測IC!AD$25,1,0)</f>
        <v>0</v>
      </c>
      <c r="AE21" s="7">
        <f>IF(預測IC!AE21&gt;預測IC!AE$25,1,0)</f>
        <v>0</v>
      </c>
      <c r="AF21" s="7">
        <f>IF(預測IC!AF21&gt;預測IC!AF$25,1,0)</f>
        <v>0</v>
      </c>
      <c r="AG21" s="7">
        <f>IF(預測IC!AG21&gt;預測IC!AG$25,1,0)</f>
        <v>0</v>
      </c>
      <c r="AH21" s="7">
        <f>IF(預測IC!AH21&gt;預測IC!AH$25,1,0)</f>
        <v>1</v>
      </c>
      <c r="AI21" s="7">
        <f>IF(預測IC!AI21&gt;預測IC!AI$25,1,0)</f>
        <v>0</v>
      </c>
      <c r="AJ21" s="7">
        <f>IF(預測IC!AJ21&gt;預測IC!AJ$25,1,0)</f>
        <v>0</v>
      </c>
      <c r="AK21" s="7">
        <f>IF(預測IC!AK21&gt;預測IC!AK$25,1,0)</f>
        <v>1</v>
      </c>
      <c r="AL21" s="7">
        <f>IF(預測IC!AL21&gt;預測IC!AL$25,1,0)</f>
        <v>0</v>
      </c>
      <c r="AM21" s="7">
        <f>IF(預測IC!AM21&gt;預測IC!AM$25,1,0)</f>
        <v>1</v>
      </c>
      <c r="AN21" s="7">
        <f>IF(預測IC!AN21&gt;預測IC!AN$25,1,0)</f>
        <v>0</v>
      </c>
      <c r="AO21" s="7">
        <f>IF(預測IC!AO21&gt;預測IC!AO$25,1,0)</f>
        <v>0</v>
      </c>
      <c r="AP21" s="7">
        <f>IF(預測IC!AP21&gt;預測IC!AP$25,1,0)</f>
        <v>1</v>
      </c>
      <c r="AQ21" s="7">
        <f>IF(預測IC!AQ21&gt;預測IC!AQ$25,1,0)</f>
        <v>0</v>
      </c>
      <c r="AR21" s="7">
        <f>IF(預測IC!AR21&gt;預測IC!AR$25,1,0)</f>
        <v>1</v>
      </c>
      <c r="AS21" s="7">
        <f>IF(預測IC!AS21&gt;預測IC!AS$25,1,0)</f>
        <v>1</v>
      </c>
      <c r="AT21" s="7">
        <f>IF(預測IC!AT21&gt;預測IC!AT$25,1,0)</f>
        <v>0</v>
      </c>
      <c r="AU21" s="7">
        <f>IF(預測IC!AU21&gt;預測IC!AU$25,1,0)</f>
        <v>1</v>
      </c>
      <c r="AV21" s="7">
        <f>IF(預測IC!AV21&gt;預測IC!AV$25,1,0)</f>
        <v>0</v>
      </c>
      <c r="AW21" s="7">
        <f>IF(預測IC!AW21&gt;預測IC!AW$25,1,0)</f>
        <v>1</v>
      </c>
      <c r="AX21" s="7">
        <f>IF(預測IC!AX21&gt;預測IC!AX$25,1,0)</f>
        <v>0</v>
      </c>
      <c r="AY21" s="7">
        <f>IF(預測IC!AY21&gt;預測IC!AY$25,1,0)</f>
        <v>0</v>
      </c>
      <c r="AZ21" s="7">
        <f>IF(預測IC!AZ21&gt;預測IC!AZ$25,1,0)</f>
        <v>0</v>
      </c>
      <c r="BA21" s="7">
        <f>IF(預測IC!BA21&gt;預測IC!BA$25,1,0)</f>
        <v>0</v>
      </c>
      <c r="BB21" s="7">
        <f>IF(預測IC!BB21&gt;預測IC!BB$25,1,0)</f>
        <v>1</v>
      </c>
      <c r="BC21" s="7">
        <f>IF(預測IC!BC21&gt;預測IC!BC$25,1,0)</f>
        <v>1</v>
      </c>
      <c r="BD21" s="7">
        <f>IF(預測IC!BD21&gt;預測IC!BD$25,1,0)</f>
        <v>0</v>
      </c>
      <c r="BE21" s="7">
        <f>IF(預測IC!BE21&gt;預測IC!BE$25,1,0)</f>
        <v>0</v>
      </c>
      <c r="BF21" s="7">
        <f>IF(預測IC!BF21&gt;預測IC!BF$25,1,0)</f>
        <v>0</v>
      </c>
      <c r="BG21" s="7">
        <f>IF(預測IC!BG21&gt;預測IC!BG$25,1,0)</f>
        <v>0</v>
      </c>
      <c r="BH21" s="7">
        <f>IF(預測IC!BH21&gt;預測IC!BH$25,1,0)</f>
        <v>1</v>
      </c>
      <c r="BI21" s="7">
        <f>IF(預測IC!BI21&gt;預測IC!BI$25,1,0)</f>
        <v>1</v>
      </c>
      <c r="BJ21" s="7">
        <f>IF(預測IC!BJ21&gt;預測IC!BJ$25,1,0)</f>
        <v>1</v>
      </c>
      <c r="BK21" s="7">
        <f>IF(預測IC!BK21&gt;預測IC!BK$25,1,0)</f>
        <v>1</v>
      </c>
      <c r="BL21" s="7">
        <f>IF(預測IC!BL21&gt;預測IC!BL$25,1,0)</f>
        <v>0</v>
      </c>
      <c r="BM21" s="7">
        <f>IF(預測IC!BM21&gt;預測IC!BM$25,1,0)</f>
        <v>0</v>
      </c>
      <c r="BN21" s="7">
        <f>IF(預測IC!BN21&gt;預測IC!BN$25,1,0)</f>
        <v>0</v>
      </c>
      <c r="BO21" s="7">
        <f>IF(預測IC!BO21&gt;預測IC!BO$25,1,0)</f>
        <v>1</v>
      </c>
      <c r="BP21" s="7">
        <f>IF(預測IC!BP21&gt;預測IC!BP$25,1,0)</f>
        <v>1</v>
      </c>
      <c r="BQ21" s="7">
        <f>IF(預測IC!BQ21&gt;預測IC!BQ$25,1,0)</f>
        <v>1</v>
      </c>
      <c r="BR21" s="7">
        <f>IF(預測IC!BR21&gt;預測IC!BR$25,1,0)</f>
        <v>1</v>
      </c>
      <c r="BS21" s="7">
        <f>IF(預測IC!BS21&gt;預測IC!BS$25,1,0)</f>
        <v>0</v>
      </c>
      <c r="BT21" s="7">
        <f>IF(預測IC!BT21&gt;預測IC!BT$25,1,0)</f>
        <v>1</v>
      </c>
      <c r="BU21" s="7">
        <f>IF(預測IC!BU21&gt;預測IC!BU$25,1,0)</f>
        <v>1</v>
      </c>
      <c r="BV21" s="7">
        <f>IF(預測IC!BV21&gt;預測IC!BV$25,1,0)</f>
        <v>1</v>
      </c>
      <c r="BW21" s="7">
        <f>IF(預測IC!BW21&gt;預測IC!BW$25,1,0)</f>
        <v>0</v>
      </c>
      <c r="BX21" s="7">
        <f>IF(預測IC!BX21&gt;預測IC!BX$25,1,0)</f>
        <v>1</v>
      </c>
      <c r="BY21" s="7">
        <f>IF(預測IC!BY21&gt;預測IC!BY$25,1,0)</f>
        <v>1</v>
      </c>
      <c r="BZ21" s="7">
        <f>IF(預測IC!BZ21&gt;預測IC!BZ$25,1,0)</f>
        <v>0</v>
      </c>
      <c r="CA21" s="7">
        <f>IF(預測IC!CA21&gt;預測IC!CA$25,1,0)</f>
        <v>1</v>
      </c>
      <c r="CB21" s="7">
        <f>IF(預測IC!CB21&gt;預測IC!CB$25,1,0)</f>
        <v>1</v>
      </c>
      <c r="CC21" s="7">
        <f>IF(預測IC!CC21&gt;預測IC!CC$25,1,0)</f>
        <v>0</v>
      </c>
      <c r="CD21" s="7">
        <f>IF(預測IC!CD21&gt;預測IC!CD$25,1,0)</f>
        <v>1</v>
      </c>
      <c r="CE21" s="7">
        <f>IF(預測IC!CE21&gt;預測IC!CE$25,1,0)</f>
        <v>1</v>
      </c>
      <c r="CF21" s="7">
        <f>IF(預測IC!CF21&gt;預測IC!CF$25,1,0)</f>
        <v>1</v>
      </c>
      <c r="CG21" s="7">
        <f>IF(預測IC!CG21&gt;預測IC!CG$25,1,0)</f>
        <v>1</v>
      </c>
      <c r="CH21" s="7">
        <f>IF(預測IC!CH21&gt;預測IC!CH$25,1,0)</f>
        <v>1</v>
      </c>
      <c r="CI21" s="7">
        <f>IF(預測IC!CI21&gt;預測IC!CI$25,1,0)</f>
        <v>0</v>
      </c>
      <c r="CJ21" s="7">
        <f>IF(預測IC!CJ21&gt;預測IC!CJ$25,1,0)</f>
        <v>1</v>
      </c>
      <c r="CK21" s="7">
        <f>IF(預測IC!CK21&gt;預測IC!CK$25,1,0)</f>
        <v>1</v>
      </c>
      <c r="CL21" s="7">
        <f>IF(預測IC!CL21&gt;預測IC!CL$25,1,0)</f>
        <v>0</v>
      </c>
      <c r="CM21" s="7">
        <f>IF(預測IC!CM21&gt;預測IC!CM$25,1,0)</f>
        <v>1</v>
      </c>
      <c r="CN21" s="7">
        <f>IF(預測IC!CN21&gt;預測IC!CN$25,1,0)</f>
        <v>0</v>
      </c>
      <c r="CO21" s="7">
        <f>IF(預測IC!CO21&gt;預測IC!CO$25,1,0)</f>
        <v>1</v>
      </c>
      <c r="CP21" s="7">
        <f>IF(預測IC!CP21&gt;預測IC!CP$25,1,0)</f>
        <v>0</v>
      </c>
      <c r="CQ21" s="7">
        <f>IF(預測IC!CQ21&gt;預測IC!CQ$25,1,0)</f>
        <v>1</v>
      </c>
      <c r="CR21" s="7">
        <f>IF(預測IC!CR21&gt;預測IC!CR$25,1,0)</f>
        <v>0</v>
      </c>
      <c r="CS21" s="7">
        <f>IF(預測IC!CS21&gt;預測IC!CS$25,1,0)</f>
        <v>1</v>
      </c>
      <c r="CT21" s="7">
        <f>IF(預測IC!CT21&gt;預測IC!CT$25,1,0)</f>
        <v>0</v>
      </c>
      <c r="CU21" s="7">
        <f>IF(預測IC!CU21&gt;預測IC!CU$25,1,0)</f>
        <v>1</v>
      </c>
      <c r="CV21" s="7">
        <f>IF(預測IC!CV21&gt;預測IC!CV$25,1,0)</f>
        <v>0</v>
      </c>
      <c r="CW21" s="7">
        <f>IF(預測IC!CW21&gt;預測IC!CW$25,1,0)</f>
        <v>0</v>
      </c>
      <c r="CX21" s="7">
        <f>IF(預測IC!CX21&gt;預測IC!CX$25,1,0)</f>
        <v>1</v>
      </c>
      <c r="CY21" s="7">
        <f>IF(預測IC!CY21&gt;預測IC!CY$25,1,0)</f>
        <v>0</v>
      </c>
      <c r="CZ21" s="7">
        <f>IF(預測IC!CZ21&gt;預測IC!CZ$25,1,0)</f>
        <v>0</v>
      </c>
      <c r="DA21" s="7">
        <f>IF(預測IC!DA21&gt;預測IC!DA$25,1,0)</f>
        <v>0</v>
      </c>
      <c r="DB21" s="7">
        <f>IF(預測IC!DB21&gt;預測IC!DB$25,1,0)</f>
        <v>1</v>
      </c>
      <c r="DC21" s="7">
        <f>IF(預測IC!DC21&gt;預測IC!DC$25,1,0)</f>
        <v>0</v>
      </c>
      <c r="DD21" s="7">
        <f>IF(預測IC!DD21&gt;預測IC!DD$25,1,0)</f>
        <v>0</v>
      </c>
      <c r="DE21" s="7">
        <f>IF(預測IC!DE21&gt;預測IC!DE$25,1,0)</f>
        <v>0</v>
      </c>
      <c r="DF21" s="7">
        <f>IF(預測IC!DF21&gt;預測IC!DF$25,1,0)</f>
        <v>0</v>
      </c>
      <c r="DG21" s="7">
        <f>IF(預測IC!DG21&gt;預測IC!DG$25,1,0)</f>
        <v>0</v>
      </c>
      <c r="DH21" s="7">
        <f>IF(預測IC!DH21&gt;預測IC!DH$25,1,0)</f>
        <v>0</v>
      </c>
      <c r="DI21" s="7">
        <f>IF(預測IC!DI21&gt;預測IC!DI$25,1,0)</f>
        <v>0</v>
      </c>
      <c r="DJ21" s="7">
        <f>IF(預測IC!DJ21&gt;預測IC!DJ$25,1,0)</f>
        <v>0</v>
      </c>
      <c r="DK21" s="7">
        <f>IF(預測IC!DK21&gt;預測IC!DK$25,1,0)</f>
        <v>0</v>
      </c>
      <c r="DL21" s="7">
        <f>IF(預測IC!DL21&gt;預測IC!DL$25,1,0)</f>
        <v>0</v>
      </c>
      <c r="DM21" s="7">
        <f>IF(預測IC!DM21&gt;預測IC!DM$25,1,0)</f>
        <v>1</v>
      </c>
      <c r="DN21" s="7">
        <f>IF(預測IC!DN21&gt;預測IC!DN$25,1,0)</f>
        <v>0</v>
      </c>
      <c r="DO21" s="7">
        <f>IF(預測IC!DO21&gt;預測IC!DO$25,1,0)</f>
        <v>1</v>
      </c>
      <c r="DP21" s="7">
        <f>IF(預測IC!DP21&gt;預測IC!DP$25,1,0)</f>
        <v>1</v>
      </c>
      <c r="DQ21" s="7">
        <f>IF(預測IC!DQ21&gt;預測IC!DQ$25,1,0)</f>
        <v>0</v>
      </c>
      <c r="DR21" s="7">
        <f>IF(預測IC!DR21&gt;預測IC!DR$25,1,0)</f>
        <v>1</v>
      </c>
      <c r="DS21" s="7">
        <f>IF(預測IC!DS21&gt;預測IC!DS$25,1,0)</f>
        <v>1</v>
      </c>
      <c r="DT21" s="7">
        <f>IF(預測IC!DT21&gt;預測IC!DT$25,1,0)</f>
        <v>1</v>
      </c>
      <c r="DU21" s="7">
        <f>IF(預測IC!DU21&gt;預測IC!DU$25,1,0)</f>
        <v>0</v>
      </c>
      <c r="DV21" s="7">
        <f>IF(預測IC!DV21&gt;預測IC!DV$25,1,0)</f>
        <v>0</v>
      </c>
      <c r="DW21" s="7">
        <f>IF(預測IC!DW21&gt;預測IC!DW$25,1,0)</f>
        <v>1</v>
      </c>
      <c r="DX21" s="7">
        <f>IF(預測IC!DX21&gt;預測IC!DX$25,1,0)</f>
        <v>1</v>
      </c>
      <c r="DY21" s="7">
        <f>IF(預測IC!DY21&gt;預測IC!DY$25,1,0)</f>
        <v>1</v>
      </c>
      <c r="DZ21" s="7">
        <f>IF(預測IC!DZ21&gt;預測IC!DZ$25,1,0)</f>
        <v>0</v>
      </c>
      <c r="EA21" s="7">
        <f>IF(預測IC!EA21&gt;預測IC!EA$25,1,0)</f>
        <v>0</v>
      </c>
      <c r="EB21" s="7">
        <f>IF(預測IC!EB21&gt;預測IC!EB$25,1,0)</f>
        <v>1</v>
      </c>
      <c r="EC21" s="7">
        <f>IF(預測IC!EC21&gt;預測IC!EC$25,1,0)</f>
        <v>1</v>
      </c>
      <c r="ED21" s="7">
        <f>IF(預測IC!ED21&gt;預測IC!ED$25,1,0)</f>
        <v>1</v>
      </c>
      <c r="EE21" s="7">
        <f>IF(預測IC!EE21&gt;預測IC!EE$25,1,0)</f>
        <v>1</v>
      </c>
      <c r="EF21" s="7">
        <f>IF(預測IC!EF21&gt;預測IC!EF$25,1,0)</f>
        <v>1</v>
      </c>
      <c r="EG21">
        <f t="shared" si="6"/>
        <v>64</v>
      </c>
      <c r="EH21" s="9">
        <f t="shared" si="7"/>
        <v>0.47014925373134331</v>
      </c>
    </row>
    <row r="22" spans="1:138" x14ac:dyDescent="0.3">
      <c r="A22" s="1">
        <v>321</v>
      </c>
      <c r="B22" s="1">
        <v>3</v>
      </c>
      <c r="C22" s="7">
        <f>IF(預測IC!C22&gt;預測IC!C$25,1,0)</f>
        <v>1</v>
      </c>
      <c r="D22" s="7">
        <f>IF(預測IC!D22&gt;預測IC!D$25,1,0)</f>
        <v>1</v>
      </c>
      <c r="E22" s="7">
        <f>IF(預測IC!E22&gt;預測IC!E$25,1,0)</f>
        <v>1</v>
      </c>
      <c r="F22" s="7">
        <f>IF(預測IC!F22&gt;預測IC!F$25,1,0)</f>
        <v>1</v>
      </c>
      <c r="G22" s="7">
        <f>IF(預測IC!G22&gt;預測IC!G$25,1,0)</f>
        <v>1</v>
      </c>
      <c r="H22" s="7">
        <f>IF(預測IC!H22&gt;預測IC!H$25,1,0)</f>
        <v>0</v>
      </c>
      <c r="I22" s="7">
        <f>IF(預測IC!I22&gt;預測IC!I$25,1,0)</f>
        <v>0</v>
      </c>
      <c r="J22" s="7">
        <f>IF(預測IC!J22&gt;預測IC!J$25,1,0)</f>
        <v>0</v>
      </c>
      <c r="K22" s="7">
        <f>IF(預測IC!K22&gt;預測IC!K$25,1,0)</f>
        <v>1</v>
      </c>
      <c r="L22" s="7">
        <f>IF(預測IC!L22&gt;預測IC!L$25,1,0)</f>
        <v>0</v>
      </c>
      <c r="M22" s="7">
        <f>IF(預測IC!M22&gt;預測IC!M$25,1,0)</f>
        <v>0</v>
      </c>
      <c r="N22" s="7">
        <f>IF(預測IC!N22&gt;預測IC!N$25,1,0)</f>
        <v>0</v>
      </c>
      <c r="O22" s="7">
        <f>IF(預測IC!O22&gt;預測IC!O$25,1,0)</f>
        <v>0</v>
      </c>
      <c r="P22" s="7">
        <f>IF(預測IC!P22&gt;預測IC!P$25,1,0)</f>
        <v>1</v>
      </c>
      <c r="Q22" s="7">
        <f>IF(預測IC!Q22&gt;預測IC!Q$25,1,0)</f>
        <v>1</v>
      </c>
      <c r="R22" s="7">
        <f>IF(預測IC!R22&gt;預測IC!R$25,1,0)</f>
        <v>1</v>
      </c>
      <c r="S22" s="7">
        <f>IF(預測IC!S22&gt;預測IC!S$25,1,0)</f>
        <v>0</v>
      </c>
      <c r="T22" s="7">
        <f>IF(預測IC!T22&gt;預測IC!T$25,1,0)</f>
        <v>0</v>
      </c>
      <c r="U22" s="7">
        <f>IF(預測IC!U22&gt;預測IC!U$25,1,0)</f>
        <v>1</v>
      </c>
      <c r="V22" s="7">
        <f>IF(預測IC!V22&gt;預測IC!V$25,1,0)</f>
        <v>1</v>
      </c>
      <c r="W22" s="7">
        <f>IF(預測IC!W22&gt;預測IC!W$25,1,0)</f>
        <v>0</v>
      </c>
      <c r="X22" s="7">
        <f>IF(預測IC!X22&gt;預測IC!X$25,1,0)</f>
        <v>1</v>
      </c>
      <c r="Y22" s="7">
        <f>IF(預測IC!Y22&gt;預測IC!Y$25,1,0)</f>
        <v>0</v>
      </c>
      <c r="Z22" s="7">
        <f>IF(預測IC!Z22&gt;預測IC!Z$25,1,0)</f>
        <v>1</v>
      </c>
      <c r="AA22" s="7">
        <f>IF(預測IC!AA22&gt;預測IC!AA$25,1,0)</f>
        <v>1</v>
      </c>
      <c r="AB22" s="7">
        <f>IF(預測IC!AB22&gt;預測IC!AB$25,1,0)</f>
        <v>0</v>
      </c>
      <c r="AC22" s="7">
        <f>IF(預測IC!AC22&gt;預測IC!AC$25,1,0)</f>
        <v>1</v>
      </c>
      <c r="AD22" s="7">
        <f>IF(預測IC!AD22&gt;預測IC!AD$25,1,0)</f>
        <v>1</v>
      </c>
      <c r="AE22" s="7">
        <f>IF(預測IC!AE22&gt;預測IC!AE$25,1,0)</f>
        <v>0</v>
      </c>
      <c r="AF22" s="7">
        <f>IF(預測IC!AF22&gt;預測IC!AF$25,1,0)</f>
        <v>0</v>
      </c>
      <c r="AG22" s="7">
        <f>IF(預測IC!AG22&gt;預測IC!AG$25,1,0)</f>
        <v>0</v>
      </c>
      <c r="AH22" s="7">
        <f>IF(預測IC!AH22&gt;預測IC!AH$25,1,0)</f>
        <v>0</v>
      </c>
      <c r="AI22" s="7">
        <f>IF(預測IC!AI22&gt;預測IC!AI$25,1,0)</f>
        <v>0</v>
      </c>
      <c r="AJ22" s="7">
        <f>IF(預測IC!AJ22&gt;預測IC!AJ$25,1,0)</f>
        <v>0</v>
      </c>
      <c r="AK22" s="7">
        <f>IF(預測IC!AK22&gt;預測IC!AK$25,1,0)</f>
        <v>1</v>
      </c>
      <c r="AL22" s="7">
        <f>IF(預測IC!AL22&gt;預測IC!AL$25,1,0)</f>
        <v>0</v>
      </c>
      <c r="AM22" s="7">
        <f>IF(預測IC!AM22&gt;預測IC!AM$25,1,0)</f>
        <v>1</v>
      </c>
      <c r="AN22" s="7">
        <f>IF(預測IC!AN22&gt;預測IC!AN$25,1,0)</f>
        <v>1</v>
      </c>
      <c r="AO22" s="7">
        <f>IF(預測IC!AO22&gt;預測IC!AO$25,1,0)</f>
        <v>0</v>
      </c>
      <c r="AP22" s="7">
        <f>IF(預測IC!AP22&gt;預測IC!AP$25,1,0)</f>
        <v>1</v>
      </c>
      <c r="AQ22" s="7">
        <f>IF(預測IC!AQ22&gt;預測IC!AQ$25,1,0)</f>
        <v>0</v>
      </c>
      <c r="AR22" s="7">
        <f>IF(預測IC!AR22&gt;預測IC!AR$25,1,0)</f>
        <v>1</v>
      </c>
      <c r="AS22" s="7">
        <f>IF(預測IC!AS22&gt;預測IC!AS$25,1,0)</f>
        <v>0</v>
      </c>
      <c r="AT22" s="7">
        <f>IF(預測IC!AT22&gt;預測IC!AT$25,1,0)</f>
        <v>0</v>
      </c>
      <c r="AU22" s="7">
        <f>IF(預測IC!AU22&gt;預測IC!AU$25,1,0)</f>
        <v>1</v>
      </c>
      <c r="AV22" s="7">
        <f>IF(預測IC!AV22&gt;預測IC!AV$25,1,0)</f>
        <v>0</v>
      </c>
      <c r="AW22" s="7">
        <f>IF(預測IC!AW22&gt;預測IC!AW$25,1,0)</f>
        <v>0</v>
      </c>
      <c r="AX22" s="7">
        <f>IF(預測IC!AX22&gt;預測IC!AX$25,1,0)</f>
        <v>1</v>
      </c>
      <c r="AY22" s="7">
        <f>IF(預測IC!AY22&gt;預測IC!AY$25,1,0)</f>
        <v>0</v>
      </c>
      <c r="AZ22" s="7">
        <f>IF(預測IC!AZ22&gt;預測IC!AZ$25,1,0)</f>
        <v>0</v>
      </c>
      <c r="BA22" s="7">
        <f>IF(預測IC!BA22&gt;預測IC!BA$25,1,0)</f>
        <v>0</v>
      </c>
      <c r="BB22" s="7">
        <f>IF(預測IC!BB22&gt;預測IC!BB$25,1,0)</f>
        <v>1</v>
      </c>
      <c r="BC22" s="7">
        <f>IF(預測IC!BC22&gt;預測IC!BC$25,1,0)</f>
        <v>1</v>
      </c>
      <c r="BD22" s="7">
        <f>IF(預測IC!BD22&gt;預測IC!BD$25,1,0)</f>
        <v>0</v>
      </c>
      <c r="BE22" s="7">
        <f>IF(預測IC!BE22&gt;預測IC!BE$25,1,0)</f>
        <v>0</v>
      </c>
      <c r="BF22" s="7">
        <f>IF(預測IC!BF22&gt;預測IC!BF$25,1,0)</f>
        <v>0</v>
      </c>
      <c r="BG22" s="7">
        <f>IF(預測IC!BG22&gt;預測IC!BG$25,1,0)</f>
        <v>0</v>
      </c>
      <c r="BH22" s="7">
        <f>IF(預測IC!BH22&gt;預測IC!BH$25,1,0)</f>
        <v>1</v>
      </c>
      <c r="BI22" s="7">
        <f>IF(預測IC!BI22&gt;預測IC!BI$25,1,0)</f>
        <v>1</v>
      </c>
      <c r="BJ22" s="7">
        <f>IF(預測IC!BJ22&gt;預測IC!BJ$25,1,0)</f>
        <v>1</v>
      </c>
      <c r="BK22" s="7">
        <f>IF(預測IC!BK22&gt;預測IC!BK$25,1,0)</f>
        <v>1</v>
      </c>
      <c r="BL22" s="7">
        <f>IF(預測IC!BL22&gt;預測IC!BL$25,1,0)</f>
        <v>0</v>
      </c>
      <c r="BM22" s="7">
        <f>IF(預測IC!BM22&gt;預測IC!BM$25,1,0)</f>
        <v>0</v>
      </c>
      <c r="BN22" s="7">
        <f>IF(預測IC!BN22&gt;預測IC!BN$25,1,0)</f>
        <v>0</v>
      </c>
      <c r="BO22" s="7">
        <f>IF(預測IC!BO22&gt;預測IC!BO$25,1,0)</f>
        <v>1</v>
      </c>
      <c r="BP22" s="7">
        <f>IF(預測IC!BP22&gt;預測IC!BP$25,1,0)</f>
        <v>1</v>
      </c>
      <c r="BQ22" s="7">
        <f>IF(預測IC!BQ22&gt;預測IC!BQ$25,1,0)</f>
        <v>1</v>
      </c>
      <c r="BR22" s="7">
        <f>IF(預測IC!BR22&gt;預測IC!BR$25,1,0)</f>
        <v>1</v>
      </c>
      <c r="BS22" s="7">
        <f>IF(預測IC!BS22&gt;預測IC!BS$25,1,0)</f>
        <v>0</v>
      </c>
      <c r="BT22" s="7">
        <f>IF(預測IC!BT22&gt;預測IC!BT$25,1,0)</f>
        <v>0</v>
      </c>
      <c r="BU22" s="7">
        <f>IF(預測IC!BU22&gt;預測IC!BU$25,1,0)</f>
        <v>1</v>
      </c>
      <c r="BV22" s="7">
        <f>IF(預測IC!BV22&gt;預測IC!BV$25,1,0)</f>
        <v>1</v>
      </c>
      <c r="BW22" s="7">
        <f>IF(預測IC!BW22&gt;預測IC!BW$25,1,0)</f>
        <v>0</v>
      </c>
      <c r="BX22" s="7">
        <f>IF(預測IC!BX22&gt;預測IC!BX$25,1,0)</f>
        <v>1</v>
      </c>
      <c r="BY22" s="7">
        <f>IF(預測IC!BY22&gt;預測IC!BY$25,1,0)</f>
        <v>1</v>
      </c>
      <c r="BZ22" s="7">
        <f>IF(預測IC!BZ22&gt;預測IC!BZ$25,1,0)</f>
        <v>0</v>
      </c>
      <c r="CA22" s="7">
        <f>IF(預測IC!CA22&gt;預測IC!CA$25,1,0)</f>
        <v>1</v>
      </c>
      <c r="CB22" s="7">
        <f>IF(預測IC!CB22&gt;預測IC!CB$25,1,0)</f>
        <v>1</v>
      </c>
      <c r="CC22" s="7">
        <f>IF(預測IC!CC22&gt;預測IC!CC$25,1,0)</f>
        <v>0</v>
      </c>
      <c r="CD22" s="7">
        <f>IF(預測IC!CD22&gt;預測IC!CD$25,1,0)</f>
        <v>1</v>
      </c>
      <c r="CE22" s="7">
        <f>IF(預測IC!CE22&gt;預測IC!CE$25,1,0)</f>
        <v>1</v>
      </c>
      <c r="CF22" s="7">
        <f>IF(預測IC!CF22&gt;預測IC!CF$25,1,0)</f>
        <v>1</v>
      </c>
      <c r="CG22" s="7">
        <f>IF(預測IC!CG22&gt;預測IC!CG$25,1,0)</f>
        <v>1</v>
      </c>
      <c r="CH22" s="7">
        <f>IF(預測IC!CH22&gt;預測IC!CH$25,1,0)</f>
        <v>1</v>
      </c>
      <c r="CI22" s="7">
        <f>IF(預測IC!CI22&gt;預測IC!CI$25,1,0)</f>
        <v>0</v>
      </c>
      <c r="CJ22" s="7">
        <f>IF(預測IC!CJ22&gt;預測IC!CJ$25,1,0)</f>
        <v>1</v>
      </c>
      <c r="CK22" s="7">
        <f>IF(預測IC!CK22&gt;預測IC!CK$25,1,0)</f>
        <v>1</v>
      </c>
      <c r="CL22" s="7">
        <f>IF(預測IC!CL22&gt;預測IC!CL$25,1,0)</f>
        <v>0</v>
      </c>
      <c r="CM22" s="7">
        <f>IF(預測IC!CM22&gt;預測IC!CM$25,1,0)</f>
        <v>1</v>
      </c>
      <c r="CN22" s="7">
        <f>IF(預測IC!CN22&gt;預測IC!CN$25,1,0)</f>
        <v>0</v>
      </c>
      <c r="CO22" s="7">
        <f>IF(預測IC!CO22&gt;預測IC!CO$25,1,0)</f>
        <v>1</v>
      </c>
      <c r="CP22" s="7">
        <f>IF(預測IC!CP22&gt;預測IC!CP$25,1,0)</f>
        <v>0</v>
      </c>
      <c r="CQ22" s="7">
        <f>IF(預測IC!CQ22&gt;預測IC!CQ$25,1,0)</f>
        <v>1</v>
      </c>
      <c r="CR22" s="7">
        <f>IF(預測IC!CR22&gt;預測IC!CR$25,1,0)</f>
        <v>0</v>
      </c>
      <c r="CS22" s="7">
        <f>IF(預測IC!CS22&gt;預測IC!CS$25,1,0)</f>
        <v>0</v>
      </c>
      <c r="CT22" s="7">
        <f>IF(預測IC!CT22&gt;預測IC!CT$25,1,0)</f>
        <v>0</v>
      </c>
      <c r="CU22" s="7">
        <f>IF(預測IC!CU22&gt;預測IC!CU$25,1,0)</f>
        <v>1</v>
      </c>
      <c r="CV22" s="7">
        <f>IF(預測IC!CV22&gt;預測IC!CV$25,1,0)</f>
        <v>0</v>
      </c>
      <c r="CW22" s="7">
        <f>IF(預測IC!CW22&gt;預測IC!CW$25,1,0)</f>
        <v>0</v>
      </c>
      <c r="CX22" s="7">
        <f>IF(預測IC!CX22&gt;預測IC!CX$25,1,0)</f>
        <v>1</v>
      </c>
      <c r="CY22" s="7">
        <f>IF(預測IC!CY22&gt;預測IC!CY$25,1,0)</f>
        <v>0</v>
      </c>
      <c r="CZ22" s="7">
        <f>IF(預測IC!CZ22&gt;預測IC!CZ$25,1,0)</f>
        <v>0</v>
      </c>
      <c r="DA22" s="7">
        <f>IF(預測IC!DA22&gt;預測IC!DA$25,1,0)</f>
        <v>0</v>
      </c>
      <c r="DB22" s="7">
        <f>IF(預測IC!DB22&gt;預測IC!DB$25,1,0)</f>
        <v>1</v>
      </c>
      <c r="DC22" s="7">
        <f>IF(預測IC!DC22&gt;預測IC!DC$25,1,0)</f>
        <v>0</v>
      </c>
      <c r="DD22" s="7">
        <f>IF(預測IC!DD22&gt;預測IC!DD$25,1,0)</f>
        <v>0</v>
      </c>
      <c r="DE22" s="7">
        <f>IF(預測IC!DE22&gt;預測IC!DE$25,1,0)</f>
        <v>0</v>
      </c>
      <c r="DF22" s="7">
        <f>IF(預測IC!DF22&gt;預測IC!DF$25,1,0)</f>
        <v>0</v>
      </c>
      <c r="DG22" s="7">
        <f>IF(預測IC!DG22&gt;預測IC!DG$25,1,0)</f>
        <v>0</v>
      </c>
      <c r="DH22" s="7">
        <f>IF(預測IC!DH22&gt;預測IC!DH$25,1,0)</f>
        <v>0</v>
      </c>
      <c r="DI22" s="7">
        <f>IF(預測IC!DI22&gt;預測IC!DI$25,1,0)</f>
        <v>0</v>
      </c>
      <c r="DJ22" s="7">
        <f>IF(預測IC!DJ22&gt;預測IC!DJ$25,1,0)</f>
        <v>0</v>
      </c>
      <c r="DK22" s="7">
        <f>IF(預測IC!DK22&gt;預測IC!DK$25,1,0)</f>
        <v>0</v>
      </c>
      <c r="DL22" s="7">
        <f>IF(預測IC!DL22&gt;預測IC!DL$25,1,0)</f>
        <v>0</v>
      </c>
      <c r="DM22" s="7">
        <f>IF(預測IC!DM22&gt;預測IC!DM$25,1,0)</f>
        <v>1</v>
      </c>
      <c r="DN22" s="7">
        <f>IF(預測IC!DN22&gt;預測IC!DN$25,1,0)</f>
        <v>0</v>
      </c>
      <c r="DO22" s="7">
        <f>IF(預測IC!DO22&gt;預測IC!DO$25,1,0)</f>
        <v>1</v>
      </c>
      <c r="DP22" s="7">
        <f>IF(預測IC!DP22&gt;預測IC!DP$25,1,0)</f>
        <v>1</v>
      </c>
      <c r="DQ22" s="7">
        <f>IF(預測IC!DQ22&gt;預測IC!DQ$25,1,0)</f>
        <v>0</v>
      </c>
      <c r="DR22" s="7">
        <f>IF(預測IC!DR22&gt;預測IC!DR$25,1,0)</f>
        <v>1</v>
      </c>
      <c r="DS22" s="7">
        <f>IF(預測IC!DS22&gt;預測IC!DS$25,1,0)</f>
        <v>1</v>
      </c>
      <c r="DT22" s="7">
        <f>IF(預測IC!DT22&gt;預測IC!DT$25,1,0)</f>
        <v>0</v>
      </c>
      <c r="DU22" s="7">
        <f>IF(預測IC!DU22&gt;預測IC!DU$25,1,0)</f>
        <v>0</v>
      </c>
      <c r="DV22" s="7">
        <f>IF(預測IC!DV22&gt;預測IC!DV$25,1,0)</f>
        <v>0</v>
      </c>
      <c r="DW22" s="7">
        <f>IF(預測IC!DW22&gt;預測IC!DW$25,1,0)</f>
        <v>1</v>
      </c>
      <c r="DX22" s="7">
        <f>IF(預測IC!DX22&gt;預測IC!DX$25,1,0)</f>
        <v>1</v>
      </c>
      <c r="DY22" s="7">
        <f>IF(預測IC!DY22&gt;預測IC!DY$25,1,0)</f>
        <v>1</v>
      </c>
      <c r="DZ22" s="7">
        <f>IF(預測IC!DZ22&gt;預測IC!DZ$25,1,0)</f>
        <v>0</v>
      </c>
      <c r="EA22" s="7">
        <f>IF(預測IC!EA22&gt;預測IC!EA$25,1,0)</f>
        <v>0</v>
      </c>
      <c r="EB22" s="7">
        <f>IF(預測IC!EB22&gt;預測IC!EB$25,1,0)</f>
        <v>1</v>
      </c>
      <c r="EC22" s="7">
        <f>IF(預測IC!EC22&gt;預測IC!EC$25,1,0)</f>
        <v>0</v>
      </c>
      <c r="ED22" s="7">
        <f>IF(預測IC!ED22&gt;預測IC!ED$25,1,0)</f>
        <v>1</v>
      </c>
      <c r="EE22" s="7">
        <f>IF(預測IC!EE22&gt;預測IC!EE$25,1,0)</f>
        <v>1</v>
      </c>
      <c r="EF22" s="7">
        <f>IF(預測IC!EF22&gt;預測IC!EF$25,1,0)</f>
        <v>1</v>
      </c>
      <c r="EG22">
        <f t="shared" si="6"/>
        <v>64</v>
      </c>
      <c r="EH22" s="9">
        <f t="shared" si="7"/>
        <v>0.47014925373134331</v>
      </c>
    </row>
    <row r="23" spans="1:138" x14ac:dyDescent="0.3">
      <c r="A23" s="1">
        <v>482</v>
      </c>
      <c r="B23" s="1">
        <v>2</v>
      </c>
      <c r="C23" s="7">
        <f>IF(預測IC!C23&gt;預測IC!C$25,1,0)</f>
        <v>0</v>
      </c>
      <c r="D23" s="7">
        <f>IF(預測IC!D23&gt;預測IC!D$25,1,0)</f>
        <v>1</v>
      </c>
      <c r="E23" s="7">
        <f>IF(預測IC!E23&gt;預測IC!E$25,1,0)</f>
        <v>1</v>
      </c>
      <c r="F23" s="7">
        <f>IF(預測IC!F23&gt;預測IC!F$25,1,0)</f>
        <v>1</v>
      </c>
      <c r="G23" s="7">
        <f>IF(預測IC!G23&gt;預測IC!G$25,1,0)</f>
        <v>1</v>
      </c>
      <c r="H23" s="7">
        <f>IF(預測IC!H23&gt;預測IC!H$25,1,0)</f>
        <v>0</v>
      </c>
      <c r="I23" s="7">
        <f>IF(預測IC!I23&gt;預測IC!I$25,1,0)</f>
        <v>0</v>
      </c>
      <c r="J23" s="7">
        <f>IF(預測IC!J23&gt;預測IC!J$25,1,0)</f>
        <v>0</v>
      </c>
      <c r="K23" s="7">
        <f>IF(預測IC!K23&gt;預測IC!K$25,1,0)</f>
        <v>1</v>
      </c>
      <c r="L23" s="7">
        <f>IF(預測IC!L23&gt;預測IC!L$25,1,0)</f>
        <v>0</v>
      </c>
      <c r="M23" s="7">
        <f>IF(預測IC!M23&gt;預測IC!M$25,1,0)</f>
        <v>0</v>
      </c>
      <c r="N23" s="7">
        <f>IF(預測IC!N23&gt;預測IC!N$25,1,0)</f>
        <v>0</v>
      </c>
      <c r="O23" s="7">
        <f>IF(預測IC!O23&gt;預測IC!O$25,1,0)</f>
        <v>0</v>
      </c>
      <c r="P23" s="7">
        <f>IF(預測IC!P23&gt;預測IC!P$25,1,0)</f>
        <v>0</v>
      </c>
      <c r="Q23" s="7">
        <f>IF(預測IC!Q23&gt;預測IC!Q$25,1,0)</f>
        <v>0</v>
      </c>
      <c r="R23" s="7">
        <f>IF(預測IC!R23&gt;預測IC!R$25,1,0)</f>
        <v>1</v>
      </c>
      <c r="S23" s="7">
        <f>IF(預測IC!S23&gt;預測IC!S$25,1,0)</f>
        <v>0</v>
      </c>
      <c r="T23" s="7">
        <f>IF(預測IC!T23&gt;預測IC!T$25,1,0)</f>
        <v>0</v>
      </c>
      <c r="U23" s="7">
        <f>IF(預測IC!U23&gt;預測IC!U$25,1,0)</f>
        <v>1</v>
      </c>
      <c r="V23" s="7">
        <f>IF(預測IC!V23&gt;預測IC!V$25,1,0)</f>
        <v>1</v>
      </c>
      <c r="W23" s="7">
        <f>IF(預測IC!W23&gt;預測IC!W$25,1,0)</f>
        <v>0</v>
      </c>
      <c r="X23" s="7">
        <f>IF(預測IC!X23&gt;預測IC!X$25,1,0)</f>
        <v>1</v>
      </c>
      <c r="Y23" s="7">
        <f>IF(預測IC!Y23&gt;預測IC!Y$25,1,0)</f>
        <v>1</v>
      </c>
      <c r="Z23" s="7">
        <f>IF(預測IC!Z23&gt;預測IC!Z$25,1,0)</f>
        <v>1</v>
      </c>
      <c r="AA23" s="7">
        <f>IF(預測IC!AA23&gt;預測IC!AA$25,1,0)</f>
        <v>1</v>
      </c>
      <c r="AB23" s="7">
        <f>IF(預測IC!AB23&gt;預測IC!AB$25,1,0)</f>
        <v>0</v>
      </c>
      <c r="AC23" s="7">
        <f>IF(預測IC!AC23&gt;預測IC!AC$25,1,0)</f>
        <v>1</v>
      </c>
      <c r="AD23" s="7">
        <f>IF(預測IC!AD23&gt;預測IC!AD$25,1,0)</f>
        <v>0</v>
      </c>
      <c r="AE23" s="7">
        <f>IF(預測IC!AE23&gt;預測IC!AE$25,1,0)</f>
        <v>0</v>
      </c>
      <c r="AF23" s="7">
        <f>IF(預測IC!AF23&gt;預測IC!AF$25,1,0)</f>
        <v>0</v>
      </c>
      <c r="AG23" s="7">
        <f>IF(預測IC!AG23&gt;預測IC!AG$25,1,0)</f>
        <v>0</v>
      </c>
      <c r="AH23" s="7">
        <f>IF(預測IC!AH23&gt;預測IC!AH$25,1,0)</f>
        <v>0</v>
      </c>
      <c r="AI23" s="7">
        <f>IF(預測IC!AI23&gt;預測IC!AI$25,1,0)</f>
        <v>0</v>
      </c>
      <c r="AJ23" s="7">
        <f>IF(預測IC!AJ23&gt;預測IC!AJ$25,1,0)</f>
        <v>0</v>
      </c>
      <c r="AK23" s="7">
        <f>IF(預測IC!AK23&gt;預測IC!AK$25,1,0)</f>
        <v>1</v>
      </c>
      <c r="AL23" s="7">
        <f>IF(預測IC!AL23&gt;預測IC!AL$25,1,0)</f>
        <v>0</v>
      </c>
      <c r="AM23" s="7">
        <f>IF(預測IC!AM23&gt;預測IC!AM$25,1,0)</f>
        <v>0</v>
      </c>
      <c r="AN23" s="7">
        <f>IF(預測IC!AN23&gt;預測IC!AN$25,1,0)</f>
        <v>1</v>
      </c>
      <c r="AO23" s="7">
        <f>IF(預測IC!AO23&gt;預測IC!AO$25,1,0)</f>
        <v>0</v>
      </c>
      <c r="AP23" s="7">
        <f>IF(預測IC!AP23&gt;預測IC!AP$25,1,0)</f>
        <v>0</v>
      </c>
      <c r="AQ23" s="7">
        <f>IF(預測IC!AQ23&gt;預測IC!AQ$25,1,0)</f>
        <v>0</v>
      </c>
      <c r="AR23" s="7">
        <f>IF(預測IC!AR23&gt;預測IC!AR$25,1,0)</f>
        <v>1</v>
      </c>
      <c r="AS23" s="7">
        <f>IF(預測IC!AS23&gt;預測IC!AS$25,1,0)</f>
        <v>0</v>
      </c>
      <c r="AT23" s="7">
        <f>IF(預測IC!AT23&gt;預測IC!AT$25,1,0)</f>
        <v>0</v>
      </c>
      <c r="AU23" s="7">
        <f>IF(預測IC!AU23&gt;預測IC!AU$25,1,0)</f>
        <v>1</v>
      </c>
      <c r="AV23" s="7">
        <f>IF(預測IC!AV23&gt;預測IC!AV$25,1,0)</f>
        <v>0</v>
      </c>
      <c r="AW23" s="7">
        <f>IF(預測IC!AW23&gt;預測IC!AW$25,1,0)</f>
        <v>0</v>
      </c>
      <c r="AX23" s="7">
        <f>IF(預測IC!AX23&gt;預測IC!AX$25,1,0)</f>
        <v>1</v>
      </c>
      <c r="AY23" s="7">
        <f>IF(預測IC!AY23&gt;預測IC!AY$25,1,0)</f>
        <v>0</v>
      </c>
      <c r="AZ23" s="7">
        <f>IF(預測IC!AZ23&gt;預測IC!AZ$25,1,0)</f>
        <v>0</v>
      </c>
      <c r="BA23" s="7">
        <f>IF(預測IC!BA23&gt;預測IC!BA$25,1,0)</f>
        <v>1</v>
      </c>
      <c r="BB23" s="7">
        <f>IF(預測IC!BB23&gt;預測IC!BB$25,1,0)</f>
        <v>1</v>
      </c>
      <c r="BC23" s="7">
        <f>IF(預測IC!BC23&gt;預測IC!BC$25,1,0)</f>
        <v>1</v>
      </c>
      <c r="BD23" s="7">
        <f>IF(預測IC!BD23&gt;預測IC!BD$25,1,0)</f>
        <v>1</v>
      </c>
      <c r="BE23" s="7">
        <f>IF(預測IC!BE23&gt;預測IC!BE$25,1,0)</f>
        <v>0</v>
      </c>
      <c r="BF23" s="7">
        <f>IF(預測IC!BF23&gt;預測IC!BF$25,1,0)</f>
        <v>0</v>
      </c>
      <c r="BG23" s="7">
        <f>IF(預測IC!BG23&gt;預測IC!BG$25,1,0)</f>
        <v>0</v>
      </c>
      <c r="BH23" s="7">
        <f>IF(預測IC!BH23&gt;預測IC!BH$25,1,0)</f>
        <v>1</v>
      </c>
      <c r="BI23" s="7">
        <f>IF(預測IC!BI23&gt;預測IC!BI$25,1,0)</f>
        <v>1</v>
      </c>
      <c r="BJ23" s="7">
        <f>IF(預測IC!BJ23&gt;預測IC!BJ$25,1,0)</f>
        <v>1</v>
      </c>
      <c r="BK23" s="7">
        <f>IF(預測IC!BK23&gt;預測IC!BK$25,1,0)</f>
        <v>1</v>
      </c>
      <c r="BL23" s="7">
        <f>IF(預測IC!BL23&gt;預測IC!BL$25,1,0)</f>
        <v>0</v>
      </c>
      <c r="BM23" s="7">
        <f>IF(預測IC!BM23&gt;預測IC!BM$25,1,0)</f>
        <v>0</v>
      </c>
      <c r="BN23" s="7">
        <f>IF(預測IC!BN23&gt;預測IC!BN$25,1,0)</f>
        <v>0</v>
      </c>
      <c r="BO23" s="7">
        <f>IF(預測IC!BO23&gt;預測IC!BO$25,1,0)</f>
        <v>1</v>
      </c>
      <c r="BP23" s="7">
        <f>IF(預測IC!BP23&gt;預測IC!BP$25,1,0)</f>
        <v>1</v>
      </c>
      <c r="BQ23" s="7">
        <f>IF(預測IC!BQ23&gt;預測IC!BQ$25,1,0)</f>
        <v>1</v>
      </c>
      <c r="BR23" s="7">
        <f>IF(預測IC!BR23&gt;預測IC!BR$25,1,0)</f>
        <v>1</v>
      </c>
      <c r="BS23" s="7">
        <f>IF(預測IC!BS23&gt;預測IC!BS$25,1,0)</f>
        <v>0</v>
      </c>
      <c r="BT23" s="7">
        <f>IF(預測IC!BT23&gt;預測IC!BT$25,1,0)</f>
        <v>0</v>
      </c>
      <c r="BU23" s="7">
        <f>IF(預測IC!BU23&gt;預測IC!BU$25,1,0)</f>
        <v>1</v>
      </c>
      <c r="BV23" s="7">
        <f>IF(預測IC!BV23&gt;預測IC!BV$25,1,0)</f>
        <v>1</v>
      </c>
      <c r="BW23" s="7">
        <f>IF(預測IC!BW23&gt;預測IC!BW$25,1,0)</f>
        <v>0</v>
      </c>
      <c r="BX23" s="7">
        <f>IF(預測IC!BX23&gt;預測IC!BX$25,1,0)</f>
        <v>1</v>
      </c>
      <c r="BY23" s="7">
        <f>IF(預測IC!BY23&gt;預測IC!BY$25,1,0)</f>
        <v>1</v>
      </c>
      <c r="BZ23" s="7">
        <f>IF(預測IC!BZ23&gt;預測IC!BZ$25,1,0)</f>
        <v>0</v>
      </c>
      <c r="CA23" s="7">
        <f>IF(預測IC!CA23&gt;預測IC!CA$25,1,0)</f>
        <v>1</v>
      </c>
      <c r="CB23" s="7">
        <f>IF(預測IC!CB23&gt;預測IC!CB$25,1,0)</f>
        <v>1</v>
      </c>
      <c r="CC23" s="7">
        <f>IF(預測IC!CC23&gt;預測IC!CC$25,1,0)</f>
        <v>0</v>
      </c>
      <c r="CD23" s="7">
        <f>IF(預測IC!CD23&gt;預測IC!CD$25,1,0)</f>
        <v>1</v>
      </c>
      <c r="CE23" s="7">
        <f>IF(預測IC!CE23&gt;預測IC!CE$25,1,0)</f>
        <v>1</v>
      </c>
      <c r="CF23" s="7">
        <f>IF(預測IC!CF23&gt;預測IC!CF$25,1,0)</f>
        <v>1</v>
      </c>
      <c r="CG23" s="7">
        <f>IF(預測IC!CG23&gt;預測IC!CG$25,1,0)</f>
        <v>1</v>
      </c>
      <c r="CH23" s="7">
        <f>IF(預測IC!CH23&gt;預測IC!CH$25,1,0)</f>
        <v>1</v>
      </c>
      <c r="CI23" s="7">
        <f>IF(預測IC!CI23&gt;預測IC!CI$25,1,0)</f>
        <v>0</v>
      </c>
      <c r="CJ23" s="7">
        <f>IF(預測IC!CJ23&gt;預測IC!CJ$25,1,0)</f>
        <v>0</v>
      </c>
      <c r="CK23" s="7">
        <f>IF(預測IC!CK23&gt;預測IC!CK$25,1,0)</f>
        <v>1</v>
      </c>
      <c r="CL23" s="7">
        <f>IF(預測IC!CL23&gt;預測IC!CL$25,1,0)</f>
        <v>0</v>
      </c>
      <c r="CM23" s="7">
        <f>IF(預測IC!CM23&gt;預測IC!CM$25,1,0)</f>
        <v>1</v>
      </c>
      <c r="CN23" s="7">
        <f>IF(預測IC!CN23&gt;預測IC!CN$25,1,0)</f>
        <v>0</v>
      </c>
      <c r="CO23" s="7">
        <f>IF(預測IC!CO23&gt;預測IC!CO$25,1,0)</f>
        <v>1</v>
      </c>
      <c r="CP23" s="7">
        <f>IF(預測IC!CP23&gt;預測IC!CP$25,1,0)</f>
        <v>0</v>
      </c>
      <c r="CQ23" s="7">
        <f>IF(預測IC!CQ23&gt;預測IC!CQ$25,1,0)</f>
        <v>1</v>
      </c>
      <c r="CR23" s="7">
        <f>IF(預測IC!CR23&gt;預測IC!CR$25,1,0)</f>
        <v>0</v>
      </c>
      <c r="CS23" s="7">
        <f>IF(預測IC!CS23&gt;預測IC!CS$25,1,0)</f>
        <v>1</v>
      </c>
      <c r="CT23" s="7">
        <f>IF(預測IC!CT23&gt;預測IC!CT$25,1,0)</f>
        <v>0</v>
      </c>
      <c r="CU23" s="7">
        <f>IF(預測IC!CU23&gt;預測IC!CU$25,1,0)</f>
        <v>1</v>
      </c>
      <c r="CV23" s="7">
        <f>IF(預測IC!CV23&gt;預測IC!CV$25,1,0)</f>
        <v>1</v>
      </c>
      <c r="CW23" s="7">
        <f>IF(預測IC!CW23&gt;預測IC!CW$25,1,0)</f>
        <v>0</v>
      </c>
      <c r="CX23" s="7">
        <f>IF(預測IC!CX23&gt;預測IC!CX$25,1,0)</f>
        <v>1</v>
      </c>
      <c r="CY23" s="7">
        <f>IF(預測IC!CY23&gt;預測IC!CY$25,1,0)</f>
        <v>0</v>
      </c>
      <c r="CZ23" s="7">
        <f>IF(預測IC!CZ23&gt;預測IC!CZ$25,1,0)</f>
        <v>0</v>
      </c>
      <c r="DA23" s="7">
        <f>IF(預測IC!DA23&gt;預測IC!DA$25,1,0)</f>
        <v>1</v>
      </c>
      <c r="DB23" s="7">
        <f>IF(預測IC!DB23&gt;預測IC!DB$25,1,0)</f>
        <v>1</v>
      </c>
      <c r="DC23" s="7">
        <f>IF(預測IC!DC23&gt;預測IC!DC$25,1,0)</f>
        <v>0</v>
      </c>
      <c r="DD23" s="7">
        <f>IF(預測IC!DD23&gt;預測IC!DD$25,1,0)</f>
        <v>0</v>
      </c>
      <c r="DE23" s="7">
        <f>IF(預測IC!DE23&gt;預測IC!DE$25,1,0)</f>
        <v>0</v>
      </c>
      <c r="DF23" s="7">
        <f>IF(預測IC!DF23&gt;預測IC!DF$25,1,0)</f>
        <v>0</v>
      </c>
      <c r="DG23" s="7">
        <f>IF(預測IC!DG23&gt;預測IC!DG$25,1,0)</f>
        <v>0</v>
      </c>
      <c r="DH23" s="7">
        <f>IF(預測IC!DH23&gt;預測IC!DH$25,1,0)</f>
        <v>0</v>
      </c>
      <c r="DI23" s="7">
        <f>IF(預測IC!DI23&gt;預測IC!DI$25,1,0)</f>
        <v>0</v>
      </c>
      <c r="DJ23" s="7">
        <f>IF(預測IC!DJ23&gt;預測IC!DJ$25,1,0)</f>
        <v>1</v>
      </c>
      <c r="DK23" s="7">
        <f>IF(預測IC!DK23&gt;預測IC!DK$25,1,0)</f>
        <v>0</v>
      </c>
      <c r="DL23" s="7">
        <f>IF(預測IC!DL23&gt;預測IC!DL$25,1,0)</f>
        <v>1</v>
      </c>
      <c r="DM23" s="7">
        <f>IF(預測IC!DM23&gt;預測IC!DM$25,1,0)</f>
        <v>1</v>
      </c>
      <c r="DN23" s="7">
        <f>IF(預測IC!DN23&gt;預測IC!DN$25,1,0)</f>
        <v>0</v>
      </c>
      <c r="DO23" s="7">
        <f>IF(預測IC!DO23&gt;預測IC!DO$25,1,0)</f>
        <v>1</v>
      </c>
      <c r="DP23" s="7">
        <f>IF(預測IC!DP23&gt;預測IC!DP$25,1,0)</f>
        <v>1</v>
      </c>
      <c r="DQ23" s="7">
        <f>IF(預測IC!DQ23&gt;預測IC!DQ$25,1,0)</f>
        <v>1</v>
      </c>
      <c r="DR23" s="7">
        <f>IF(預測IC!DR23&gt;預測IC!DR$25,1,0)</f>
        <v>1</v>
      </c>
      <c r="DS23" s="7">
        <f>IF(預測IC!DS23&gt;預測IC!DS$25,1,0)</f>
        <v>1</v>
      </c>
      <c r="DT23" s="7">
        <f>IF(預測IC!DT23&gt;預測IC!DT$25,1,0)</f>
        <v>1</v>
      </c>
      <c r="DU23" s="7">
        <f>IF(預測IC!DU23&gt;預測IC!DU$25,1,0)</f>
        <v>0</v>
      </c>
      <c r="DV23" s="7">
        <f>IF(預測IC!DV23&gt;預測IC!DV$25,1,0)</f>
        <v>0</v>
      </c>
      <c r="DW23" s="7">
        <f>IF(預測IC!DW23&gt;預測IC!DW$25,1,0)</f>
        <v>1</v>
      </c>
      <c r="DX23" s="7">
        <f>IF(預測IC!DX23&gt;預測IC!DX$25,1,0)</f>
        <v>1</v>
      </c>
      <c r="DY23" s="7">
        <f>IF(預測IC!DY23&gt;預測IC!DY$25,1,0)</f>
        <v>1</v>
      </c>
      <c r="DZ23" s="7">
        <f>IF(預測IC!DZ23&gt;預測IC!DZ$25,1,0)</f>
        <v>0</v>
      </c>
      <c r="EA23" s="7">
        <f>IF(預測IC!EA23&gt;預測IC!EA$25,1,0)</f>
        <v>1</v>
      </c>
      <c r="EB23" s="7">
        <f>IF(預測IC!EB23&gt;預測IC!EB$25,1,0)</f>
        <v>1</v>
      </c>
      <c r="EC23" s="7">
        <f>IF(預測IC!EC23&gt;預測IC!EC$25,1,0)</f>
        <v>0</v>
      </c>
      <c r="ED23" s="7">
        <f>IF(預測IC!ED23&gt;預測IC!ED$25,1,0)</f>
        <v>1</v>
      </c>
      <c r="EE23" s="7">
        <f>IF(預測IC!EE23&gt;預測IC!EE$25,1,0)</f>
        <v>1</v>
      </c>
      <c r="EF23" s="7">
        <f>IF(預測IC!EF23&gt;預測IC!EF$25,1,0)</f>
        <v>1</v>
      </c>
      <c r="EG23">
        <f t="shared" si="6"/>
        <v>68</v>
      </c>
      <c r="EH23" s="12">
        <f t="shared" si="7"/>
        <v>0.5</v>
      </c>
    </row>
    <row r="24" spans="1:138" x14ac:dyDescent="0.3">
      <c r="A24" s="1">
        <v>964</v>
      </c>
      <c r="B24" s="1">
        <v>1</v>
      </c>
      <c r="C24" s="7">
        <f>IF(預測IC!C24&gt;預測IC!C$25,1,0)</f>
        <v>1</v>
      </c>
      <c r="D24" s="7">
        <f>IF(預測IC!D24&gt;預測IC!D$25,1,0)</f>
        <v>1</v>
      </c>
      <c r="E24" s="7">
        <f>IF(預測IC!E24&gt;預測IC!E$25,1,0)</f>
        <v>0</v>
      </c>
      <c r="F24" s="7">
        <f>IF(預測IC!F24&gt;預測IC!F$25,1,0)</f>
        <v>1</v>
      </c>
      <c r="G24" s="7">
        <f>IF(預測IC!G24&gt;預測IC!G$25,1,0)</f>
        <v>0</v>
      </c>
      <c r="H24" s="7">
        <f>IF(預測IC!H24&gt;預測IC!H$25,1,0)</f>
        <v>0</v>
      </c>
      <c r="I24" s="7">
        <f>IF(預測IC!I24&gt;預測IC!I$25,1,0)</f>
        <v>1</v>
      </c>
      <c r="J24" s="7">
        <f>IF(預測IC!J24&gt;預測IC!J$25,1,0)</f>
        <v>0</v>
      </c>
      <c r="K24" s="7">
        <f>IF(預測IC!K24&gt;預測IC!K$25,1,0)</f>
        <v>1</v>
      </c>
      <c r="L24" s="7">
        <f>IF(預測IC!L24&gt;預測IC!L$25,1,0)</f>
        <v>0</v>
      </c>
      <c r="M24" s="7">
        <f>IF(預測IC!M24&gt;預測IC!M$25,1,0)</f>
        <v>0</v>
      </c>
      <c r="N24" s="7">
        <f>IF(預測IC!N24&gt;預測IC!N$25,1,0)</f>
        <v>0</v>
      </c>
      <c r="O24" s="7">
        <f>IF(預測IC!O24&gt;預測IC!O$25,1,0)</f>
        <v>0</v>
      </c>
      <c r="P24" s="7">
        <f>IF(預測IC!P24&gt;預測IC!P$25,1,0)</f>
        <v>1</v>
      </c>
      <c r="Q24" s="7">
        <f>IF(預測IC!Q24&gt;預測IC!Q$25,1,0)</f>
        <v>0</v>
      </c>
      <c r="R24" s="7">
        <f>IF(預測IC!R24&gt;預測IC!R$25,1,0)</f>
        <v>0</v>
      </c>
      <c r="S24" s="7">
        <f>IF(預測IC!S24&gt;預測IC!S$25,1,0)</f>
        <v>1</v>
      </c>
      <c r="T24" s="7">
        <f>IF(預測IC!T24&gt;預測IC!T$25,1,0)</f>
        <v>0</v>
      </c>
      <c r="U24" s="7">
        <f>IF(預測IC!U24&gt;預測IC!U$25,1,0)</f>
        <v>1</v>
      </c>
      <c r="V24" s="7">
        <f>IF(預測IC!V24&gt;預測IC!V$25,1,0)</f>
        <v>1</v>
      </c>
      <c r="W24" s="7">
        <f>IF(預測IC!W24&gt;預測IC!W$25,1,0)</f>
        <v>0</v>
      </c>
      <c r="X24" s="7">
        <f>IF(預測IC!X24&gt;預測IC!X$25,1,0)</f>
        <v>0</v>
      </c>
      <c r="Y24" s="7">
        <f>IF(預測IC!Y24&gt;預測IC!Y$25,1,0)</f>
        <v>0</v>
      </c>
      <c r="Z24" s="7">
        <f>IF(預測IC!Z24&gt;預測IC!Z$25,1,0)</f>
        <v>0</v>
      </c>
      <c r="AA24" s="7">
        <f>IF(預測IC!AA24&gt;預測IC!AA$25,1,0)</f>
        <v>1</v>
      </c>
      <c r="AB24" s="7">
        <f>IF(預測IC!AB24&gt;預測IC!AB$25,1,0)</f>
        <v>0</v>
      </c>
      <c r="AC24" s="7">
        <f>IF(預測IC!AC24&gt;預測IC!AC$25,1,0)</f>
        <v>1</v>
      </c>
      <c r="AD24" s="7">
        <f>IF(預測IC!AD24&gt;預測IC!AD$25,1,0)</f>
        <v>0</v>
      </c>
      <c r="AE24" s="7">
        <f>IF(預測IC!AE24&gt;預測IC!AE$25,1,0)</f>
        <v>0</v>
      </c>
      <c r="AF24" s="7">
        <f>IF(預測IC!AF24&gt;預測IC!AF$25,1,0)</f>
        <v>0</v>
      </c>
      <c r="AG24" s="7">
        <f>IF(預測IC!AG24&gt;預測IC!AG$25,1,0)</f>
        <v>0</v>
      </c>
      <c r="AH24" s="7">
        <f>IF(預測IC!AH24&gt;預測IC!AH$25,1,0)</f>
        <v>1</v>
      </c>
      <c r="AI24" s="7">
        <f>IF(預測IC!AI24&gt;預測IC!AI$25,1,0)</f>
        <v>0</v>
      </c>
      <c r="AJ24" s="7">
        <f>IF(預測IC!AJ24&gt;預測IC!AJ$25,1,0)</f>
        <v>0</v>
      </c>
      <c r="AK24" s="7">
        <f>IF(預測IC!AK24&gt;預測IC!AK$25,1,0)</f>
        <v>1</v>
      </c>
      <c r="AL24" s="7">
        <f>IF(預測IC!AL24&gt;預測IC!AL$25,1,0)</f>
        <v>0</v>
      </c>
      <c r="AM24" s="7">
        <f>IF(預測IC!AM24&gt;預測IC!AM$25,1,0)</f>
        <v>0</v>
      </c>
      <c r="AN24" s="7">
        <f>IF(預測IC!AN24&gt;預測IC!AN$25,1,0)</f>
        <v>1</v>
      </c>
      <c r="AO24" s="7">
        <f>IF(預測IC!AO24&gt;預測IC!AO$25,1,0)</f>
        <v>0</v>
      </c>
      <c r="AP24" s="7">
        <f>IF(預測IC!AP24&gt;預測IC!AP$25,1,0)</f>
        <v>1</v>
      </c>
      <c r="AQ24" s="7">
        <f>IF(預測IC!AQ24&gt;預測IC!AQ$25,1,0)</f>
        <v>0</v>
      </c>
      <c r="AR24" s="7">
        <f>IF(預測IC!AR24&gt;預測IC!AR$25,1,0)</f>
        <v>1</v>
      </c>
      <c r="AS24" s="7">
        <f>IF(預測IC!AS24&gt;預測IC!AS$25,1,0)</f>
        <v>0</v>
      </c>
      <c r="AT24" s="7">
        <f>IF(預測IC!AT24&gt;預測IC!AT$25,1,0)</f>
        <v>1</v>
      </c>
      <c r="AU24" s="7">
        <f>IF(預測IC!AU24&gt;預測IC!AU$25,1,0)</f>
        <v>1</v>
      </c>
      <c r="AV24" s="7">
        <f>IF(預測IC!AV24&gt;預測IC!AV$25,1,0)</f>
        <v>0</v>
      </c>
      <c r="AW24" s="7">
        <f>IF(預測IC!AW24&gt;預測IC!AW$25,1,0)</f>
        <v>1</v>
      </c>
      <c r="AX24" s="7">
        <f>IF(預測IC!AX24&gt;預測IC!AX$25,1,0)</f>
        <v>0</v>
      </c>
      <c r="AY24" s="7">
        <f>IF(預測IC!AY24&gt;預測IC!AY$25,1,0)</f>
        <v>0</v>
      </c>
      <c r="AZ24" s="7">
        <f>IF(預測IC!AZ24&gt;預測IC!AZ$25,1,0)</f>
        <v>1</v>
      </c>
      <c r="BA24" s="7">
        <f>IF(預測IC!BA24&gt;預測IC!BA$25,1,0)</f>
        <v>0</v>
      </c>
      <c r="BB24" s="7">
        <f>IF(預測IC!BB24&gt;預測IC!BB$25,1,0)</f>
        <v>1</v>
      </c>
      <c r="BC24" s="7">
        <f>IF(預測IC!BC24&gt;預測IC!BC$25,1,0)</f>
        <v>0</v>
      </c>
      <c r="BD24" s="7">
        <f>IF(預測IC!BD24&gt;預測IC!BD$25,1,0)</f>
        <v>1</v>
      </c>
      <c r="BE24" s="7">
        <f>IF(預測IC!BE24&gt;預測IC!BE$25,1,0)</f>
        <v>0</v>
      </c>
      <c r="BF24" s="7">
        <f>IF(預測IC!BF24&gt;預測IC!BF$25,1,0)</f>
        <v>0</v>
      </c>
      <c r="BG24" s="7">
        <f>IF(預測IC!BG24&gt;預測IC!BG$25,1,0)</f>
        <v>0</v>
      </c>
      <c r="BH24" s="7">
        <f>IF(預測IC!BH24&gt;預測IC!BH$25,1,0)</f>
        <v>1</v>
      </c>
      <c r="BI24" s="7">
        <f>IF(預測IC!BI24&gt;預測IC!BI$25,1,0)</f>
        <v>1</v>
      </c>
      <c r="BJ24" s="7">
        <f>IF(預測IC!BJ24&gt;預測IC!BJ$25,1,0)</f>
        <v>1</v>
      </c>
      <c r="BK24" s="7">
        <f>IF(預測IC!BK24&gt;預測IC!BK$25,1,0)</f>
        <v>1</v>
      </c>
      <c r="BL24" s="7">
        <f>IF(預測IC!BL24&gt;預測IC!BL$25,1,0)</f>
        <v>0</v>
      </c>
      <c r="BM24" s="7">
        <f>IF(預測IC!BM24&gt;預測IC!BM$25,1,0)</f>
        <v>0</v>
      </c>
      <c r="BN24" s="7">
        <f>IF(預測IC!BN24&gt;預測IC!BN$25,1,0)</f>
        <v>0</v>
      </c>
      <c r="BO24" s="7">
        <f>IF(預測IC!BO24&gt;預測IC!BO$25,1,0)</f>
        <v>1</v>
      </c>
      <c r="BP24" s="7">
        <f>IF(預測IC!BP24&gt;預測IC!BP$25,1,0)</f>
        <v>1</v>
      </c>
      <c r="BQ24" s="7">
        <f>IF(預測IC!BQ24&gt;預測IC!BQ$25,1,0)</f>
        <v>0</v>
      </c>
      <c r="BR24" s="7">
        <f>IF(預測IC!BR24&gt;預測IC!BR$25,1,0)</f>
        <v>1</v>
      </c>
      <c r="BS24" s="7">
        <f>IF(預測IC!BS24&gt;預測IC!BS$25,1,0)</f>
        <v>0</v>
      </c>
      <c r="BT24" s="7">
        <f>IF(預測IC!BT24&gt;預測IC!BT$25,1,0)</f>
        <v>0</v>
      </c>
      <c r="BU24" s="7">
        <f>IF(預測IC!BU24&gt;預測IC!BU$25,1,0)</f>
        <v>1</v>
      </c>
      <c r="BV24" s="7">
        <f>IF(預測IC!BV24&gt;預測IC!BV$25,1,0)</f>
        <v>1</v>
      </c>
      <c r="BW24" s="7">
        <f>IF(預測IC!BW24&gt;預測IC!BW$25,1,0)</f>
        <v>0</v>
      </c>
      <c r="BX24" s="7">
        <f>IF(預測IC!BX24&gt;預測IC!BX$25,1,0)</f>
        <v>0</v>
      </c>
      <c r="BY24" s="7">
        <f>IF(預測IC!BY24&gt;預測IC!BY$25,1,0)</f>
        <v>0</v>
      </c>
      <c r="BZ24" s="7">
        <f>IF(預測IC!BZ24&gt;預測IC!BZ$25,1,0)</f>
        <v>1</v>
      </c>
      <c r="CA24" s="7">
        <f>IF(預測IC!CA24&gt;預測IC!CA$25,1,0)</f>
        <v>1</v>
      </c>
      <c r="CB24" s="7">
        <f>IF(預測IC!CB24&gt;預測IC!CB$25,1,0)</f>
        <v>1</v>
      </c>
      <c r="CC24" s="7">
        <f>IF(預測IC!CC24&gt;預測IC!CC$25,1,0)</f>
        <v>0</v>
      </c>
      <c r="CD24" s="7">
        <f>IF(預測IC!CD24&gt;預測IC!CD$25,1,0)</f>
        <v>1</v>
      </c>
      <c r="CE24" s="7">
        <f>IF(預測IC!CE24&gt;預測IC!CE$25,1,0)</f>
        <v>1</v>
      </c>
      <c r="CF24" s="7">
        <f>IF(預測IC!CF24&gt;預測IC!CF$25,1,0)</f>
        <v>0</v>
      </c>
      <c r="CG24" s="7">
        <f>IF(預測IC!CG24&gt;預測IC!CG$25,1,0)</f>
        <v>1</v>
      </c>
      <c r="CH24" s="7">
        <f>IF(預測IC!CH24&gt;預測IC!CH$25,1,0)</f>
        <v>1</v>
      </c>
      <c r="CI24" s="7">
        <f>IF(預測IC!CI24&gt;預測IC!CI$25,1,0)</f>
        <v>0</v>
      </c>
      <c r="CJ24" s="7">
        <f>IF(預測IC!CJ24&gt;預測IC!CJ$25,1,0)</f>
        <v>0</v>
      </c>
      <c r="CK24" s="7">
        <f>IF(預測IC!CK24&gt;預測IC!CK$25,1,0)</f>
        <v>1</v>
      </c>
      <c r="CL24" s="7">
        <f>IF(預測IC!CL24&gt;預測IC!CL$25,1,0)</f>
        <v>1</v>
      </c>
      <c r="CM24" s="7">
        <f>IF(預測IC!CM24&gt;預測IC!CM$25,1,0)</f>
        <v>1</v>
      </c>
      <c r="CN24" s="7">
        <f>IF(預測IC!CN24&gt;預測IC!CN$25,1,0)</f>
        <v>0</v>
      </c>
      <c r="CO24" s="7">
        <f>IF(預測IC!CO24&gt;預測IC!CO$25,1,0)</f>
        <v>1</v>
      </c>
      <c r="CP24" s="7">
        <f>IF(預測IC!CP24&gt;預測IC!CP$25,1,0)</f>
        <v>0</v>
      </c>
      <c r="CQ24" s="7">
        <f>IF(預測IC!CQ24&gt;預測IC!CQ$25,1,0)</f>
        <v>0</v>
      </c>
      <c r="CR24" s="7">
        <f>IF(預測IC!CR24&gt;預測IC!CR$25,1,0)</f>
        <v>0</v>
      </c>
      <c r="CS24" s="7">
        <f>IF(預測IC!CS24&gt;預測IC!CS$25,1,0)</f>
        <v>0</v>
      </c>
      <c r="CT24" s="7">
        <f>IF(預測IC!CT24&gt;預測IC!CT$25,1,0)</f>
        <v>0</v>
      </c>
      <c r="CU24" s="7">
        <f>IF(預測IC!CU24&gt;預測IC!CU$25,1,0)</f>
        <v>1</v>
      </c>
      <c r="CV24" s="7">
        <f>IF(預測IC!CV24&gt;預測IC!CV$25,1,0)</f>
        <v>0</v>
      </c>
      <c r="CW24" s="7">
        <f>IF(預測IC!CW24&gt;預測IC!CW$25,1,0)</f>
        <v>0</v>
      </c>
      <c r="CX24" s="7">
        <f>IF(預測IC!CX24&gt;預測IC!CX$25,1,0)</f>
        <v>1</v>
      </c>
      <c r="CY24" s="7">
        <f>IF(預測IC!CY24&gt;預測IC!CY$25,1,0)</f>
        <v>1</v>
      </c>
      <c r="CZ24" s="7">
        <f>IF(預測IC!CZ24&gt;預測IC!CZ$25,1,0)</f>
        <v>1</v>
      </c>
      <c r="DA24" s="7">
        <f>IF(預測IC!DA24&gt;預測IC!DA$25,1,0)</f>
        <v>0</v>
      </c>
      <c r="DB24" s="7">
        <f>IF(預測IC!DB24&gt;預測IC!DB$25,1,0)</f>
        <v>1</v>
      </c>
      <c r="DC24" s="7">
        <f>IF(預測IC!DC24&gt;預測IC!DC$25,1,0)</f>
        <v>0</v>
      </c>
      <c r="DD24" s="7">
        <f>IF(預測IC!DD24&gt;預測IC!DD$25,1,0)</f>
        <v>0</v>
      </c>
      <c r="DE24" s="7">
        <f>IF(預測IC!DE24&gt;預測IC!DE$25,1,0)</f>
        <v>0</v>
      </c>
      <c r="DF24" s="7">
        <f>IF(預測IC!DF24&gt;預測IC!DF$25,1,0)</f>
        <v>0</v>
      </c>
      <c r="DG24" s="7">
        <f>IF(預測IC!DG24&gt;預測IC!DG$25,1,0)</f>
        <v>0</v>
      </c>
      <c r="DH24" s="7">
        <f>IF(預測IC!DH24&gt;預測IC!DH$25,1,0)</f>
        <v>0</v>
      </c>
      <c r="DI24" s="7">
        <f>IF(預測IC!DI24&gt;預測IC!DI$25,1,0)</f>
        <v>0</v>
      </c>
      <c r="DJ24" s="7">
        <f>IF(預測IC!DJ24&gt;預測IC!DJ$25,1,0)</f>
        <v>0</v>
      </c>
      <c r="DK24" s="7">
        <f>IF(預測IC!DK24&gt;預測IC!DK$25,1,0)</f>
        <v>0</v>
      </c>
      <c r="DL24" s="7">
        <f>IF(預測IC!DL24&gt;預測IC!DL$25,1,0)</f>
        <v>1</v>
      </c>
      <c r="DM24" s="7">
        <f>IF(預測IC!DM24&gt;預測IC!DM$25,1,0)</f>
        <v>1</v>
      </c>
      <c r="DN24" s="7">
        <f>IF(預測IC!DN24&gt;預測IC!DN$25,1,0)</f>
        <v>0</v>
      </c>
      <c r="DO24" s="7">
        <f>IF(預測IC!DO24&gt;預測IC!DO$25,1,0)</f>
        <v>1</v>
      </c>
      <c r="DP24" s="7">
        <f>IF(預測IC!DP24&gt;預測IC!DP$25,1,0)</f>
        <v>1</v>
      </c>
      <c r="DQ24" s="7">
        <f>IF(預測IC!DQ24&gt;預測IC!DQ$25,1,0)</f>
        <v>0</v>
      </c>
      <c r="DR24" s="7">
        <f>IF(預測IC!DR24&gt;預測IC!DR$25,1,0)</f>
        <v>0</v>
      </c>
      <c r="DS24" s="7">
        <f>IF(預測IC!DS24&gt;預測IC!DS$25,1,0)</f>
        <v>1</v>
      </c>
      <c r="DT24" s="7">
        <f>IF(預測IC!DT24&gt;預測IC!DT$25,1,0)</f>
        <v>0</v>
      </c>
      <c r="DU24" s="7">
        <f>IF(預測IC!DU24&gt;預測IC!DU$25,1,0)</f>
        <v>0</v>
      </c>
      <c r="DV24" s="7">
        <f>IF(預測IC!DV24&gt;預測IC!DV$25,1,0)</f>
        <v>0</v>
      </c>
      <c r="DW24" s="7">
        <f>IF(預測IC!DW24&gt;預測IC!DW$25,1,0)</f>
        <v>1</v>
      </c>
      <c r="DX24" s="7">
        <f>IF(預測IC!DX24&gt;預測IC!DX$25,1,0)</f>
        <v>1</v>
      </c>
      <c r="DY24" s="7">
        <f>IF(預測IC!DY24&gt;預測IC!DY$25,1,0)</f>
        <v>1</v>
      </c>
      <c r="DZ24" s="7">
        <f>IF(預測IC!DZ24&gt;預測IC!DZ$25,1,0)</f>
        <v>1</v>
      </c>
      <c r="EA24" s="7">
        <f>IF(預測IC!EA24&gt;預測IC!EA$25,1,0)</f>
        <v>1</v>
      </c>
      <c r="EB24" s="7">
        <f>IF(預測IC!EB24&gt;預測IC!EB$25,1,0)</f>
        <v>1</v>
      </c>
      <c r="EC24" s="7">
        <f>IF(預測IC!EC24&gt;預測IC!EC$25,1,0)</f>
        <v>0</v>
      </c>
      <c r="ED24" s="7">
        <f>IF(預測IC!ED24&gt;預測IC!ED$25,1,0)</f>
        <v>1</v>
      </c>
      <c r="EE24" s="7">
        <f>IF(預測IC!EE24&gt;預測IC!EE$25,1,0)</f>
        <v>1</v>
      </c>
      <c r="EF24" s="7">
        <f>IF(預測IC!EF24&gt;預測IC!EF$25,1,0)</f>
        <v>0</v>
      </c>
      <c r="EG24">
        <f t="shared" si="6"/>
        <v>60</v>
      </c>
      <c r="EH24" s="9">
        <f t="shared" si="7"/>
        <v>0.44776119402985076</v>
      </c>
    </row>
    <row r="25" spans="1:138" s="5" customFormat="1" x14ac:dyDescent="0.3">
      <c r="A25" s="6" t="s">
        <v>146</v>
      </c>
      <c r="B25" s="6" t="s">
        <v>147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74C3-2B3F-4862-98C6-7A7453512D5C}">
  <dimension ref="A1:EG25"/>
  <sheetViews>
    <sheetView topLeftCell="DF25" zoomScale="85" zoomScaleNormal="85" workbookViewId="0">
      <selection activeCell="I11" sqref="I11"/>
    </sheetView>
  </sheetViews>
  <sheetFormatPr defaultRowHeight="15" x14ac:dyDescent="0.3"/>
  <sheetData>
    <row r="1" spans="1:137" x14ac:dyDescent="0.3">
      <c r="A1" t="s">
        <v>148</v>
      </c>
    </row>
    <row r="2" spans="1:13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143</v>
      </c>
    </row>
    <row r="3" spans="1:137" x14ac:dyDescent="0.3">
      <c r="B3" s="1" t="s">
        <v>135</v>
      </c>
      <c r="C3" s="7">
        <v>4.0547288954257972E-2</v>
      </c>
      <c r="D3" s="7">
        <v>1.474617514759302E-2</v>
      </c>
      <c r="E3" s="7">
        <v>-5.1652342081069953E-2</v>
      </c>
      <c r="F3" s="7">
        <v>-5.4286114871501923E-2</v>
      </c>
      <c r="G3" s="7">
        <v>-5.7552006095647812E-2</v>
      </c>
      <c r="H3" s="7">
        <v>-7.6259449124336243E-2</v>
      </c>
      <c r="I3" s="7">
        <v>-0.107886478304863</v>
      </c>
      <c r="J3" s="7">
        <v>1.373711228370667E-2</v>
      </c>
      <c r="K3" s="7">
        <v>-5.9229228645563133E-2</v>
      </c>
      <c r="L3" s="7">
        <v>-0.1078036949038506</v>
      </c>
      <c r="M3" s="7">
        <v>2.4141319096088409E-2</v>
      </c>
      <c r="N3" s="7">
        <v>-0.1346741318702698</v>
      </c>
      <c r="O3" s="7">
        <v>-7.92685616761446E-3</v>
      </c>
      <c r="P3" s="7">
        <v>-7.5651742517948151E-2</v>
      </c>
      <c r="Q3" s="7">
        <v>-8.6447760462760925E-2</v>
      </c>
      <c r="R3" s="7">
        <v>-3.0133344698697329E-3</v>
      </c>
      <c r="S3" s="7">
        <v>-4.0853243321180337E-2</v>
      </c>
      <c r="T3" s="7">
        <v>-3.2101776450872421E-2</v>
      </c>
      <c r="U3" s="7">
        <v>-0.10543976724147799</v>
      </c>
      <c r="V3" s="7">
        <v>-4.5746464282274253E-2</v>
      </c>
      <c r="W3" s="7">
        <v>-6.8120560608804226E-3</v>
      </c>
      <c r="X3" s="7">
        <v>9.7701430320739746E-2</v>
      </c>
      <c r="Y3" s="7">
        <v>6.1205495148897171E-2</v>
      </c>
      <c r="Z3" s="7">
        <v>1.6075653955340389E-2</v>
      </c>
      <c r="AA3" s="7">
        <v>-1.270355191081762E-2</v>
      </c>
      <c r="AB3" s="7">
        <v>-1.026225462555885E-2</v>
      </c>
      <c r="AC3" s="7">
        <v>2.934014052152634E-2</v>
      </c>
      <c r="AD3" s="7">
        <v>-5.8081243187189102E-3</v>
      </c>
      <c r="AE3" s="7">
        <v>1.1994774453341959E-2</v>
      </c>
      <c r="AF3" s="7">
        <v>3.9971381425857537E-2</v>
      </c>
      <c r="AG3" s="7">
        <v>-1.210324652493E-2</v>
      </c>
      <c r="AH3" s="7">
        <v>2.2090664133429531E-2</v>
      </c>
      <c r="AI3" s="7">
        <v>2.1936081349849701E-2</v>
      </c>
      <c r="AJ3" s="7">
        <v>2.584474720060825E-2</v>
      </c>
      <c r="AK3" s="7">
        <v>-2.3109074681997299E-3</v>
      </c>
      <c r="AL3" s="7">
        <v>-2.0252099260687832E-2</v>
      </c>
      <c r="AM3" s="7">
        <v>2.2393656894564629E-2</v>
      </c>
      <c r="AN3" s="7">
        <v>-3.5141657572239642E-3</v>
      </c>
      <c r="AO3" s="7">
        <v>-2.9745671898126599E-2</v>
      </c>
      <c r="AP3" s="7">
        <v>-2.683783695101738E-2</v>
      </c>
      <c r="AQ3" s="7">
        <v>-2.169711887836456E-2</v>
      </c>
      <c r="AR3" s="7">
        <v>2.3448716849088669E-2</v>
      </c>
      <c r="AS3" s="7">
        <v>1.5802856534719471E-2</v>
      </c>
      <c r="AT3" s="7">
        <v>6.6039755940437317E-2</v>
      </c>
      <c r="AU3" s="7">
        <v>6.2266789376735687E-2</v>
      </c>
      <c r="AV3" s="7">
        <v>5.7940512895584113E-2</v>
      </c>
      <c r="AW3" s="7">
        <v>0.1063941121101379</v>
      </c>
      <c r="AX3" s="7">
        <v>-5.7518132962286472E-3</v>
      </c>
      <c r="AY3" s="7">
        <v>3.4562649670988321E-3</v>
      </c>
      <c r="AZ3" s="7">
        <v>8.6036309599876404E-2</v>
      </c>
      <c r="BA3" s="7">
        <v>0.10234846919775011</v>
      </c>
      <c r="BB3" s="7">
        <v>6.3502728939056396E-2</v>
      </c>
      <c r="BC3" s="7">
        <v>4.844263568520546E-2</v>
      </c>
      <c r="BD3" s="7">
        <v>7.7497914433479309E-2</v>
      </c>
      <c r="BE3" s="7">
        <v>2.7031764388084412E-2</v>
      </c>
      <c r="BF3" s="7">
        <v>2.1175272762775421E-2</v>
      </c>
      <c r="BG3" s="7">
        <v>-1.226798165589571E-2</v>
      </c>
      <c r="BH3" s="7">
        <v>5.1240973174571991E-2</v>
      </c>
      <c r="BI3" s="7">
        <v>5.5158428847789757E-2</v>
      </c>
      <c r="BJ3" s="7">
        <v>8.664897084236145E-2</v>
      </c>
      <c r="BK3" s="7">
        <v>8.1092678010463715E-2</v>
      </c>
      <c r="BL3" s="7">
        <v>5.7930886745452881E-2</v>
      </c>
      <c r="BM3" s="7">
        <v>1.4249543659389021E-2</v>
      </c>
      <c r="BN3" s="7">
        <v>-4.6854224056005478E-3</v>
      </c>
      <c r="BO3" s="7">
        <v>4.5861139893531799E-2</v>
      </c>
      <c r="BP3" s="7">
        <v>8.6037963628768921E-2</v>
      </c>
      <c r="BQ3" s="7">
        <v>0.144142210483551</v>
      </c>
      <c r="BR3" s="7">
        <v>3.7985831499099731E-2</v>
      </c>
      <c r="BS3" s="7">
        <v>8.1880234181880951E-2</v>
      </c>
      <c r="BT3" s="7">
        <v>4.3688308447599411E-2</v>
      </c>
      <c r="BU3" s="7">
        <v>0.10545723885297779</v>
      </c>
      <c r="BV3" s="7">
        <v>0.1175376549363136</v>
      </c>
      <c r="BW3" s="7">
        <v>9.2942401766777039E-2</v>
      </c>
      <c r="BX3" s="7">
        <v>3.5637497901916497E-2</v>
      </c>
      <c r="BY3" s="7">
        <v>4.2925089597702033E-2</v>
      </c>
      <c r="BZ3" s="7">
        <v>9.8455093801021576E-2</v>
      </c>
      <c r="CA3" s="7">
        <v>1.8217885866761211E-2</v>
      </c>
      <c r="CB3" s="7">
        <v>1.9438756629824638E-2</v>
      </c>
      <c r="CC3" s="7">
        <v>-5.0573386251926422E-3</v>
      </c>
      <c r="CD3" s="7">
        <v>-5.7951014488935471E-2</v>
      </c>
      <c r="CE3" s="7">
        <v>-1.193848438560963E-2</v>
      </c>
      <c r="CF3" s="7">
        <v>6.4156758598983288E-3</v>
      </c>
      <c r="CG3" s="7">
        <v>5.6247138418257236E-3</v>
      </c>
      <c r="CH3" s="7">
        <v>5.8184977620840073E-2</v>
      </c>
      <c r="CI3" s="7">
        <v>1.276898570358753E-2</v>
      </c>
      <c r="CJ3" s="7">
        <v>-8.0891326069831848E-2</v>
      </c>
      <c r="CK3" s="7">
        <v>7.3738843202590942E-2</v>
      </c>
      <c r="CL3" s="7">
        <v>6.7692369222640991E-2</v>
      </c>
      <c r="CM3" s="7">
        <v>-1.829254254698753E-2</v>
      </c>
      <c r="CN3" s="7">
        <v>4.6888105571269989E-3</v>
      </c>
      <c r="CO3" s="7">
        <v>-1.2873713858425621E-2</v>
      </c>
      <c r="CP3" s="7">
        <v>-5.2108332514762878E-2</v>
      </c>
      <c r="CQ3" s="7">
        <v>-7.2693914175033569E-2</v>
      </c>
      <c r="CR3" s="7">
        <v>-6.0804408043622971E-2</v>
      </c>
      <c r="CS3" s="7">
        <v>1.5148262493312361E-2</v>
      </c>
      <c r="CT3" s="7">
        <v>-6.339031457901001E-2</v>
      </c>
      <c r="CU3" s="7">
        <v>-6.1079829931259162E-2</v>
      </c>
      <c r="CV3" s="7">
        <v>-2.170033194124699E-2</v>
      </c>
      <c r="CW3" s="7">
        <v>-6.0720678418874741E-2</v>
      </c>
      <c r="CX3" s="7">
        <v>-4.0655191987752907E-2</v>
      </c>
      <c r="CY3" s="7">
        <v>-4.5480586588382721E-2</v>
      </c>
      <c r="CZ3" s="7">
        <v>-6.9138072431087494E-2</v>
      </c>
      <c r="DA3" s="7">
        <v>-8.9778468012809753E-2</v>
      </c>
      <c r="DB3" s="7">
        <v>-6.527487188577652E-2</v>
      </c>
      <c r="DC3" s="7">
        <v>-1.3747443445026869E-2</v>
      </c>
      <c r="DD3" s="7">
        <v>-5.9340178966522217E-2</v>
      </c>
      <c r="DE3" s="7">
        <v>-2.9697688296437259E-3</v>
      </c>
      <c r="DF3" s="7">
        <v>2.9266869649291039E-2</v>
      </c>
      <c r="DG3" s="7">
        <v>-2.4713881313800808E-2</v>
      </c>
      <c r="DH3" s="7">
        <v>-3.5376153886318207E-2</v>
      </c>
      <c r="DI3" s="7">
        <v>-2.7640743181109428E-2</v>
      </c>
      <c r="DJ3" s="7">
        <v>-5.7575446553528309E-3</v>
      </c>
      <c r="DK3" s="7">
        <v>-4.8771854490041733E-2</v>
      </c>
      <c r="DL3" s="7">
        <v>-1.13038681447506E-2</v>
      </c>
      <c r="DM3" s="7">
        <v>-4.967803880572319E-2</v>
      </c>
      <c r="DN3" s="7">
        <v>-1.280778273940086E-2</v>
      </c>
      <c r="DO3" s="7">
        <v>-1.587224006652832E-2</v>
      </c>
      <c r="DP3" s="7">
        <v>-7.589586079120636E-3</v>
      </c>
      <c r="DQ3" s="7">
        <v>4.0078632533550262E-2</v>
      </c>
      <c r="DR3" s="7">
        <v>-1.5922309830784801E-2</v>
      </c>
      <c r="DS3" s="7">
        <v>2.3432238027453419E-2</v>
      </c>
      <c r="DT3" s="7">
        <v>-5.3663063794374473E-2</v>
      </c>
      <c r="DU3" s="7">
        <v>-4.4161681085824973E-2</v>
      </c>
      <c r="DV3" s="7">
        <v>-2.3813089355826381E-2</v>
      </c>
      <c r="DW3" s="7">
        <v>2.5176366791129109E-2</v>
      </c>
      <c r="DX3" s="7">
        <v>-3.2621368765830987E-2</v>
      </c>
      <c r="DY3" s="7">
        <v>1.3060665689408779E-2</v>
      </c>
      <c r="DZ3" s="7">
        <v>-4.7912493348121643E-2</v>
      </c>
      <c r="EA3" s="7">
        <v>1.4760352671146389E-2</v>
      </c>
      <c r="EB3" s="7">
        <v>-2.9227724298834801E-2</v>
      </c>
      <c r="EC3" s="7">
        <v>-3.5695001482963562E-2</v>
      </c>
      <c r="ED3" s="7">
        <v>-5.2812475711107247E-2</v>
      </c>
      <c r="EE3" s="7">
        <v>-1.3054582290351391E-2</v>
      </c>
      <c r="EF3" s="7">
        <v>-6.9071874022483826E-2</v>
      </c>
      <c r="EG3" s="1"/>
    </row>
    <row r="4" spans="1:137" x14ac:dyDescent="0.3">
      <c r="B4" s="1" t="s">
        <v>136</v>
      </c>
      <c r="C4" s="7">
        <v>-1.8580827862024311E-2</v>
      </c>
      <c r="D4" s="7">
        <v>-4.8252779990434647E-2</v>
      </c>
      <c r="E4" s="7">
        <v>7.8275678679347038E-3</v>
      </c>
      <c r="F4" s="7">
        <v>-2.6776634156703949E-2</v>
      </c>
      <c r="G4" s="7">
        <v>1.6258874908089641E-2</v>
      </c>
      <c r="H4" s="7">
        <v>-8.7667405605316162E-3</v>
      </c>
      <c r="I4" s="7">
        <v>-7.0548905059695244E-3</v>
      </c>
      <c r="J4" s="7">
        <v>-3.2917611300945282E-2</v>
      </c>
      <c r="K4" s="7">
        <v>7.3888557963073254E-3</v>
      </c>
      <c r="L4" s="7">
        <v>3.5096999257802963E-2</v>
      </c>
      <c r="M4" s="7">
        <v>-1.934842579066753E-2</v>
      </c>
      <c r="N4" s="7">
        <v>-1.2498205527663229E-2</v>
      </c>
      <c r="O4" s="7">
        <v>-6.7216232419013977E-2</v>
      </c>
      <c r="P4" s="7">
        <v>-2.768821083009243E-2</v>
      </c>
      <c r="Q4" s="7">
        <v>-5.9864789247512817E-2</v>
      </c>
      <c r="R4" s="7">
        <v>-7.7407129108905792E-2</v>
      </c>
      <c r="S4" s="7">
        <v>-8.372652530670166E-2</v>
      </c>
      <c r="T4" s="7">
        <v>-5.9324655681848533E-2</v>
      </c>
      <c r="U4" s="7">
        <v>-2.3863557726144791E-3</v>
      </c>
      <c r="V4" s="7">
        <v>4.6488689258694649E-3</v>
      </c>
      <c r="W4" s="7">
        <v>-7.4044972658157349E-2</v>
      </c>
      <c r="X4" s="7">
        <v>-9.8803862929344177E-2</v>
      </c>
      <c r="Y4" s="7">
        <v>-9.1002114117145538E-2</v>
      </c>
      <c r="Z4" s="7">
        <v>-6.800408661365509E-2</v>
      </c>
      <c r="AA4" s="7">
        <v>-8.6181230843067169E-2</v>
      </c>
      <c r="AB4" s="7">
        <v>-8.889392763376236E-2</v>
      </c>
      <c r="AC4" s="7">
        <v>-1.6588440164923671E-2</v>
      </c>
      <c r="AD4" s="7">
        <v>6.3448823988437653E-2</v>
      </c>
      <c r="AE4" s="7">
        <v>-5.9580553323030472E-2</v>
      </c>
      <c r="AF4" s="7">
        <v>1.096150139346719E-3</v>
      </c>
      <c r="AG4" s="7">
        <v>2.8850741684436802E-2</v>
      </c>
      <c r="AH4" s="7">
        <v>2.907080203294754E-2</v>
      </c>
      <c r="AI4" s="7">
        <v>-1.015707012265921E-2</v>
      </c>
      <c r="AJ4" s="7">
        <v>4.4545106589794159E-2</v>
      </c>
      <c r="AK4" s="7">
        <v>-1.327527966350317E-2</v>
      </c>
      <c r="AL4" s="7">
        <v>1.4735002070665359E-2</v>
      </c>
      <c r="AM4" s="7">
        <v>5.2847121842205516E-3</v>
      </c>
      <c r="AN4" s="7">
        <v>4.7137059271335602E-2</v>
      </c>
      <c r="AO4" s="7">
        <v>7.4655739590525627E-3</v>
      </c>
      <c r="AP4" s="7">
        <v>4.6993391588330269E-3</v>
      </c>
      <c r="AQ4" s="7">
        <v>2.0851189270615581E-2</v>
      </c>
      <c r="AR4" s="7">
        <v>5.4104723036289222E-2</v>
      </c>
      <c r="AS4" s="7">
        <v>-5.646181758493185E-3</v>
      </c>
      <c r="AT4" s="7">
        <v>4.0453299880027771E-3</v>
      </c>
      <c r="AU4" s="7">
        <v>2.0628450438380241E-2</v>
      </c>
      <c r="AV4" s="7">
        <v>2.111388556659222E-2</v>
      </c>
      <c r="AW4" s="7">
        <v>-4.1878089308738708E-2</v>
      </c>
      <c r="AX4" s="7">
        <v>1.5781458467245098E-2</v>
      </c>
      <c r="AY4" s="7">
        <v>-2.299829013645649E-2</v>
      </c>
      <c r="AZ4" s="7">
        <v>5.878029391169548E-3</v>
      </c>
      <c r="BA4" s="7">
        <v>-2.1811418235301971E-2</v>
      </c>
      <c r="BB4" s="7">
        <v>-7.6676465570926666E-2</v>
      </c>
      <c r="BC4" s="7">
        <v>1.004549115896225E-2</v>
      </c>
      <c r="BD4" s="7">
        <v>-4.7882307320833213E-2</v>
      </c>
      <c r="BE4" s="7">
        <v>-6.8554230034351349E-2</v>
      </c>
      <c r="BF4" s="7">
        <v>-8.2745306193828583E-2</v>
      </c>
      <c r="BG4" s="7">
        <v>-0.1204242408275604</v>
      </c>
      <c r="BH4" s="7">
        <v>-0.10103762894868849</v>
      </c>
      <c r="BI4" s="7">
        <v>-3.9490096271038062E-2</v>
      </c>
      <c r="BJ4" s="7">
        <v>-6.4256303012371063E-2</v>
      </c>
      <c r="BK4" s="7">
        <v>-0.14447127282619479</v>
      </c>
      <c r="BL4" s="7">
        <v>-0.1120113208889961</v>
      </c>
      <c r="BM4" s="7">
        <v>-3.4826010465621948E-2</v>
      </c>
      <c r="BN4" s="7">
        <v>-8.5986465215682983E-2</v>
      </c>
      <c r="BO4" s="7">
        <v>-7.0973977446556091E-2</v>
      </c>
      <c r="BP4" s="7">
        <v>-3.4846525639295578E-2</v>
      </c>
      <c r="BQ4" s="7">
        <v>-2.0351750776171681E-2</v>
      </c>
      <c r="BR4" s="7">
        <v>-2.315560914576054E-2</v>
      </c>
      <c r="BS4" s="7">
        <v>-3.2191596925258643E-2</v>
      </c>
      <c r="BT4" s="7">
        <v>-6.8826571106910706E-2</v>
      </c>
      <c r="BU4" s="7">
        <v>-9.2764981091022491E-2</v>
      </c>
      <c r="BV4" s="7">
        <v>-8.1678107380867004E-2</v>
      </c>
      <c r="BW4" s="7">
        <v>-6.8563610315322876E-2</v>
      </c>
      <c r="BX4" s="7">
        <v>-1.983198523521423E-2</v>
      </c>
      <c r="BY4" s="7">
        <v>-6.1186797916889191E-2</v>
      </c>
      <c r="BZ4" s="7">
        <v>-7.0581048727035522E-2</v>
      </c>
      <c r="CA4" s="7">
        <v>-7.2609454393386841E-2</v>
      </c>
      <c r="CB4" s="7">
        <v>-8.8862821459770203E-2</v>
      </c>
      <c r="CC4" s="7">
        <v>-6.5672166645526886E-2</v>
      </c>
      <c r="CD4" s="7">
        <v>-7.0492014288902283E-2</v>
      </c>
      <c r="CE4" s="7">
        <v>-8.9266888797283173E-2</v>
      </c>
      <c r="CF4" s="7">
        <v>-1.9554028287529949E-2</v>
      </c>
      <c r="CG4" s="7">
        <v>-3.8807325065135963E-2</v>
      </c>
      <c r="CH4" s="7">
        <v>-2.6853706687688831E-2</v>
      </c>
      <c r="CI4" s="7">
        <v>-2.3996761068701741E-2</v>
      </c>
      <c r="CJ4" s="7">
        <v>-6.9834161549806586E-3</v>
      </c>
      <c r="CK4" s="7">
        <v>-1.185638178139925E-2</v>
      </c>
      <c r="CL4" s="7">
        <v>-1.1220706626772881E-2</v>
      </c>
      <c r="CM4" s="7">
        <v>-1.975167170166969E-2</v>
      </c>
      <c r="CN4" s="7">
        <v>-1.7389096319675449E-2</v>
      </c>
      <c r="CO4" s="7">
        <v>9.1980240540578961E-4</v>
      </c>
      <c r="CP4" s="7">
        <v>-2.7678526937961578E-2</v>
      </c>
      <c r="CQ4" s="7">
        <v>-2.722612768411636E-2</v>
      </c>
      <c r="CR4" s="7">
        <v>-3.4191105514764793E-2</v>
      </c>
      <c r="CS4" s="7">
        <v>-3.7506073713302612E-2</v>
      </c>
      <c r="CT4" s="7">
        <v>-4.9283858388662338E-2</v>
      </c>
      <c r="CU4" s="7">
        <v>-2.3866469040513039E-2</v>
      </c>
      <c r="CV4" s="7">
        <v>-2.7314594481140379E-3</v>
      </c>
      <c r="CW4" s="7">
        <v>2.5829777121543881E-2</v>
      </c>
      <c r="CX4" s="7">
        <v>-7.7818602323532104E-2</v>
      </c>
      <c r="CY4" s="7">
        <v>-1.714335381984711E-2</v>
      </c>
      <c r="CZ4" s="7">
        <v>6.4833508804440498E-3</v>
      </c>
      <c r="DA4" s="7">
        <v>2.1121479570865631E-2</v>
      </c>
      <c r="DB4" s="7">
        <v>1.6250079497694969E-3</v>
      </c>
      <c r="DC4" s="7">
        <v>1.4495826326310629E-2</v>
      </c>
      <c r="DD4" s="7">
        <v>3.7542592734098428E-2</v>
      </c>
      <c r="DE4" s="7">
        <v>-4.7325566411018372E-2</v>
      </c>
      <c r="DF4" s="7">
        <v>3.3347133547067642E-2</v>
      </c>
      <c r="DG4" s="7">
        <v>-1.8042853102087971E-2</v>
      </c>
      <c r="DH4" s="7">
        <v>-1.2872833758592611E-2</v>
      </c>
      <c r="DI4" s="7">
        <v>2.5734813883900639E-2</v>
      </c>
      <c r="DJ4" s="7">
        <v>1.416372787207365E-2</v>
      </c>
      <c r="DK4" s="7">
        <v>-3.316790983080864E-2</v>
      </c>
      <c r="DL4" s="7">
        <v>-2.1062262356281281E-2</v>
      </c>
      <c r="DM4" s="7">
        <v>1.4148561283946041E-2</v>
      </c>
      <c r="DN4" s="7">
        <v>-1.9859654828906059E-2</v>
      </c>
      <c r="DO4" s="7">
        <v>-3.856055811047554E-2</v>
      </c>
      <c r="DP4" s="7">
        <v>5.259593203663826E-2</v>
      </c>
      <c r="DQ4" s="7">
        <v>5.0834372639656067E-2</v>
      </c>
      <c r="DR4" s="7">
        <v>3.4424390643835068E-2</v>
      </c>
      <c r="DS4" s="7">
        <v>2.6739172637462619E-2</v>
      </c>
      <c r="DT4" s="7">
        <v>-2.2692034021019939E-2</v>
      </c>
      <c r="DU4" s="7">
        <v>2.356254868209362E-2</v>
      </c>
      <c r="DV4" s="7">
        <v>1.1204046197235581E-2</v>
      </c>
      <c r="DW4" s="7">
        <v>9.7593218088150024E-3</v>
      </c>
      <c r="DX4" s="7">
        <v>-1.200891844928265E-2</v>
      </c>
      <c r="DY4" s="7">
        <v>-1.29100177437067E-2</v>
      </c>
      <c r="DZ4" s="7">
        <v>1.4516728930175299E-2</v>
      </c>
      <c r="EA4" s="7">
        <v>2.0058911293745041E-2</v>
      </c>
      <c r="EB4" s="7">
        <v>5.2505847066640847E-2</v>
      </c>
      <c r="EC4" s="7">
        <v>3.2138381153345108E-2</v>
      </c>
      <c r="ED4" s="7">
        <v>-9.5858694985508919E-3</v>
      </c>
      <c r="EE4" s="7">
        <v>1.6591379418969151E-2</v>
      </c>
      <c r="EF4" s="7">
        <v>2.4656090885400769E-2</v>
      </c>
      <c r="EG4" s="1"/>
    </row>
    <row r="5" spans="1:137" x14ac:dyDescent="0.3">
      <c r="B5" s="1" t="s">
        <v>137</v>
      </c>
      <c r="C5" s="7">
        <v>-1.9821943715214729E-2</v>
      </c>
      <c r="D5" s="7">
        <v>-2.4067563936114311E-2</v>
      </c>
      <c r="E5" s="7">
        <v>-7.5782481580972672E-3</v>
      </c>
      <c r="F5" s="7">
        <v>3.8560427725315087E-2</v>
      </c>
      <c r="G5" s="7">
        <v>-7.0930332876741886E-3</v>
      </c>
      <c r="H5" s="7">
        <v>-2.8790984302759171E-2</v>
      </c>
      <c r="I5" s="7">
        <v>-5.0696283578872681E-2</v>
      </c>
      <c r="J5" s="7">
        <v>-1.75021740142256E-3</v>
      </c>
      <c r="K5" s="7">
        <v>-4.8410315066576004E-3</v>
      </c>
      <c r="L5" s="7">
        <v>-2.5085138157010078E-2</v>
      </c>
      <c r="M5" s="7">
        <v>3.4981705248355872E-2</v>
      </c>
      <c r="N5" s="7">
        <v>7.1464717388153076E-2</v>
      </c>
      <c r="O5" s="7">
        <v>4.9568243324756622E-2</v>
      </c>
      <c r="P5" s="7">
        <v>9.211605042219162E-2</v>
      </c>
      <c r="Q5" s="7">
        <v>7.458747923374176E-2</v>
      </c>
      <c r="R5" s="7">
        <v>3.6225240677595139E-2</v>
      </c>
      <c r="S5" s="7">
        <v>6.8880669772624969E-2</v>
      </c>
      <c r="T5" s="7">
        <v>5.0580024719238281E-2</v>
      </c>
      <c r="U5" s="7">
        <v>5.0022769719362259E-2</v>
      </c>
      <c r="V5" s="7">
        <v>6.5072879195213318E-2</v>
      </c>
      <c r="W5" s="7">
        <v>8.2305394113063812E-2</v>
      </c>
      <c r="X5" s="7">
        <v>4.979049414396286E-2</v>
      </c>
      <c r="Y5" s="7">
        <v>0.16213490068912509</v>
      </c>
      <c r="Z5" s="7">
        <v>4.9829393625259399E-2</v>
      </c>
      <c r="AA5" s="7">
        <v>-9.6141993999481201E-3</v>
      </c>
      <c r="AB5" s="7">
        <v>-9.4462800770998001E-3</v>
      </c>
      <c r="AC5" s="7">
        <v>-1.5571466647088529E-2</v>
      </c>
      <c r="AD5" s="7">
        <v>-5.6024580262601384E-3</v>
      </c>
      <c r="AE5" s="7">
        <v>2.4225909262895581E-2</v>
      </c>
      <c r="AF5" s="7">
        <v>6.4355872571468353E-2</v>
      </c>
      <c r="AG5" s="7">
        <v>6.0781430453062057E-2</v>
      </c>
      <c r="AH5" s="7">
        <v>2.877256274223328E-2</v>
      </c>
      <c r="AI5" s="7">
        <v>4.2393732815980911E-2</v>
      </c>
      <c r="AJ5" s="7">
        <v>1.3549104332923889E-2</v>
      </c>
      <c r="AK5" s="7">
        <v>0.104340173304081</v>
      </c>
      <c r="AL5" s="7">
        <v>2.3477694019675251E-2</v>
      </c>
      <c r="AM5" s="7">
        <v>4.9679871648550027E-2</v>
      </c>
      <c r="AN5" s="7">
        <v>-1.9429741427302361E-2</v>
      </c>
      <c r="AO5" s="7">
        <v>-9.9202198907732964E-3</v>
      </c>
      <c r="AP5" s="7">
        <v>1.375884562730789E-2</v>
      </c>
      <c r="AQ5" s="7">
        <v>-4.9647921696305266E-3</v>
      </c>
      <c r="AR5" s="7">
        <v>-1.355784293264151E-2</v>
      </c>
      <c r="AS5" s="7">
        <v>-2.6926254853606221E-2</v>
      </c>
      <c r="AT5" s="7">
        <v>-7.0274341851472846E-3</v>
      </c>
      <c r="AU5" s="7">
        <v>9.5545966178178787E-3</v>
      </c>
      <c r="AV5" s="7">
        <v>3.9484385401010513E-2</v>
      </c>
      <c r="AW5" s="7">
        <v>1.0149263776838779E-2</v>
      </c>
      <c r="AX5" s="7">
        <v>2.7402361854910851E-2</v>
      </c>
      <c r="AY5" s="7">
        <v>3.636043518781662E-2</v>
      </c>
      <c r="AZ5" s="7">
        <v>-1.262158527970314E-2</v>
      </c>
      <c r="BA5" s="7">
        <v>5.0261570140719414E-3</v>
      </c>
      <c r="BB5" s="7">
        <v>3.7919752299785607E-2</v>
      </c>
      <c r="BC5" s="7">
        <v>5.3017329424619668E-2</v>
      </c>
      <c r="BD5" s="7">
        <v>-5.6791070848703377E-2</v>
      </c>
      <c r="BE5" s="7">
        <v>-1.0663941502571109E-2</v>
      </c>
      <c r="BF5" s="7">
        <v>-4.5907318592071533E-2</v>
      </c>
      <c r="BG5" s="7">
        <v>-4.1811093688011169E-2</v>
      </c>
      <c r="BH5" s="7">
        <v>-8.6124790832400322E-3</v>
      </c>
      <c r="BI5" s="7">
        <v>5.799414124339819E-3</v>
      </c>
      <c r="BJ5" s="7">
        <v>-1.243619527667761E-2</v>
      </c>
      <c r="BK5" s="7">
        <v>2.8031732887029651E-2</v>
      </c>
      <c r="BL5" s="7">
        <v>1.237457524985075E-2</v>
      </c>
      <c r="BM5" s="7">
        <v>3.3071968704462051E-2</v>
      </c>
      <c r="BN5" s="7">
        <v>5.3148314356803887E-2</v>
      </c>
      <c r="BO5" s="7">
        <v>-2.6408641133457422E-4</v>
      </c>
      <c r="BP5" s="7">
        <v>2.5249753147363659E-2</v>
      </c>
      <c r="BQ5" s="7">
        <v>1.6997437924146649E-2</v>
      </c>
      <c r="BR5" s="7">
        <v>3.9869185537099838E-2</v>
      </c>
      <c r="BS5" s="7">
        <v>1.4649398624897E-2</v>
      </c>
      <c r="BT5" s="7">
        <v>-1.352826133370399E-3</v>
      </c>
      <c r="BU5" s="7">
        <v>-1.624243147671223E-2</v>
      </c>
      <c r="BV5" s="7">
        <v>-1.9686918705701831E-2</v>
      </c>
      <c r="BW5" s="7">
        <v>1.865353994071484E-2</v>
      </c>
      <c r="BX5" s="7">
        <v>1.243885513395071E-2</v>
      </c>
      <c r="BY5" s="7">
        <v>1.172025687992573E-2</v>
      </c>
      <c r="BZ5" s="7">
        <v>2.6449056342244152E-2</v>
      </c>
      <c r="CA5" s="7">
        <v>2.04578060656786E-2</v>
      </c>
      <c r="CB5" s="7">
        <v>-1.0790687054395681E-2</v>
      </c>
      <c r="CC5" s="7">
        <v>2.7279853820800781E-2</v>
      </c>
      <c r="CD5" s="7">
        <v>-2.825878094881773E-3</v>
      </c>
      <c r="CE5" s="7">
        <v>-3.9107587188482278E-2</v>
      </c>
      <c r="CF5" s="7">
        <v>2.643934823572636E-2</v>
      </c>
      <c r="CG5" s="7">
        <v>-1.353815849870443E-2</v>
      </c>
      <c r="CH5" s="7">
        <v>3.3741135150194168E-2</v>
      </c>
      <c r="CI5" s="7">
        <v>-1.802918687462807E-2</v>
      </c>
      <c r="CJ5" s="7">
        <v>7.7282674610614777E-3</v>
      </c>
      <c r="CK5" s="7">
        <v>4.5171476900577552E-2</v>
      </c>
      <c r="CL5" s="7">
        <v>-1.4336470048874621E-3</v>
      </c>
      <c r="CM5" s="7">
        <v>-4.3408293277025223E-2</v>
      </c>
      <c r="CN5" s="7">
        <v>-4.8494711518287659E-2</v>
      </c>
      <c r="CO5" s="7">
        <v>-3.4412361681461327E-2</v>
      </c>
      <c r="CP5" s="7">
        <v>-3.1831637024879463E-2</v>
      </c>
      <c r="CQ5" s="7">
        <v>-2.954593114554882E-2</v>
      </c>
      <c r="CR5" s="7">
        <v>-4.6193767338991172E-2</v>
      </c>
      <c r="CS5" s="7">
        <v>-2.2423639893531799E-2</v>
      </c>
      <c r="CT5" s="7">
        <v>2.7818739414215091E-2</v>
      </c>
      <c r="CU5" s="7">
        <v>3.4685932099819183E-2</v>
      </c>
      <c r="CV5" s="7">
        <v>2.074115909636021E-2</v>
      </c>
      <c r="CW5" s="7">
        <v>3.9250623434782028E-2</v>
      </c>
      <c r="CX5" s="7">
        <v>2.3623250424861911E-2</v>
      </c>
      <c r="CY5" s="7">
        <v>2.0947696641087529E-2</v>
      </c>
      <c r="CZ5" s="7">
        <v>2.7976941782981162E-3</v>
      </c>
      <c r="DA5" s="7">
        <v>3.1392037868499763E-2</v>
      </c>
      <c r="DB5" s="7">
        <v>2.502433024346828E-3</v>
      </c>
      <c r="DC5" s="7">
        <v>4.6531397849321372E-2</v>
      </c>
      <c r="DD5" s="7">
        <v>3.7525448948144913E-2</v>
      </c>
      <c r="DE5" s="7">
        <v>6.0277972370386117E-2</v>
      </c>
      <c r="DF5" s="7">
        <v>-1.6737030819058418E-2</v>
      </c>
      <c r="DG5" s="7">
        <v>-9.5816031098365784E-3</v>
      </c>
      <c r="DH5" s="7">
        <v>2.3357640951871868E-2</v>
      </c>
      <c r="DI5" s="7">
        <v>-4.1918892413377762E-2</v>
      </c>
      <c r="DJ5" s="7">
        <v>-1.131146331317723E-3</v>
      </c>
      <c r="DK5" s="7">
        <v>4.1163764894008643E-2</v>
      </c>
      <c r="DL5" s="7">
        <v>2.8391024097800251E-2</v>
      </c>
      <c r="DM5" s="7">
        <v>-2.8915755450725559E-2</v>
      </c>
      <c r="DN5" s="7">
        <v>-1.6116663813591E-2</v>
      </c>
      <c r="DO5" s="7">
        <v>-4.4103553518652916E-3</v>
      </c>
      <c r="DP5" s="7">
        <v>-2.803636156022549E-2</v>
      </c>
      <c r="DQ5" s="7">
        <v>3.730235388502479E-3</v>
      </c>
      <c r="DR5" s="7">
        <v>4.8961839638650417E-3</v>
      </c>
      <c r="DS5" s="7">
        <v>1.518423017114401E-2</v>
      </c>
      <c r="DT5" s="7">
        <v>-2.709389291703701E-2</v>
      </c>
      <c r="DU5" s="7">
        <v>2.157741412520409E-2</v>
      </c>
      <c r="DV5" s="7">
        <v>-1.6142900567501779E-3</v>
      </c>
      <c r="DW5" s="7">
        <v>-4.1363826021552086E-3</v>
      </c>
      <c r="DX5" s="7">
        <v>-4.4376425445079803E-2</v>
      </c>
      <c r="DY5" s="7">
        <v>-3.3609867095947273E-2</v>
      </c>
      <c r="DZ5" s="7">
        <v>-4.8759568482637412E-2</v>
      </c>
      <c r="EA5" s="7">
        <v>5.7486207224428654E-3</v>
      </c>
      <c r="EB5" s="7">
        <v>5.8685941621661186E-3</v>
      </c>
      <c r="EC5" s="7">
        <v>4.229099303483963E-2</v>
      </c>
      <c r="ED5" s="7">
        <v>2.5345668196678162E-2</v>
      </c>
      <c r="EE5" s="7">
        <v>7.0743728429079056E-3</v>
      </c>
      <c r="EF5" s="7">
        <v>3.71592678129673E-2</v>
      </c>
      <c r="EG5" s="1"/>
    </row>
    <row r="6" spans="1:137" x14ac:dyDescent="0.3">
      <c r="A6" s="10" t="s">
        <v>138</v>
      </c>
      <c r="B6" s="11"/>
      <c r="C6" s="7">
        <f t="array" ref="C6">MATCH(MAX(ABS(C3:C5)), ABS(C3:C5), 0)</f>
        <v>1</v>
      </c>
      <c r="D6" s="7">
        <f t="array" ref="D6">MATCH(MAX(ABS(D3:D5)), ABS(D3:D5), 0)</f>
        <v>2</v>
      </c>
      <c r="E6" s="7">
        <f t="array" ref="E6">MATCH(MAX(ABS(E3:E5)), ABS(E3:E5), 0)</f>
        <v>1</v>
      </c>
      <c r="F6" s="7">
        <f t="array" ref="F6">MATCH(MAX(ABS(F3:F5)), ABS(F3:F5), 0)</f>
        <v>1</v>
      </c>
      <c r="G6" s="7">
        <f t="array" ref="G6">MATCH(MAX(ABS(G3:G5)), ABS(G3:G5), 0)</f>
        <v>1</v>
      </c>
      <c r="H6" s="7">
        <f t="array" ref="H6">MATCH(MAX(ABS(H3:H5)), ABS(H3:H5), 0)</f>
        <v>1</v>
      </c>
      <c r="I6" s="7">
        <f t="array" ref="I6">MATCH(MAX(ABS(I3:I5)), ABS(I3:I5), 0)</f>
        <v>1</v>
      </c>
      <c r="J6" s="7">
        <f t="array" ref="J6">MATCH(MAX(ABS(J3:J5)), ABS(J3:J5), 0)</f>
        <v>2</v>
      </c>
      <c r="K6" s="7">
        <f t="array" ref="K6">MATCH(MAX(ABS(K3:K5)), ABS(K3:K5), 0)</f>
        <v>1</v>
      </c>
      <c r="L6" s="7">
        <f t="array" ref="L6">MATCH(MAX(ABS(L3:L5)), ABS(L3:L5), 0)</f>
        <v>1</v>
      </c>
      <c r="M6" s="7">
        <f t="array" ref="M6">MATCH(MAX(ABS(M3:M5)), ABS(M3:M5), 0)</f>
        <v>3</v>
      </c>
      <c r="N6" s="7">
        <f t="array" ref="N6">MATCH(MAX(ABS(N3:N5)), ABS(N3:N5), 0)</f>
        <v>1</v>
      </c>
      <c r="O6" s="7">
        <f t="array" ref="O6">MATCH(MAX(ABS(O3:O5)), ABS(O3:O5), 0)</f>
        <v>2</v>
      </c>
      <c r="P6" s="7">
        <f t="array" ref="P6">MATCH(MAX(ABS(P3:P5)), ABS(P3:P5), 0)</f>
        <v>3</v>
      </c>
      <c r="Q6" s="7">
        <f t="array" ref="Q6">MATCH(MAX(ABS(Q3:Q5)), ABS(Q3:Q5), 0)</f>
        <v>1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2</v>
      </c>
      <c r="U6" s="7">
        <f t="array" ref="U6">MATCH(MAX(ABS(U3:U5)), ABS(U3:U5), 0)</f>
        <v>1</v>
      </c>
      <c r="V6" s="7">
        <f t="array" ref="V6">MATCH(MAX(ABS(V3:V5)), ABS(V3:V5), 0)</f>
        <v>3</v>
      </c>
      <c r="W6" s="7">
        <f t="array" ref="W6">MATCH(MAX(ABS(W3:W5)), ABS(W3:W5), 0)</f>
        <v>3</v>
      </c>
      <c r="X6" s="7">
        <f t="array" ref="X6">MATCH(MAX(ABS(X3:X5)), ABS(X3:X5), 0)</f>
        <v>2</v>
      </c>
      <c r="Y6" s="7">
        <f t="array" ref="Y6">MATCH(MAX(ABS(Y3:Y5)), ABS(Y3:Y5), 0)</f>
        <v>3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2</v>
      </c>
      <c r="AC6" s="7">
        <f t="array" ref="AC6">MATCH(MAX(ABS(AC3:AC5)), ABS(AC3:AC5), 0)</f>
        <v>1</v>
      </c>
      <c r="AD6" s="7">
        <f t="array" ref="AD6">MATCH(MAX(ABS(AD3:AD5)), ABS(AD3:AD5), 0)</f>
        <v>2</v>
      </c>
      <c r="AE6" s="7">
        <f t="array" ref="AE6">MATCH(MAX(ABS(AE3:AE5)), ABS(AE3:AE5), 0)</f>
        <v>2</v>
      </c>
      <c r="AF6" s="7">
        <f t="array" ref="AF6">MATCH(MAX(ABS(AF3:AF5)), ABS(AF3:AF5), 0)</f>
        <v>3</v>
      </c>
      <c r="AG6" s="7">
        <f t="array" ref="AG6">MATCH(MAX(ABS(AG3:AG5)), ABS(AG3:AG5), 0)</f>
        <v>3</v>
      </c>
      <c r="AH6" s="7">
        <f t="array" ref="AH6">MATCH(MAX(ABS(AH3:AH5)), ABS(AH3:AH5), 0)</f>
        <v>2</v>
      </c>
      <c r="AI6" s="7">
        <f t="array" ref="AI6">MATCH(MAX(ABS(AI3:AI5)), ABS(AI3:AI5), 0)</f>
        <v>3</v>
      </c>
      <c r="AJ6" s="7">
        <f t="array" ref="AJ6">MATCH(MAX(ABS(AJ3:AJ5)), ABS(AJ3:AJ5), 0)</f>
        <v>2</v>
      </c>
      <c r="AK6" s="7">
        <f t="array" ref="AK6">MATCH(MAX(ABS(AK3:AK5)), ABS(AK3:AK5), 0)</f>
        <v>3</v>
      </c>
      <c r="AL6" s="7">
        <f t="array" ref="AL6">MATCH(MAX(ABS(AL3:AL5)), ABS(AL3:AL5), 0)</f>
        <v>3</v>
      </c>
      <c r="AM6" s="7">
        <f t="array" ref="AM6">MATCH(MAX(ABS(AM3:AM5)), ABS(AM3:AM5), 0)</f>
        <v>3</v>
      </c>
      <c r="AN6" s="7">
        <f t="array" ref="AN6">MATCH(MAX(ABS(AN3:AN5)), ABS(AN3:AN5), 0)</f>
        <v>2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2</v>
      </c>
      <c r="AS6" s="7">
        <f t="array" ref="AS6">MATCH(MAX(ABS(AS3:AS5)), ABS(AS3:AS5), 0)</f>
        <v>3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3</v>
      </c>
      <c r="AY6" s="7">
        <f t="array" ref="AY6">MATCH(MAX(ABS(AY3:AY5)), ABS(AY3:AY5), 0)</f>
        <v>3</v>
      </c>
      <c r="AZ6" s="7">
        <f t="array" ref="AZ6">MATCH(MAX(ABS(AZ3:AZ5)), ABS(AZ3:AZ5), 0)</f>
        <v>1</v>
      </c>
      <c r="BA6" s="7">
        <f t="array" ref="BA6">MATCH(MAX(ABS(BA3:BA5)), ABS(BA3:BA5), 0)</f>
        <v>1</v>
      </c>
      <c r="BB6" s="7">
        <f t="array" ref="BB6">MATCH(MAX(ABS(BB3:BB5)), ABS(BB3:BB5), 0)</f>
        <v>2</v>
      </c>
      <c r="BC6" s="7">
        <f t="array" ref="BC6">MATCH(MAX(ABS(BC3:BC5)), ABS(BC3:BC5), 0)</f>
        <v>3</v>
      </c>
      <c r="BD6" s="7">
        <f t="array" ref="BD6">MATCH(MAX(ABS(BD3:BD5)), ABS(BD3:BD5), 0)</f>
        <v>1</v>
      </c>
      <c r="BE6" s="7">
        <f t="array" ref="BE6">MATCH(MAX(ABS(BE3:BE5)), ABS(BE3:BE5), 0)</f>
        <v>2</v>
      </c>
      <c r="BF6" s="7">
        <f t="array" ref="BF6">MATCH(MAX(ABS(BF3:BF5)), ABS(BF3:BF5), 0)</f>
        <v>2</v>
      </c>
      <c r="BG6" s="7">
        <f t="array" ref="BG6">MATCH(MAX(ABS(BG3:BG5)), ABS(BG3:BG5), 0)</f>
        <v>2</v>
      </c>
      <c r="BH6" s="7">
        <f t="array" ref="BH6">MATCH(MAX(ABS(BH3:BH5)), ABS(BH3:BH5), 0)</f>
        <v>2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2</v>
      </c>
      <c r="BL6" s="7">
        <f t="array" ref="BL6">MATCH(MAX(ABS(BL3:BL5)), ABS(BL3:BL5), 0)</f>
        <v>2</v>
      </c>
      <c r="BM6" s="7">
        <f t="array" ref="BM6">MATCH(MAX(ABS(BM3:BM5)), ABS(BM3:BM5), 0)</f>
        <v>2</v>
      </c>
      <c r="BN6" s="7">
        <f t="array" ref="BN6">MATCH(MAX(ABS(BN3:BN5)), ABS(BN3:BN5), 0)</f>
        <v>2</v>
      </c>
      <c r="BO6" s="7">
        <f t="array" ref="BO6">MATCH(MAX(ABS(BO3:BO5)), ABS(BO3:BO5), 0)</f>
        <v>2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3</v>
      </c>
      <c r="BS6" s="7">
        <f t="array" ref="BS6">MATCH(MAX(ABS(BS3:BS5)), ABS(BS3:BS5), 0)</f>
        <v>1</v>
      </c>
      <c r="BT6" s="7">
        <f t="array" ref="BT6">MATCH(MAX(ABS(BT3:BT5)), ABS(BT3:BT5), 0)</f>
        <v>2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2</v>
      </c>
      <c r="BZ6" s="7">
        <f t="array" ref="BZ6">MATCH(MAX(ABS(BZ3:BZ5)), ABS(BZ3:BZ5), 0)</f>
        <v>1</v>
      </c>
      <c r="CA6" s="7">
        <f t="array" ref="CA6">MATCH(MAX(ABS(CA3:CA5)), ABS(CA3:CA5), 0)</f>
        <v>2</v>
      </c>
      <c r="CB6" s="7">
        <f t="array" ref="CB6">MATCH(MAX(ABS(CB3:CB5)), ABS(CB3:CB5), 0)</f>
        <v>2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3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2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3</v>
      </c>
      <c r="CN6" s="7">
        <f t="array" ref="CN6">MATCH(MAX(ABS(CN3:CN5)), ABS(CN3:CN5), 0)</f>
        <v>3</v>
      </c>
      <c r="CO6" s="7">
        <f t="array" ref="CO6">MATCH(MAX(ABS(CO3:CO5)), ABS(CO3:CO5), 0)</f>
        <v>3</v>
      </c>
      <c r="CP6" s="7">
        <f t="array" ref="CP6">MATCH(MAX(ABS(CP3:CP5)), ABS(CP3:CP5), 0)</f>
        <v>1</v>
      </c>
      <c r="CQ6" s="7">
        <f t="array" ref="CQ6">MATCH(MAX(ABS(CQ3:CQ5)), ABS(CQ3:CQ5), 0)</f>
        <v>1</v>
      </c>
      <c r="CR6" s="7">
        <f t="array" ref="CR6">MATCH(MAX(ABS(CR3:CR5)), ABS(CR3:CR5), 0)</f>
        <v>1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2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3</v>
      </c>
      <c r="DD6" s="7">
        <f t="array" ref="DD6">MATCH(MAX(ABS(DD3:DD5)), ABS(DD3:DD5), 0)</f>
        <v>1</v>
      </c>
      <c r="DE6" s="7">
        <f t="array" ref="DE6">MATCH(MAX(ABS(DE3:DE5)), ABS(DE3:DE5), 0)</f>
        <v>3</v>
      </c>
      <c r="DF6" s="7">
        <f t="array" ref="DF6">MATCH(MAX(ABS(DF3:DF5)), ABS(DF3:DF5), 0)</f>
        <v>2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3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3</v>
      </c>
      <c r="DM6" s="7">
        <f t="array" ref="DM6">MATCH(MAX(ABS(DM3:DM5)), ABS(DM3:DM5), 0)</f>
        <v>1</v>
      </c>
      <c r="DN6" s="7">
        <f t="array" ref="DN6">MATCH(MAX(ABS(DN3:DN5)), ABS(DN3:DN5), 0)</f>
        <v>2</v>
      </c>
      <c r="DO6" s="7">
        <f t="array" ref="DO6">MATCH(MAX(ABS(DO3:DO5)), ABS(DO3:DO5), 0)</f>
        <v>2</v>
      </c>
      <c r="DP6" s="7">
        <f t="array" ref="DP6">MATCH(MAX(ABS(DP3:DP5)), ABS(DP3:DP5), 0)</f>
        <v>2</v>
      </c>
      <c r="DQ6" s="7">
        <f t="array" ref="DQ6">MATCH(MAX(ABS(DQ3:DQ5)), ABS(DQ3:DQ5), 0)</f>
        <v>2</v>
      </c>
      <c r="DR6" s="7">
        <f t="array" ref="DR6">MATCH(MAX(ABS(DR3:DR5)), ABS(DR3:DR5), 0)</f>
        <v>2</v>
      </c>
      <c r="DS6" s="7">
        <f t="array" ref="DS6">MATCH(MAX(ABS(DS3:DS5)), ABS(DS3:DS5), 0)</f>
        <v>2</v>
      </c>
      <c r="DT6" s="7">
        <f t="array" ref="DT6">MATCH(MAX(ABS(DT3:DT5)), ABS(DT3:DT5), 0)</f>
        <v>1</v>
      </c>
      <c r="DU6" s="7">
        <f t="array" ref="DU6">MATCH(MAX(ABS(DU3:DU5)), ABS(DU3:DU5), 0)</f>
        <v>1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2</v>
      </c>
      <c r="EC6" s="7">
        <f t="array" ref="EC6">MATCH(MAX(ABS(EC3:EC5)), ABS(EC3:EC5), 0)</f>
        <v>3</v>
      </c>
      <c r="ED6" s="7">
        <f t="array" ref="ED6">MATCH(MAX(ABS(ED3:ED5)), ABS(ED3:ED5), 0)</f>
        <v>1</v>
      </c>
      <c r="EE6" s="7">
        <f t="array" ref="EE6">MATCH(MAX(ABS(EE3:EE5)), ABS(EE3:EE5), 0)</f>
        <v>2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7" x14ac:dyDescent="0.3">
      <c r="C7" s="7" t="str">
        <f t="shared" ref="C7:BN7" si="0">IF(C6=1,"bm",IF(C6=2,"size",IF(C6=3,"mom")))</f>
        <v>bm</v>
      </c>
      <c r="D7" s="7" t="str">
        <f t="shared" si="0"/>
        <v>size</v>
      </c>
      <c r="E7" s="7" t="str">
        <f t="shared" si="0"/>
        <v>bm</v>
      </c>
      <c r="F7" s="7" t="str">
        <f t="shared" si="0"/>
        <v>bm</v>
      </c>
      <c r="G7" s="7" t="str">
        <f t="shared" si="0"/>
        <v>bm</v>
      </c>
      <c r="H7" s="7" t="str">
        <f t="shared" si="0"/>
        <v>bm</v>
      </c>
      <c r="I7" s="7" t="str">
        <f t="shared" si="0"/>
        <v>bm</v>
      </c>
      <c r="J7" s="7" t="str">
        <f t="shared" si="0"/>
        <v>size</v>
      </c>
      <c r="K7" s="7" t="str">
        <f t="shared" si="0"/>
        <v>bm</v>
      </c>
      <c r="L7" s="7" t="str">
        <f t="shared" si="0"/>
        <v>bm</v>
      </c>
      <c r="M7" s="7" t="str">
        <f t="shared" si="0"/>
        <v>mom</v>
      </c>
      <c r="N7" s="7" t="str">
        <f t="shared" si="0"/>
        <v>bm</v>
      </c>
      <c r="O7" s="7" t="str">
        <f t="shared" si="0"/>
        <v>size</v>
      </c>
      <c r="P7" s="7" t="str">
        <f t="shared" si="0"/>
        <v>mom</v>
      </c>
      <c r="Q7" s="7" t="str">
        <f t="shared" si="0"/>
        <v>bm</v>
      </c>
      <c r="R7" s="7" t="str">
        <f t="shared" si="0"/>
        <v>size</v>
      </c>
      <c r="S7" s="7" t="str">
        <f t="shared" si="0"/>
        <v>size</v>
      </c>
      <c r="T7" s="7" t="str">
        <f t="shared" si="0"/>
        <v>size</v>
      </c>
      <c r="U7" s="7" t="str">
        <f t="shared" si="0"/>
        <v>bm</v>
      </c>
      <c r="V7" s="7" t="str">
        <f t="shared" si="0"/>
        <v>mom</v>
      </c>
      <c r="W7" s="7" t="str">
        <f t="shared" si="0"/>
        <v>mom</v>
      </c>
      <c r="X7" s="7" t="str">
        <f t="shared" si="0"/>
        <v>size</v>
      </c>
      <c r="Y7" s="7" t="str">
        <f t="shared" si="0"/>
        <v>mom</v>
      </c>
      <c r="Z7" s="7" t="str">
        <f t="shared" si="0"/>
        <v>size</v>
      </c>
      <c r="AA7" s="7" t="str">
        <f t="shared" si="0"/>
        <v>size</v>
      </c>
      <c r="AB7" s="7" t="str">
        <f t="shared" si="0"/>
        <v>size</v>
      </c>
      <c r="AC7" s="7" t="str">
        <f t="shared" si="0"/>
        <v>bm</v>
      </c>
      <c r="AD7" s="7" t="str">
        <f t="shared" si="0"/>
        <v>size</v>
      </c>
      <c r="AE7" s="7" t="str">
        <f t="shared" si="0"/>
        <v>size</v>
      </c>
      <c r="AF7" s="7" t="str">
        <f t="shared" si="0"/>
        <v>mom</v>
      </c>
      <c r="AG7" s="7" t="str">
        <f t="shared" si="0"/>
        <v>mom</v>
      </c>
      <c r="AH7" s="7" t="str">
        <f t="shared" si="0"/>
        <v>size</v>
      </c>
      <c r="AI7" s="7" t="str">
        <f t="shared" si="0"/>
        <v>mom</v>
      </c>
      <c r="AJ7" s="7" t="str">
        <f t="shared" si="0"/>
        <v>size</v>
      </c>
      <c r="AK7" s="7" t="str">
        <f t="shared" si="0"/>
        <v>mom</v>
      </c>
      <c r="AL7" s="7" t="str">
        <f t="shared" si="0"/>
        <v>mom</v>
      </c>
      <c r="AM7" s="7" t="str">
        <f t="shared" si="0"/>
        <v>mom</v>
      </c>
      <c r="AN7" s="7" t="str">
        <f t="shared" si="0"/>
        <v>size</v>
      </c>
      <c r="AO7" s="7" t="str">
        <f t="shared" si="0"/>
        <v>bm</v>
      </c>
      <c r="AP7" s="7" t="str">
        <f t="shared" si="0"/>
        <v>bm</v>
      </c>
      <c r="AQ7" s="7" t="str">
        <f t="shared" si="0"/>
        <v>bm</v>
      </c>
      <c r="AR7" s="7" t="str">
        <f t="shared" si="0"/>
        <v>size</v>
      </c>
      <c r="AS7" s="7" t="str">
        <f t="shared" si="0"/>
        <v>mom</v>
      </c>
      <c r="AT7" s="7" t="str">
        <f t="shared" si="0"/>
        <v>bm</v>
      </c>
      <c r="AU7" s="7" t="str">
        <f t="shared" si="0"/>
        <v>bm</v>
      </c>
      <c r="AV7" s="7" t="str">
        <f t="shared" si="0"/>
        <v>bm</v>
      </c>
      <c r="AW7" s="7" t="str">
        <f t="shared" si="0"/>
        <v>bm</v>
      </c>
      <c r="AX7" s="7" t="str">
        <f t="shared" si="0"/>
        <v>mom</v>
      </c>
      <c r="AY7" s="7" t="str">
        <f t="shared" si="0"/>
        <v>mom</v>
      </c>
      <c r="AZ7" s="7" t="str">
        <f t="shared" si="0"/>
        <v>bm</v>
      </c>
      <c r="BA7" s="7" t="str">
        <f t="shared" si="0"/>
        <v>bm</v>
      </c>
      <c r="BB7" s="7" t="str">
        <f t="shared" si="0"/>
        <v>size</v>
      </c>
      <c r="BC7" s="7" t="str">
        <f t="shared" si="0"/>
        <v>mom</v>
      </c>
      <c r="BD7" s="7" t="str">
        <f t="shared" si="0"/>
        <v>bm</v>
      </c>
      <c r="BE7" s="7" t="str">
        <f t="shared" si="0"/>
        <v>size</v>
      </c>
      <c r="BF7" s="7" t="str">
        <f t="shared" si="0"/>
        <v>size</v>
      </c>
      <c r="BG7" s="7" t="str">
        <f t="shared" si="0"/>
        <v>size</v>
      </c>
      <c r="BH7" s="7" t="str">
        <f t="shared" si="0"/>
        <v>size</v>
      </c>
      <c r="BI7" s="7" t="str">
        <f t="shared" si="0"/>
        <v>bm</v>
      </c>
      <c r="BJ7" s="7" t="str">
        <f t="shared" si="0"/>
        <v>bm</v>
      </c>
      <c r="BK7" s="7" t="str">
        <f t="shared" si="0"/>
        <v>size</v>
      </c>
      <c r="BL7" s="7" t="str">
        <f t="shared" si="0"/>
        <v>size</v>
      </c>
      <c r="BM7" s="7" t="str">
        <f t="shared" si="0"/>
        <v>size</v>
      </c>
      <c r="BN7" s="7" t="str">
        <f t="shared" si="0"/>
        <v>size</v>
      </c>
      <c r="BO7" s="7" t="str">
        <f t="shared" ref="BO7:DZ7" si="1">IF(BO6=1,"bm",IF(BO6=2,"size",IF(BO6=3,"mom")))</f>
        <v>size</v>
      </c>
      <c r="BP7" s="7" t="str">
        <f t="shared" si="1"/>
        <v>bm</v>
      </c>
      <c r="BQ7" s="7" t="str">
        <f t="shared" si="1"/>
        <v>bm</v>
      </c>
      <c r="BR7" s="7" t="str">
        <f t="shared" si="1"/>
        <v>mom</v>
      </c>
      <c r="BS7" s="7" t="str">
        <f t="shared" si="1"/>
        <v>bm</v>
      </c>
      <c r="BT7" s="7" t="str">
        <f t="shared" si="1"/>
        <v>size</v>
      </c>
      <c r="BU7" s="7" t="str">
        <f t="shared" si="1"/>
        <v>bm</v>
      </c>
      <c r="BV7" s="7" t="str">
        <f t="shared" si="1"/>
        <v>bm</v>
      </c>
      <c r="BW7" s="7" t="str">
        <f t="shared" si="1"/>
        <v>bm</v>
      </c>
      <c r="BX7" s="7" t="str">
        <f t="shared" si="1"/>
        <v>bm</v>
      </c>
      <c r="BY7" s="7" t="str">
        <f t="shared" si="1"/>
        <v>size</v>
      </c>
      <c r="BZ7" s="7" t="str">
        <f t="shared" si="1"/>
        <v>bm</v>
      </c>
      <c r="CA7" s="7" t="str">
        <f t="shared" si="1"/>
        <v>size</v>
      </c>
      <c r="CB7" s="7" t="str">
        <f t="shared" si="1"/>
        <v>size</v>
      </c>
      <c r="CC7" s="7" t="str">
        <f t="shared" si="1"/>
        <v>size</v>
      </c>
      <c r="CD7" s="7" t="str">
        <f t="shared" si="1"/>
        <v>size</v>
      </c>
      <c r="CE7" s="7" t="str">
        <f t="shared" si="1"/>
        <v>size</v>
      </c>
      <c r="CF7" s="7" t="str">
        <f t="shared" si="1"/>
        <v>mom</v>
      </c>
      <c r="CG7" s="7" t="str">
        <f t="shared" si="1"/>
        <v>size</v>
      </c>
      <c r="CH7" s="7" t="str">
        <f t="shared" si="1"/>
        <v>bm</v>
      </c>
      <c r="CI7" s="7" t="str">
        <f t="shared" si="1"/>
        <v>size</v>
      </c>
      <c r="CJ7" s="7" t="str">
        <f t="shared" si="1"/>
        <v>bm</v>
      </c>
      <c r="CK7" s="7" t="str">
        <f t="shared" si="1"/>
        <v>bm</v>
      </c>
      <c r="CL7" s="7" t="str">
        <f t="shared" si="1"/>
        <v>bm</v>
      </c>
      <c r="CM7" s="7" t="str">
        <f t="shared" si="1"/>
        <v>mom</v>
      </c>
      <c r="CN7" s="7" t="str">
        <f t="shared" si="1"/>
        <v>mom</v>
      </c>
      <c r="CO7" s="7" t="str">
        <f t="shared" si="1"/>
        <v>mom</v>
      </c>
      <c r="CP7" s="7" t="str">
        <f t="shared" si="1"/>
        <v>bm</v>
      </c>
      <c r="CQ7" s="7" t="str">
        <f t="shared" si="1"/>
        <v>bm</v>
      </c>
      <c r="CR7" s="7" t="str">
        <f t="shared" si="1"/>
        <v>bm</v>
      </c>
      <c r="CS7" s="7" t="str">
        <f t="shared" si="1"/>
        <v>size</v>
      </c>
      <c r="CT7" s="7" t="str">
        <f t="shared" si="1"/>
        <v>bm</v>
      </c>
      <c r="CU7" s="7" t="str">
        <f t="shared" si="1"/>
        <v>bm</v>
      </c>
      <c r="CV7" s="7" t="str">
        <f t="shared" si="1"/>
        <v>bm</v>
      </c>
      <c r="CW7" s="7" t="str">
        <f t="shared" si="1"/>
        <v>bm</v>
      </c>
      <c r="CX7" s="7" t="str">
        <f t="shared" si="1"/>
        <v>size</v>
      </c>
      <c r="CY7" s="7" t="str">
        <f t="shared" si="1"/>
        <v>bm</v>
      </c>
      <c r="CZ7" s="7" t="str">
        <f t="shared" si="1"/>
        <v>bm</v>
      </c>
      <c r="DA7" s="7" t="str">
        <f t="shared" si="1"/>
        <v>bm</v>
      </c>
      <c r="DB7" s="7" t="str">
        <f t="shared" si="1"/>
        <v>bm</v>
      </c>
      <c r="DC7" s="7" t="str">
        <f t="shared" si="1"/>
        <v>mom</v>
      </c>
      <c r="DD7" s="7" t="str">
        <f t="shared" si="1"/>
        <v>bm</v>
      </c>
      <c r="DE7" s="7" t="str">
        <f t="shared" si="1"/>
        <v>mom</v>
      </c>
      <c r="DF7" s="7" t="str">
        <f t="shared" si="1"/>
        <v>size</v>
      </c>
      <c r="DG7" s="7" t="str">
        <f t="shared" si="1"/>
        <v>bm</v>
      </c>
      <c r="DH7" s="7" t="str">
        <f t="shared" si="1"/>
        <v>bm</v>
      </c>
      <c r="DI7" s="7" t="str">
        <f t="shared" si="1"/>
        <v>mom</v>
      </c>
      <c r="DJ7" s="7" t="str">
        <f t="shared" si="1"/>
        <v>size</v>
      </c>
      <c r="DK7" s="7" t="str">
        <f t="shared" si="1"/>
        <v>bm</v>
      </c>
      <c r="DL7" s="7" t="str">
        <f t="shared" si="1"/>
        <v>mom</v>
      </c>
      <c r="DM7" s="7" t="str">
        <f t="shared" si="1"/>
        <v>bm</v>
      </c>
      <c r="DN7" s="7" t="str">
        <f t="shared" si="1"/>
        <v>size</v>
      </c>
      <c r="DO7" s="7" t="str">
        <f t="shared" si="1"/>
        <v>size</v>
      </c>
      <c r="DP7" s="7" t="str">
        <f t="shared" si="1"/>
        <v>size</v>
      </c>
      <c r="DQ7" s="7" t="str">
        <f t="shared" si="1"/>
        <v>size</v>
      </c>
      <c r="DR7" s="7" t="str">
        <f t="shared" si="1"/>
        <v>size</v>
      </c>
      <c r="DS7" s="7" t="str">
        <f t="shared" si="1"/>
        <v>size</v>
      </c>
      <c r="DT7" s="7" t="str">
        <f t="shared" si="1"/>
        <v>bm</v>
      </c>
      <c r="DU7" s="7" t="str">
        <f t="shared" si="1"/>
        <v>bm</v>
      </c>
      <c r="DV7" s="7" t="str">
        <f t="shared" si="1"/>
        <v>bm</v>
      </c>
      <c r="DW7" s="7" t="str">
        <f t="shared" si="1"/>
        <v>bm</v>
      </c>
      <c r="DX7" s="7" t="str">
        <f t="shared" si="1"/>
        <v>mom</v>
      </c>
      <c r="DY7" s="7" t="str">
        <f t="shared" si="1"/>
        <v>mom</v>
      </c>
      <c r="DZ7" s="7" t="str">
        <f t="shared" si="1"/>
        <v>mom</v>
      </c>
      <c r="EA7" s="7" t="str">
        <f t="shared" ref="EA7:EG7" si="2">IF(EA6=1,"bm",IF(EA6=2,"size",IF(EA6=3,"mom")))</f>
        <v>size</v>
      </c>
      <c r="EB7" s="7" t="str">
        <f t="shared" si="2"/>
        <v>size</v>
      </c>
      <c r="EC7" s="7" t="str">
        <f t="shared" si="2"/>
        <v>mom</v>
      </c>
      <c r="ED7" s="7" t="str">
        <f t="shared" si="2"/>
        <v>bm</v>
      </c>
      <c r="EE7" s="7" t="str">
        <f t="shared" si="2"/>
        <v>size</v>
      </c>
      <c r="EF7" s="7" t="str">
        <f t="shared" si="2"/>
        <v>bm</v>
      </c>
      <c r="EG7" s="1" t="str">
        <f t="shared" si="2"/>
        <v>bm</v>
      </c>
    </row>
    <row r="8" spans="1:137" x14ac:dyDescent="0.3">
      <c r="C8" s="7">
        <f t="shared" ref="C8:BN8" si="3">IF(C6=1,C3,IF(C6=2,C4,IF(C6=3,C5)))</f>
        <v>4.0547288954257972E-2</v>
      </c>
      <c r="D8" s="7">
        <f t="shared" si="3"/>
        <v>-4.8252779990434647E-2</v>
      </c>
      <c r="E8" s="7">
        <f t="shared" si="3"/>
        <v>-5.1652342081069953E-2</v>
      </c>
      <c r="F8" s="7">
        <f t="shared" si="3"/>
        <v>-5.4286114871501923E-2</v>
      </c>
      <c r="G8" s="7">
        <f t="shared" si="3"/>
        <v>-5.7552006095647812E-2</v>
      </c>
      <c r="H8" s="7">
        <f t="shared" si="3"/>
        <v>-7.6259449124336243E-2</v>
      </c>
      <c r="I8" s="7">
        <f t="shared" si="3"/>
        <v>-0.107886478304863</v>
      </c>
      <c r="J8" s="7">
        <f t="shared" si="3"/>
        <v>-3.2917611300945282E-2</v>
      </c>
      <c r="K8" s="7">
        <f t="shared" si="3"/>
        <v>-5.9229228645563133E-2</v>
      </c>
      <c r="L8" s="7">
        <f t="shared" si="3"/>
        <v>-0.1078036949038506</v>
      </c>
      <c r="M8" s="7">
        <f t="shared" si="3"/>
        <v>3.4981705248355872E-2</v>
      </c>
      <c r="N8" s="7">
        <f t="shared" si="3"/>
        <v>-0.1346741318702698</v>
      </c>
      <c r="O8" s="7">
        <f t="shared" si="3"/>
        <v>-6.7216232419013977E-2</v>
      </c>
      <c r="P8" s="7">
        <f t="shared" si="3"/>
        <v>9.211605042219162E-2</v>
      </c>
      <c r="Q8" s="7">
        <f t="shared" si="3"/>
        <v>-8.6447760462760925E-2</v>
      </c>
      <c r="R8" s="7">
        <f t="shared" si="3"/>
        <v>-7.7407129108905792E-2</v>
      </c>
      <c r="S8" s="7">
        <f t="shared" si="3"/>
        <v>-8.372652530670166E-2</v>
      </c>
      <c r="T8" s="7">
        <f t="shared" si="3"/>
        <v>-5.9324655681848533E-2</v>
      </c>
      <c r="U8" s="7">
        <f t="shared" si="3"/>
        <v>-0.10543976724147799</v>
      </c>
      <c r="V8" s="7">
        <f t="shared" si="3"/>
        <v>6.5072879195213318E-2</v>
      </c>
      <c r="W8" s="7">
        <f t="shared" si="3"/>
        <v>8.2305394113063812E-2</v>
      </c>
      <c r="X8" s="7">
        <f t="shared" si="3"/>
        <v>-9.8803862929344177E-2</v>
      </c>
      <c r="Y8" s="7">
        <f t="shared" si="3"/>
        <v>0.16213490068912509</v>
      </c>
      <c r="Z8" s="7">
        <f t="shared" si="3"/>
        <v>-6.800408661365509E-2</v>
      </c>
      <c r="AA8" s="7">
        <f t="shared" si="3"/>
        <v>-8.6181230843067169E-2</v>
      </c>
      <c r="AB8" s="7">
        <f t="shared" si="3"/>
        <v>-8.889392763376236E-2</v>
      </c>
      <c r="AC8" s="7">
        <f t="shared" si="3"/>
        <v>2.934014052152634E-2</v>
      </c>
      <c r="AD8" s="7">
        <f t="shared" si="3"/>
        <v>6.3448823988437653E-2</v>
      </c>
      <c r="AE8" s="7">
        <f t="shared" si="3"/>
        <v>-5.9580553323030472E-2</v>
      </c>
      <c r="AF8" s="7">
        <f t="shared" si="3"/>
        <v>6.4355872571468353E-2</v>
      </c>
      <c r="AG8" s="7">
        <f t="shared" si="3"/>
        <v>6.0781430453062057E-2</v>
      </c>
      <c r="AH8" s="7">
        <f t="shared" si="3"/>
        <v>2.907080203294754E-2</v>
      </c>
      <c r="AI8" s="7">
        <f t="shared" si="3"/>
        <v>4.2393732815980911E-2</v>
      </c>
      <c r="AJ8" s="7">
        <f t="shared" si="3"/>
        <v>4.4545106589794159E-2</v>
      </c>
      <c r="AK8" s="7">
        <f t="shared" si="3"/>
        <v>0.104340173304081</v>
      </c>
      <c r="AL8" s="7">
        <f t="shared" si="3"/>
        <v>2.3477694019675251E-2</v>
      </c>
      <c r="AM8" s="7">
        <f t="shared" si="3"/>
        <v>4.9679871648550027E-2</v>
      </c>
      <c r="AN8" s="7">
        <f t="shared" si="3"/>
        <v>4.7137059271335602E-2</v>
      </c>
      <c r="AO8" s="7">
        <f t="shared" si="3"/>
        <v>-2.9745671898126599E-2</v>
      </c>
      <c r="AP8" s="7">
        <f t="shared" si="3"/>
        <v>-2.683783695101738E-2</v>
      </c>
      <c r="AQ8" s="7">
        <f t="shared" si="3"/>
        <v>-2.169711887836456E-2</v>
      </c>
      <c r="AR8" s="7">
        <f t="shared" si="3"/>
        <v>5.4104723036289222E-2</v>
      </c>
      <c r="AS8" s="7">
        <f t="shared" si="3"/>
        <v>-2.6926254853606221E-2</v>
      </c>
      <c r="AT8" s="7">
        <f t="shared" si="3"/>
        <v>6.6039755940437317E-2</v>
      </c>
      <c r="AU8" s="7">
        <f t="shared" si="3"/>
        <v>6.2266789376735687E-2</v>
      </c>
      <c r="AV8" s="7">
        <f t="shared" si="3"/>
        <v>5.7940512895584113E-2</v>
      </c>
      <c r="AW8" s="7">
        <f t="shared" si="3"/>
        <v>0.1063941121101379</v>
      </c>
      <c r="AX8" s="7">
        <f t="shared" si="3"/>
        <v>2.7402361854910851E-2</v>
      </c>
      <c r="AY8" s="7">
        <f t="shared" si="3"/>
        <v>3.636043518781662E-2</v>
      </c>
      <c r="AZ8" s="7">
        <f t="shared" si="3"/>
        <v>8.6036309599876404E-2</v>
      </c>
      <c r="BA8" s="7">
        <f t="shared" si="3"/>
        <v>0.10234846919775011</v>
      </c>
      <c r="BB8" s="7">
        <f t="shared" si="3"/>
        <v>-7.6676465570926666E-2</v>
      </c>
      <c r="BC8" s="7">
        <f t="shared" si="3"/>
        <v>5.3017329424619668E-2</v>
      </c>
      <c r="BD8" s="7">
        <f t="shared" si="3"/>
        <v>7.7497914433479309E-2</v>
      </c>
      <c r="BE8" s="7">
        <f t="shared" si="3"/>
        <v>-6.8554230034351349E-2</v>
      </c>
      <c r="BF8" s="7">
        <f t="shared" si="3"/>
        <v>-8.2745306193828583E-2</v>
      </c>
      <c r="BG8" s="7">
        <f t="shared" si="3"/>
        <v>-0.1204242408275604</v>
      </c>
      <c r="BH8" s="7">
        <f t="shared" si="3"/>
        <v>-0.10103762894868849</v>
      </c>
      <c r="BI8" s="7">
        <f t="shared" si="3"/>
        <v>5.5158428847789757E-2</v>
      </c>
      <c r="BJ8" s="7">
        <f t="shared" si="3"/>
        <v>8.664897084236145E-2</v>
      </c>
      <c r="BK8" s="7">
        <f t="shared" si="3"/>
        <v>-0.14447127282619479</v>
      </c>
      <c r="BL8" s="7">
        <f t="shared" si="3"/>
        <v>-0.1120113208889961</v>
      </c>
      <c r="BM8" s="7">
        <f t="shared" si="3"/>
        <v>-3.4826010465621948E-2</v>
      </c>
      <c r="BN8" s="7">
        <f t="shared" si="3"/>
        <v>-8.5986465215682983E-2</v>
      </c>
      <c r="BO8" s="7">
        <f t="shared" ref="BO8:DZ8" si="4">IF(BO6=1,BO3,IF(BO6=2,BO4,IF(BO6=3,BO5)))</f>
        <v>-7.0973977446556091E-2</v>
      </c>
      <c r="BP8" s="7">
        <f t="shared" si="4"/>
        <v>8.6037963628768921E-2</v>
      </c>
      <c r="BQ8" s="7">
        <f t="shared" si="4"/>
        <v>0.144142210483551</v>
      </c>
      <c r="BR8" s="7">
        <f t="shared" si="4"/>
        <v>3.9869185537099838E-2</v>
      </c>
      <c r="BS8" s="7">
        <f t="shared" si="4"/>
        <v>8.1880234181880951E-2</v>
      </c>
      <c r="BT8" s="7">
        <f t="shared" si="4"/>
        <v>-6.8826571106910706E-2</v>
      </c>
      <c r="BU8" s="7">
        <f t="shared" si="4"/>
        <v>0.10545723885297779</v>
      </c>
      <c r="BV8" s="7">
        <f t="shared" si="4"/>
        <v>0.1175376549363136</v>
      </c>
      <c r="BW8" s="7">
        <f t="shared" si="4"/>
        <v>9.2942401766777039E-2</v>
      </c>
      <c r="BX8" s="7">
        <f t="shared" si="4"/>
        <v>3.5637497901916497E-2</v>
      </c>
      <c r="BY8" s="7">
        <f t="shared" si="4"/>
        <v>-6.1186797916889191E-2</v>
      </c>
      <c r="BZ8" s="7">
        <f t="shared" si="4"/>
        <v>9.8455093801021576E-2</v>
      </c>
      <c r="CA8" s="7">
        <f t="shared" si="4"/>
        <v>-7.2609454393386841E-2</v>
      </c>
      <c r="CB8" s="7">
        <f t="shared" si="4"/>
        <v>-8.8862821459770203E-2</v>
      </c>
      <c r="CC8" s="7">
        <f t="shared" si="4"/>
        <v>-6.5672166645526886E-2</v>
      </c>
      <c r="CD8" s="7">
        <f t="shared" si="4"/>
        <v>-7.0492014288902283E-2</v>
      </c>
      <c r="CE8" s="7">
        <f t="shared" si="4"/>
        <v>-8.9266888797283173E-2</v>
      </c>
      <c r="CF8" s="7">
        <f t="shared" si="4"/>
        <v>2.643934823572636E-2</v>
      </c>
      <c r="CG8" s="7">
        <f t="shared" si="4"/>
        <v>-3.8807325065135963E-2</v>
      </c>
      <c r="CH8" s="7">
        <f t="shared" si="4"/>
        <v>5.8184977620840073E-2</v>
      </c>
      <c r="CI8" s="7">
        <f t="shared" si="4"/>
        <v>-2.3996761068701741E-2</v>
      </c>
      <c r="CJ8" s="7">
        <f t="shared" si="4"/>
        <v>-8.0891326069831848E-2</v>
      </c>
      <c r="CK8" s="7">
        <f t="shared" si="4"/>
        <v>7.3738843202590942E-2</v>
      </c>
      <c r="CL8" s="7">
        <f t="shared" si="4"/>
        <v>6.7692369222640991E-2</v>
      </c>
      <c r="CM8" s="7">
        <f t="shared" si="4"/>
        <v>-4.3408293277025223E-2</v>
      </c>
      <c r="CN8" s="7">
        <f t="shared" si="4"/>
        <v>-4.8494711518287659E-2</v>
      </c>
      <c r="CO8" s="7">
        <f t="shared" si="4"/>
        <v>-3.4412361681461327E-2</v>
      </c>
      <c r="CP8" s="7">
        <f t="shared" si="4"/>
        <v>-5.2108332514762878E-2</v>
      </c>
      <c r="CQ8" s="7">
        <f t="shared" si="4"/>
        <v>-7.2693914175033569E-2</v>
      </c>
      <c r="CR8" s="7">
        <f t="shared" si="4"/>
        <v>-6.0804408043622971E-2</v>
      </c>
      <c r="CS8" s="7">
        <f t="shared" si="4"/>
        <v>-3.7506073713302612E-2</v>
      </c>
      <c r="CT8" s="7">
        <f t="shared" si="4"/>
        <v>-6.339031457901001E-2</v>
      </c>
      <c r="CU8" s="7">
        <f t="shared" si="4"/>
        <v>-6.1079829931259162E-2</v>
      </c>
      <c r="CV8" s="7">
        <f t="shared" si="4"/>
        <v>-2.170033194124699E-2</v>
      </c>
      <c r="CW8" s="7">
        <f t="shared" si="4"/>
        <v>-6.0720678418874741E-2</v>
      </c>
      <c r="CX8" s="7">
        <f t="shared" si="4"/>
        <v>-7.7818602323532104E-2</v>
      </c>
      <c r="CY8" s="7">
        <f t="shared" si="4"/>
        <v>-4.5480586588382721E-2</v>
      </c>
      <c r="CZ8" s="7">
        <f t="shared" si="4"/>
        <v>-6.9138072431087494E-2</v>
      </c>
      <c r="DA8" s="7">
        <f t="shared" si="4"/>
        <v>-8.9778468012809753E-2</v>
      </c>
      <c r="DB8" s="7">
        <f t="shared" si="4"/>
        <v>-6.527487188577652E-2</v>
      </c>
      <c r="DC8" s="7">
        <f t="shared" si="4"/>
        <v>4.6531397849321372E-2</v>
      </c>
      <c r="DD8" s="7">
        <f t="shared" si="4"/>
        <v>-5.9340178966522217E-2</v>
      </c>
      <c r="DE8" s="7">
        <f t="shared" si="4"/>
        <v>6.0277972370386117E-2</v>
      </c>
      <c r="DF8" s="7">
        <f t="shared" si="4"/>
        <v>3.3347133547067642E-2</v>
      </c>
      <c r="DG8" s="7">
        <f t="shared" si="4"/>
        <v>-2.4713881313800808E-2</v>
      </c>
      <c r="DH8" s="7">
        <f t="shared" si="4"/>
        <v>-3.5376153886318207E-2</v>
      </c>
      <c r="DI8" s="7">
        <f t="shared" si="4"/>
        <v>-4.1918892413377762E-2</v>
      </c>
      <c r="DJ8" s="7">
        <f t="shared" si="4"/>
        <v>1.416372787207365E-2</v>
      </c>
      <c r="DK8" s="7">
        <f t="shared" si="4"/>
        <v>-4.8771854490041733E-2</v>
      </c>
      <c r="DL8" s="7">
        <f t="shared" si="4"/>
        <v>2.8391024097800251E-2</v>
      </c>
      <c r="DM8" s="7">
        <f t="shared" si="4"/>
        <v>-4.967803880572319E-2</v>
      </c>
      <c r="DN8" s="7">
        <f t="shared" si="4"/>
        <v>-1.9859654828906059E-2</v>
      </c>
      <c r="DO8" s="7">
        <f t="shared" si="4"/>
        <v>-3.856055811047554E-2</v>
      </c>
      <c r="DP8" s="7">
        <f t="shared" si="4"/>
        <v>5.259593203663826E-2</v>
      </c>
      <c r="DQ8" s="7">
        <f t="shared" si="4"/>
        <v>5.0834372639656067E-2</v>
      </c>
      <c r="DR8" s="7">
        <f t="shared" si="4"/>
        <v>3.4424390643835068E-2</v>
      </c>
      <c r="DS8" s="7">
        <f t="shared" si="4"/>
        <v>2.6739172637462619E-2</v>
      </c>
      <c r="DT8" s="7">
        <f t="shared" si="4"/>
        <v>-5.3663063794374473E-2</v>
      </c>
      <c r="DU8" s="7">
        <f t="shared" si="4"/>
        <v>-4.4161681085824973E-2</v>
      </c>
      <c r="DV8" s="7">
        <f t="shared" si="4"/>
        <v>-2.3813089355826381E-2</v>
      </c>
      <c r="DW8" s="7">
        <f t="shared" si="4"/>
        <v>2.5176366791129109E-2</v>
      </c>
      <c r="DX8" s="7">
        <f t="shared" si="4"/>
        <v>-4.4376425445079803E-2</v>
      </c>
      <c r="DY8" s="7">
        <f t="shared" si="4"/>
        <v>-3.3609867095947273E-2</v>
      </c>
      <c r="DZ8" s="7">
        <f t="shared" si="4"/>
        <v>-4.8759568482637412E-2</v>
      </c>
      <c r="EA8" s="7">
        <f t="shared" ref="EA8:EG8" si="5">IF(EA6=1,EA3,IF(EA6=2,EA4,IF(EA6=3,EA5)))</f>
        <v>2.0058911293745041E-2</v>
      </c>
      <c r="EB8" s="7">
        <f t="shared" si="5"/>
        <v>5.2505847066640847E-2</v>
      </c>
      <c r="EC8" s="7">
        <f t="shared" si="5"/>
        <v>4.229099303483963E-2</v>
      </c>
      <c r="ED8" s="7">
        <f t="shared" si="5"/>
        <v>-5.2812475711107247E-2</v>
      </c>
      <c r="EE8" s="7">
        <f t="shared" si="5"/>
        <v>1.6591379418969151E-2</v>
      </c>
      <c r="EF8" s="7">
        <f t="shared" si="5"/>
        <v>-6.9071874022483826E-2</v>
      </c>
      <c r="EG8" s="1">
        <f t="shared" si="5"/>
        <v>0</v>
      </c>
    </row>
    <row r="10" spans="1:137" x14ac:dyDescent="0.3">
      <c r="A10" s="10" t="s">
        <v>139</v>
      </c>
      <c r="B10" s="11"/>
      <c r="C10" s="1" t="s">
        <v>140</v>
      </c>
      <c r="D10" s="2">
        <v>964</v>
      </c>
    </row>
    <row r="11" spans="1:137" x14ac:dyDescent="0.3">
      <c r="A11" s="1" t="s">
        <v>149</v>
      </c>
      <c r="B11" s="1" t="s">
        <v>141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  <c r="P11" s="1" t="s">
        <v>15</v>
      </c>
      <c r="Q11" s="1" t="s">
        <v>16</v>
      </c>
      <c r="R11" s="1" t="s">
        <v>17</v>
      </c>
      <c r="S11" s="1" t="s">
        <v>18</v>
      </c>
      <c r="T11" s="1" t="s">
        <v>19</v>
      </c>
      <c r="U11" s="1" t="s">
        <v>20</v>
      </c>
      <c r="V11" s="1" t="s">
        <v>21</v>
      </c>
      <c r="W11" s="1" t="s">
        <v>22</v>
      </c>
      <c r="X11" s="1" t="s">
        <v>23</v>
      </c>
      <c r="Y11" s="1" t="s">
        <v>24</v>
      </c>
      <c r="Z11" s="1" t="s">
        <v>25</v>
      </c>
      <c r="AA11" s="1" t="s">
        <v>26</v>
      </c>
      <c r="AB11" s="1" t="s">
        <v>27</v>
      </c>
      <c r="AC11" s="1" t="s">
        <v>28</v>
      </c>
      <c r="AD11" s="1" t="s">
        <v>29</v>
      </c>
      <c r="AE11" s="1" t="s">
        <v>30</v>
      </c>
      <c r="AF11" s="1" t="s">
        <v>31</v>
      </c>
      <c r="AG11" s="1" t="s">
        <v>32</v>
      </c>
      <c r="AH11" s="1" t="s">
        <v>33</v>
      </c>
      <c r="AI11" s="1" t="s">
        <v>34</v>
      </c>
      <c r="AJ11" s="1" t="s">
        <v>35</v>
      </c>
      <c r="AK11" s="1" t="s">
        <v>36</v>
      </c>
      <c r="AL11" s="1" t="s">
        <v>37</v>
      </c>
      <c r="AM11" s="1" t="s">
        <v>38</v>
      </c>
      <c r="AN11" s="1" t="s">
        <v>39</v>
      </c>
      <c r="AO11" s="1" t="s">
        <v>40</v>
      </c>
      <c r="AP11" s="1" t="s">
        <v>41</v>
      </c>
      <c r="AQ11" s="1" t="s">
        <v>42</v>
      </c>
      <c r="AR11" s="1" t="s">
        <v>43</v>
      </c>
      <c r="AS11" s="1" t="s">
        <v>44</v>
      </c>
      <c r="AT11" s="1" t="s">
        <v>45</v>
      </c>
      <c r="AU11" s="1" t="s">
        <v>46</v>
      </c>
      <c r="AV11" s="1" t="s">
        <v>47</v>
      </c>
      <c r="AW11" s="1" t="s">
        <v>48</v>
      </c>
      <c r="AX11" s="1" t="s">
        <v>49</v>
      </c>
      <c r="AY11" s="1" t="s">
        <v>50</v>
      </c>
      <c r="AZ11" s="1" t="s">
        <v>51</v>
      </c>
      <c r="BA11" s="1" t="s">
        <v>52</v>
      </c>
      <c r="BB11" s="1" t="s">
        <v>53</v>
      </c>
      <c r="BC11" s="1" t="s">
        <v>54</v>
      </c>
      <c r="BD11" s="1" t="s">
        <v>55</v>
      </c>
      <c r="BE11" s="1" t="s">
        <v>56</v>
      </c>
      <c r="BF11" s="1" t="s">
        <v>57</v>
      </c>
      <c r="BG11" s="1" t="s">
        <v>58</v>
      </c>
      <c r="BH11" s="1" t="s">
        <v>59</v>
      </c>
      <c r="BI11" s="1" t="s">
        <v>60</v>
      </c>
      <c r="BJ11" s="1" t="s">
        <v>61</v>
      </c>
      <c r="BK11" s="1" t="s">
        <v>62</v>
      </c>
      <c r="BL11" s="1" t="s">
        <v>63</v>
      </c>
      <c r="BM11" s="1" t="s">
        <v>64</v>
      </c>
      <c r="BN11" s="1" t="s">
        <v>65</v>
      </c>
      <c r="BO11" s="1" t="s">
        <v>66</v>
      </c>
      <c r="BP11" s="1" t="s">
        <v>67</v>
      </c>
      <c r="BQ11" s="1" t="s">
        <v>68</v>
      </c>
      <c r="BR11" s="1" t="s">
        <v>69</v>
      </c>
      <c r="BS11" s="1" t="s">
        <v>70</v>
      </c>
      <c r="BT11" s="1" t="s">
        <v>71</v>
      </c>
      <c r="BU11" s="1" t="s">
        <v>72</v>
      </c>
      <c r="BV11" s="1" t="s">
        <v>73</v>
      </c>
      <c r="BW11" s="1" t="s">
        <v>74</v>
      </c>
      <c r="BX11" s="1" t="s">
        <v>75</v>
      </c>
      <c r="BY11" s="1" t="s">
        <v>76</v>
      </c>
      <c r="BZ11" s="1" t="s">
        <v>77</v>
      </c>
      <c r="CA11" s="1" t="s">
        <v>78</v>
      </c>
      <c r="CB11" s="1" t="s">
        <v>79</v>
      </c>
      <c r="CC11" s="1" t="s">
        <v>80</v>
      </c>
      <c r="CD11" s="1" t="s">
        <v>81</v>
      </c>
      <c r="CE11" s="1" t="s">
        <v>82</v>
      </c>
      <c r="CF11" s="1" t="s">
        <v>83</v>
      </c>
      <c r="CG11" s="1" t="s">
        <v>84</v>
      </c>
      <c r="CH11" s="1" t="s">
        <v>85</v>
      </c>
      <c r="CI11" s="1" t="s">
        <v>86</v>
      </c>
      <c r="CJ11" s="1" t="s">
        <v>87</v>
      </c>
      <c r="CK11" s="1" t="s">
        <v>88</v>
      </c>
      <c r="CL11" s="1" t="s">
        <v>89</v>
      </c>
      <c r="CM11" s="1" t="s">
        <v>90</v>
      </c>
      <c r="CN11" s="1" t="s">
        <v>91</v>
      </c>
      <c r="CO11" s="1" t="s">
        <v>92</v>
      </c>
      <c r="CP11" s="1" t="s">
        <v>93</v>
      </c>
      <c r="CQ11" s="1" t="s">
        <v>94</v>
      </c>
      <c r="CR11" s="1" t="s">
        <v>95</v>
      </c>
      <c r="CS11" s="1" t="s">
        <v>96</v>
      </c>
      <c r="CT11" s="1" t="s">
        <v>97</v>
      </c>
      <c r="CU11" s="1" t="s">
        <v>98</v>
      </c>
      <c r="CV11" s="1" t="s">
        <v>99</v>
      </c>
      <c r="CW11" s="1" t="s">
        <v>100</v>
      </c>
      <c r="CX11" s="1" t="s">
        <v>101</v>
      </c>
      <c r="CY11" s="1" t="s">
        <v>102</v>
      </c>
      <c r="CZ11" s="1" t="s">
        <v>103</v>
      </c>
      <c r="DA11" s="1" t="s">
        <v>104</v>
      </c>
      <c r="DB11" s="1" t="s">
        <v>105</v>
      </c>
      <c r="DC11" s="1" t="s">
        <v>106</v>
      </c>
      <c r="DD11" s="1" t="s">
        <v>107</v>
      </c>
      <c r="DE11" s="1" t="s">
        <v>108</v>
      </c>
      <c r="DF11" s="1" t="s">
        <v>109</v>
      </c>
      <c r="DG11" s="1" t="s">
        <v>110</v>
      </c>
      <c r="DH11" s="1" t="s">
        <v>111</v>
      </c>
      <c r="DI11" s="1" t="s">
        <v>112</v>
      </c>
      <c r="DJ11" s="1" t="s">
        <v>113</v>
      </c>
      <c r="DK11" s="1" t="s">
        <v>114</v>
      </c>
      <c r="DL11" s="1" t="s">
        <v>115</v>
      </c>
      <c r="DM11" s="1" t="s">
        <v>116</v>
      </c>
      <c r="DN11" s="1" t="s">
        <v>117</v>
      </c>
      <c r="DO11" s="1" t="s">
        <v>118</v>
      </c>
      <c r="DP11" s="1" t="s">
        <v>119</v>
      </c>
      <c r="DQ11" s="1" t="s">
        <v>120</v>
      </c>
      <c r="DR11" s="1" t="s">
        <v>121</v>
      </c>
      <c r="DS11" s="1" t="s">
        <v>122</v>
      </c>
      <c r="DT11" s="1" t="s">
        <v>123</v>
      </c>
      <c r="DU11" s="1" t="s">
        <v>124</v>
      </c>
      <c r="DV11" s="1" t="s">
        <v>125</v>
      </c>
      <c r="DW11" s="1" t="s">
        <v>126</v>
      </c>
      <c r="DX11" s="1" t="s">
        <v>127</v>
      </c>
      <c r="DY11" s="1" t="s">
        <v>128</v>
      </c>
      <c r="DZ11" s="1" t="s">
        <v>129</v>
      </c>
      <c r="EA11" s="1" t="s">
        <v>130</v>
      </c>
      <c r="EB11" s="1" t="s">
        <v>131</v>
      </c>
      <c r="EC11" s="1" t="s">
        <v>132</v>
      </c>
      <c r="ED11" s="1" t="s">
        <v>133</v>
      </c>
      <c r="EE11" s="1" t="s">
        <v>134</v>
      </c>
      <c r="EF11" s="1" t="s">
        <v>143</v>
      </c>
    </row>
    <row r="12" spans="1:137" x14ac:dyDescent="0.3">
      <c r="A12" s="1">
        <v>96</v>
      </c>
      <c r="B12" s="1" t="s">
        <v>150</v>
      </c>
      <c r="C12" s="7">
        <v>4.7013508994228799E-2</v>
      </c>
      <c r="D12" s="7">
        <f>C12+預測IC!D12</f>
        <v>0.1617021380394523</v>
      </c>
      <c r="E12" s="7">
        <f>D12+預測IC!E12</f>
        <v>0.16845616639781022</v>
      </c>
      <c r="F12" s="7">
        <f>E12+預測IC!F12</f>
        <v>0.18832499134571656</v>
      </c>
      <c r="G12" s="7">
        <f>F12+預測IC!G12</f>
        <v>0.18042064459978821</v>
      </c>
      <c r="H12" s="7">
        <f>G12+預測IC!H12</f>
        <v>0.17106126083803255</v>
      </c>
      <c r="I12" s="7">
        <f>H12+預測IC!I12</f>
        <v>0.13475732398898055</v>
      </c>
      <c r="J12" s="7">
        <f>I12+預測IC!J12</f>
        <v>0.10534920114999069</v>
      </c>
      <c r="K12" s="7">
        <f>J12+預測IC!K12</f>
        <v>0.1163376050028128</v>
      </c>
      <c r="L12" s="7">
        <f>K12+預測IC!L12</f>
        <v>0.11861483578377607</v>
      </c>
      <c r="M12" s="7">
        <f>L12+預測IC!M12</f>
        <v>0.14550400961698301</v>
      </c>
      <c r="N12" s="7">
        <f>M12+預測IC!N12</f>
        <v>9.34299019416239E-2</v>
      </c>
      <c r="O12" s="7">
        <f>N12+預測IC!O12</f>
        <v>0.11067064099667648</v>
      </c>
      <c r="P12" s="7">
        <f>O12+預測IC!P12</f>
        <v>0.11041631288851937</v>
      </c>
      <c r="Q12" s="7">
        <f>P12+預測IC!Q12</f>
        <v>0.14420909700942711</v>
      </c>
      <c r="R12" s="7">
        <f>Q12+預測IC!R12</f>
        <v>0.15087198080466396</v>
      </c>
      <c r="S12" s="7">
        <f>R12+預測IC!S12</f>
        <v>0.13439958606273192</v>
      </c>
      <c r="T12" s="7">
        <f>S12+預測IC!T12</f>
        <v>0.12665978599371891</v>
      </c>
      <c r="U12" s="7">
        <f>T12+預測IC!U12</f>
        <v>0.14702700654684991</v>
      </c>
      <c r="V12" s="7">
        <f>U12+預測IC!V12</f>
        <v>0.15653796020049815</v>
      </c>
      <c r="W12" s="7">
        <f>V12+預測IC!W12</f>
        <v>0.12812029734233502</v>
      </c>
      <c r="X12" s="7">
        <f>W12+預測IC!X12</f>
        <v>0.15519418776688212</v>
      </c>
      <c r="Y12" s="7">
        <f>X12+預測IC!Y12</f>
        <v>0.1757925812945734</v>
      </c>
      <c r="Z12" s="7">
        <f>Y12+預測IC!Z12</f>
        <v>0.18095848890437691</v>
      </c>
      <c r="AA12" s="7">
        <f>Z12+預測IC!AA12</f>
        <v>0.16944594319215117</v>
      </c>
      <c r="AB12" s="7">
        <f>AA12+預測IC!AB12</f>
        <v>0.1657345247768178</v>
      </c>
      <c r="AC12" s="7">
        <f>AB12+預測IC!AC12</f>
        <v>0.20084928884046421</v>
      </c>
      <c r="AD12" s="7">
        <f>AC12+預測IC!AD12</f>
        <v>0.19145704550878445</v>
      </c>
      <c r="AE12" s="7">
        <f>AD12+預測IC!AE12</f>
        <v>0.13314008243768558</v>
      </c>
      <c r="AF12" s="7">
        <f>AE12+預測IC!AF12</f>
        <v>8.1127979660917893E-2</v>
      </c>
      <c r="AG12" s="7">
        <f>AF12+預測IC!AG12</f>
        <v>7.7313049240108053E-2</v>
      </c>
      <c r="AH12" s="7">
        <f>AG12+預測IC!AH12</f>
        <v>5.6212390317646507E-2</v>
      </c>
      <c r="AI12" s="7">
        <f>AH12+預測IC!AI12</f>
        <v>6.5006182809908081E-2</v>
      </c>
      <c r="AJ12" s="7">
        <f>AI12+預測IC!AJ12</f>
        <v>4.3943920116234506E-2</v>
      </c>
      <c r="AK12" s="7">
        <f>AJ12+預測IC!AK12</f>
        <v>2.7468551892098826E-2</v>
      </c>
      <c r="AL12" s="7">
        <f>AK12+預測IC!AL12</f>
        <v>-2.033193805997846E-2</v>
      </c>
      <c r="AM12" s="7">
        <f>AL12+預測IC!AM12</f>
        <v>-3.6251860536911408E-3</v>
      </c>
      <c r="AN12" s="7">
        <f>AM12+預測IC!AN12</f>
        <v>-6.0758476013329676E-2</v>
      </c>
      <c r="AO12" s="7">
        <f>AN12+預測IC!AO12</f>
        <v>-6.2987269053002726E-2</v>
      </c>
      <c r="AP12" s="7">
        <f>AO12+預測IC!AP12</f>
        <v>-2.9268924271153574E-2</v>
      </c>
      <c r="AQ12" s="7">
        <f>AP12+預測IC!AQ12</f>
        <v>-2.1646987882569767E-2</v>
      </c>
      <c r="AR12" s="7">
        <f>AQ12+預測IC!AR12</f>
        <v>-1.4142559793809701E-2</v>
      </c>
      <c r="AS12" s="7">
        <f>AR12+預測IC!AS12</f>
        <v>-3.411883270418091E-2</v>
      </c>
      <c r="AT12" s="7">
        <f>AS12+預測IC!AT12</f>
        <v>-2.0283927996509729E-2</v>
      </c>
      <c r="AU12" s="7">
        <f>AT12+預測IC!AU12</f>
        <v>4.2473068436570116E-4</v>
      </c>
      <c r="AV12" s="7">
        <f>AU12+預測IC!AV12</f>
        <v>-4.0935354060659311E-2</v>
      </c>
      <c r="AW12" s="7">
        <f>AV12+預測IC!AW12</f>
        <v>-4.0313877042643234E-2</v>
      </c>
      <c r="AX12" s="7">
        <f>AW12+預測IC!AX12</f>
        <v>-8.5009889015541087E-2</v>
      </c>
      <c r="AY12" s="7">
        <f>AX12+預測IC!AY12</f>
        <v>-6.7518567356533554E-2</v>
      </c>
      <c r="AZ12" s="7">
        <f>AY12+預測IC!AZ12</f>
        <v>-6.9818593428191203E-2</v>
      </c>
      <c r="BA12" s="7">
        <f>AZ12+預測IC!BA12</f>
        <v>-6.4880705244949405E-2</v>
      </c>
      <c r="BB12" s="7">
        <f>BA12+預測IC!BB12</f>
        <v>-5.9095310330674222E-2</v>
      </c>
      <c r="BC12" s="7">
        <f>BB12+預測IC!BC12</f>
        <v>-3.2404344038336683E-2</v>
      </c>
      <c r="BD12" s="7">
        <f>BC12+預測IC!BD12</f>
        <v>-1.8773787096684053E-2</v>
      </c>
      <c r="BE12" s="7">
        <f>BD12+預測IC!BE12</f>
        <v>-6.4372332081751124E-2</v>
      </c>
      <c r="BF12" s="7">
        <f>BE12+預測IC!BF12</f>
        <v>-8.7973392030354189E-2</v>
      </c>
      <c r="BG12" s="7">
        <f>BF12+預測IC!BG12</f>
        <v>-7.7969333376402522E-2</v>
      </c>
      <c r="BH12" s="7">
        <f>BG12+預測IC!BH12</f>
        <v>-0.10289147866527597</v>
      </c>
      <c r="BI12" s="7">
        <f>BH12+預測IC!BI12</f>
        <v>-5.2870225634285208E-2</v>
      </c>
      <c r="BJ12" s="7">
        <f>BI12+預測IC!BJ12</f>
        <v>-5.3666218954203024E-2</v>
      </c>
      <c r="BK12" s="7">
        <f>BJ12+預測IC!BK12</f>
        <v>-7.3741870957481123E-2</v>
      </c>
      <c r="BL12" s="7">
        <f>BK12+預測IC!BL12</f>
        <v>-6.2681502246441742E-2</v>
      </c>
      <c r="BM12" s="7">
        <f>BL12+預測IC!BM12</f>
        <v>-9.2853410783431262E-2</v>
      </c>
      <c r="BN12" s="7">
        <f>BM12+預測IC!BN12</f>
        <v>-0.11235594899355093</v>
      </c>
      <c r="BO12" s="7">
        <f>BN12+預測IC!BO12</f>
        <v>-9.5442179994220083E-2</v>
      </c>
      <c r="BP12" s="7">
        <f>BO12+預測IC!BP12</f>
        <v>-0.10595116529951418</v>
      </c>
      <c r="BQ12" s="7">
        <f>BP12+預測IC!BQ12</f>
        <v>-9.2054415680767485E-2</v>
      </c>
      <c r="BR12" s="7">
        <f>BQ12+預測IC!BR12</f>
        <v>-2.3360800533654261E-2</v>
      </c>
      <c r="BS12" s="7">
        <f>BR12+預測IC!BS12</f>
        <v>-4.4975071492582806E-3</v>
      </c>
      <c r="BT12" s="7">
        <f>BS12+預測IC!BT12</f>
        <v>-2.5785604381357002E-2</v>
      </c>
      <c r="BU12" s="7">
        <f>BT12+預測IC!BU12</f>
        <v>-1.7004087241260527E-2</v>
      </c>
      <c r="BV12" s="7">
        <f>BU12+預測IC!BV12</f>
        <v>6.0583684919304735E-3</v>
      </c>
      <c r="BW12" s="7">
        <f>BV12+預測IC!BW12</f>
        <v>-2.3425400227599046E-2</v>
      </c>
      <c r="BX12" s="7">
        <f>BW12+預測IC!BX12</f>
        <v>-1.1948238223648957E-2</v>
      </c>
      <c r="BY12" s="7">
        <f>BX12+預測IC!BY12</f>
        <v>-5.776422445647926E-2</v>
      </c>
      <c r="BZ12" s="7">
        <f>BY12+預測IC!BZ12</f>
        <v>-1.2407278765206288E-2</v>
      </c>
      <c r="CA12" s="7">
        <f>BZ12+預測IC!CA12</f>
        <v>2.1732787881965313E-3</v>
      </c>
      <c r="CB12" s="7">
        <f>CA12+預測IC!CB12</f>
        <v>7.4649154860375835E-2</v>
      </c>
      <c r="CC12" s="7">
        <f>CB12+預測IC!CC12</f>
        <v>0.14021576748806572</v>
      </c>
      <c r="CD12" s="7">
        <f>CC12+預測IC!CD12</f>
        <v>0.18447425605200701</v>
      </c>
      <c r="CE12" s="7">
        <f>CD12+預測IC!CE12</f>
        <v>0.3384812689417489</v>
      </c>
      <c r="CF12" s="7">
        <f>CE12+預測IC!CF12</f>
        <v>0.34650254345567894</v>
      </c>
      <c r="CG12" s="7">
        <f>CF12+預測IC!CG12</f>
        <v>0.34681119195303106</v>
      </c>
      <c r="CH12" s="7">
        <f>CG12+預測IC!CH12</f>
        <v>0.41010856433099097</v>
      </c>
      <c r="CI12" s="7">
        <f>CH12+預測IC!CI12</f>
        <v>0.38576706627937712</v>
      </c>
      <c r="CJ12" s="7">
        <f>CI12+預測IC!CJ12</f>
        <v>0.37032188580068826</v>
      </c>
      <c r="CK12" s="7">
        <f>CJ12+預測IC!CK12</f>
        <v>0.38312502995552306</v>
      </c>
      <c r="CL12" s="7">
        <f>CK12+預測IC!CL12</f>
        <v>0.5011406376251335</v>
      </c>
      <c r="CM12" s="7">
        <f>CL12+預測IC!CM12</f>
        <v>0.52749458846330288</v>
      </c>
      <c r="CN12" s="7">
        <f>CM12+預測IC!CN12</f>
        <v>0.44902938445249652</v>
      </c>
      <c r="CO12" s="7">
        <f>CN12+預測IC!CO12</f>
        <v>0.47384916970770913</v>
      </c>
      <c r="CP12" s="7">
        <f>CO12+預測IC!CP12</f>
        <v>0.42855014824021537</v>
      </c>
      <c r="CQ12" s="7">
        <f>CP12+預測IC!CQ12</f>
        <v>0.39197795333028185</v>
      </c>
      <c r="CR12" s="7">
        <f>CQ12+預測IC!CR12</f>
        <v>0.38986007489962943</v>
      </c>
      <c r="CS12" s="7">
        <f>CR12+預測IC!CS12</f>
        <v>0.3753504244611599</v>
      </c>
      <c r="CT12" s="7">
        <f>CS12+預測IC!CT12</f>
        <v>0.37617446048469083</v>
      </c>
      <c r="CU12" s="7">
        <f>CT12+預測IC!CU12</f>
        <v>0.34055074482249564</v>
      </c>
      <c r="CV12" s="7">
        <f>CU12+預測IC!CV12</f>
        <v>0.33243811844695864</v>
      </c>
      <c r="CW12" s="7">
        <f>CV12+預測IC!CW12</f>
        <v>0.32689019370242639</v>
      </c>
      <c r="CX12" s="7">
        <f>CW12+預測IC!CX12</f>
        <v>0.37343765216689501</v>
      </c>
      <c r="CY12" s="7">
        <f>CX12+預測IC!CY12</f>
        <v>0.3794205943783856</v>
      </c>
      <c r="CZ12" s="7">
        <f>CY12+預測IC!CZ12</f>
        <v>0.30162826703888501</v>
      </c>
      <c r="DA12" s="7">
        <f>CZ12+預測IC!DA12</f>
        <v>0.29602448296852446</v>
      </c>
      <c r="DB12" s="7">
        <f>DA12+預測IC!DB12</f>
        <v>0.3190063589226515</v>
      </c>
      <c r="DC12" s="7">
        <f>DB12+預測IC!DC12</f>
        <v>0.31450499513011004</v>
      </c>
      <c r="DD12" s="7">
        <f>DC12+預測IC!DD12</f>
        <v>0.2896160170728696</v>
      </c>
      <c r="DE12" s="7">
        <f>DD12+預測IC!DE12</f>
        <v>0.26487837265777459</v>
      </c>
      <c r="DF12" s="7">
        <f>DE12+預測IC!DF12</f>
        <v>0.20939263857570162</v>
      </c>
      <c r="DG12" s="7">
        <f>DF12+預測IC!DG12</f>
        <v>0.21034034751501854</v>
      </c>
      <c r="DH12" s="7">
        <f>DG12+預測IC!DH12</f>
        <v>0.21416302948645111</v>
      </c>
      <c r="DI12" s="7">
        <f>DH12+預測IC!DI12</f>
        <v>0.18418377492895141</v>
      </c>
      <c r="DJ12" s="7">
        <f>DI12+預測IC!DJ12</f>
        <v>0.16906556680285939</v>
      </c>
      <c r="DK12" s="7">
        <f>DJ12+預測IC!DK12</f>
        <v>0.18501151992987575</v>
      </c>
      <c r="DL12" s="7">
        <f>DK12+預測IC!DL12</f>
        <v>0.20368135326367881</v>
      </c>
      <c r="DM12" s="7">
        <f>DL12+預測IC!DM12</f>
        <v>0.20852170250875873</v>
      </c>
      <c r="DN12" s="7">
        <f>DM12+預測IC!DN12</f>
        <v>0.23043843410352119</v>
      </c>
      <c r="DO12" s="7">
        <f>DN12+預測IC!DO12</f>
        <v>0.26099537620501201</v>
      </c>
      <c r="DP12" s="7">
        <f>DO12+預測IC!DP12</f>
        <v>0.21504182819009399</v>
      </c>
      <c r="DQ12" s="7">
        <f>DP12+預測IC!DQ12</f>
        <v>0.24890394854314252</v>
      </c>
      <c r="DR12" s="7">
        <f>DQ12+預測IC!DR12</f>
        <v>0.23183896909302434</v>
      </c>
      <c r="DS12" s="7">
        <f>DR12+預測IC!DS12</f>
        <v>0.16218841702332462</v>
      </c>
      <c r="DT12" s="7">
        <f>DS12+預測IC!DT12</f>
        <v>0.20748630041772514</v>
      </c>
      <c r="DU12" s="7">
        <f>DT12+預測IC!DU12</f>
        <v>0.19373365233134268</v>
      </c>
      <c r="DV12" s="7">
        <f>DU12+預測IC!DV12</f>
        <v>0.14518282785381198</v>
      </c>
      <c r="DW12" s="7">
        <f>DV12+預測IC!DW12</f>
        <v>0.18890839207384941</v>
      </c>
      <c r="DX12" s="7">
        <f>DW12+預測IC!DX12</f>
        <v>0.17080925529551602</v>
      </c>
      <c r="DY12" s="7">
        <f>DX12+預測IC!DY12</f>
        <v>0.10808103320074609</v>
      </c>
      <c r="DZ12" s="7">
        <f>DY12+預測IC!DZ12</f>
        <v>8.8042143077156979E-2</v>
      </c>
      <c r="EA12" s="7">
        <f>DZ12+預測IC!EA12</f>
        <v>3.6944510539625691E-2</v>
      </c>
      <c r="EB12" s="7">
        <f>EA12+預測IC!EB12</f>
        <v>3.1158539979245083E-2</v>
      </c>
      <c r="EC12" s="7">
        <f>EB12+預測IC!EC12</f>
        <v>4.6042458108764284E-2</v>
      </c>
      <c r="ED12" s="7">
        <f>EC12+預測IC!ED12</f>
        <v>0.10655061091724843</v>
      </c>
      <c r="EE12" s="7">
        <f>ED12+預測IC!EE12</f>
        <v>0.13305750307839609</v>
      </c>
      <c r="EF12" s="7">
        <f>EE12+預測IC!EF12</f>
        <v>9.3824155039600426E-2</v>
      </c>
    </row>
    <row r="13" spans="1:137" x14ac:dyDescent="0.3">
      <c r="A13" s="1">
        <v>48</v>
      </c>
      <c r="B13" s="1" t="s">
        <v>151</v>
      </c>
      <c r="C13" s="7">
        <v>4.2506117601795589E-2</v>
      </c>
      <c r="D13" s="7">
        <f>C13+預測IC!D13</f>
        <v>0.16625114639456789</v>
      </c>
      <c r="E13" s="7">
        <f>D13+預測IC!E13</f>
        <v>0.20074776588592094</v>
      </c>
      <c r="F13" s="7">
        <f>E13+預測IC!F13</f>
        <v>0.23566992176857543</v>
      </c>
      <c r="G13" s="7">
        <f>F13+預測IC!G13</f>
        <v>0.25057790152587883</v>
      </c>
      <c r="H13" s="7">
        <f>G13+預測IC!H13</f>
        <v>0.23464751695653371</v>
      </c>
      <c r="I13" s="7">
        <f>H13+預測IC!I13</f>
        <v>0.20196465397181138</v>
      </c>
      <c r="J13" s="7">
        <f>I13+預測IC!J13</f>
        <v>0.15806542689439926</v>
      </c>
      <c r="K13" s="7">
        <f>J13+預測IC!K13</f>
        <v>0.20339641713661827</v>
      </c>
      <c r="L13" s="7">
        <f>K13+預測IC!L13</f>
        <v>0.23253208617406373</v>
      </c>
      <c r="M13" s="7">
        <f>L13+預測IC!M13</f>
        <v>0.23581184440006844</v>
      </c>
      <c r="N13" s="7">
        <f>M13+預測IC!N13</f>
        <v>0.19265989217630158</v>
      </c>
      <c r="O13" s="7">
        <f>N13+預測IC!O13</f>
        <v>0.23244918380293403</v>
      </c>
      <c r="P13" s="7">
        <f>O13+預測IC!P13</f>
        <v>0.22617153614220109</v>
      </c>
      <c r="Q13" s="7">
        <f>P13+預測IC!Q13</f>
        <v>0.27038980037017113</v>
      </c>
      <c r="R13" s="7">
        <f>Q13+預測IC!R13</f>
        <v>0.28454974485620765</v>
      </c>
      <c r="S13" s="7">
        <f>R13+預測IC!S13</f>
        <v>0.27230607364729464</v>
      </c>
      <c r="T13" s="7">
        <f>S13+預測IC!T13</f>
        <v>0.25020205322812239</v>
      </c>
      <c r="U13" s="7">
        <f>T13+預測IC!U13</f>
        <v>0.3043631282698166</v>
      </c>
      <c r="V13" s="7">
        <f>U13+預測IC!V13</f>
        <v>0.30657976817287053</v>
      </c>
      <c r="W13" s="7">
        <f>V13+預測IC!W13</f>
        <v>0.27561086410138763</v>
      </c>
      <c r="X13" s="7">
        <f>W13+預測IC!X13</f>
        <v>0.32888775882733123</v>
      </c>
      <c r="Y13" s="7">
        <f>X13+預測IC!Y13</f>
        <v>0.32220440010078577</v>
      </c>
      <c r="Z13" s="7">
        <f>Y13+預測IC!Z13</f>
        <v>0.34278816126991402</v>
      </c>
      <c r="AA13" s="7">
        <f>Z13+預測IC!AA13</f>
        <v>0.32634754181958964</v>
      </c>
      <c r="AB13" s="7">
        <f>AA13+預測IC!AB13</f>
        <v>0.3103114431343687</v>
      </c>
      <c r="AC13" s="7">
        <f>AB13+預測IC!AC13</f>
        <v>0.33218299929574624</v>
      </c>
      <c r="AD13" s="7">
        <f>AC13+預測IC!AD13</f>
        <v>0.31063930951047086</v>
      </c>
      <c r="AE13" s="7">
        <f>AD13+預測IC!AE13</f>
        <v>0.2449199274828604</v>
      </c>
      <c r="AF13" s="7">
        <f>AE13+預測IC!AF13</f>
        <v>0.17163876665454922</v>
      </c>
      <c r="AG13" s="7">
        <f>AF13+預測IC!AG13</f>
        <v>0.18154397438162331</v>
      </c>
      <c r="AH13" s="7">
        <f>AG13+預測IC!AH13</f>
        <v>0.14966845945170726</v>
      </c>
      <c r="AI13" s="7">
        <f>AH13+預測IC!AI13</f>
        <v>0.16831450583167329</v>
      </c>
      <c r="AJ13" s="7">
        <f>AI13+預測IC!AJ13</f>
        <v>0.14842818180049558</v>
      </c>
      <c r="AK13" s="7">
        <f>AJ13+預測IC!AK13</f>
        <v>0.1100687915176235</v>
      </c>
      <c r="AL13" s="7">
        <f>AK13+預測IC!AL13</f>
        <v>6.0809906723073431E-2</v>
      </c>
      <c r="AM13" s="7">
        <f>AL13+預測IC!AM13</f>
        <v>4.637580060898442E-2</v>
      </c>
      <c r="AN13" s="7">
        <f>AM13+預測IC!AN13</f>
        <v>-2.4869419453370296E-2</v>
      </c>
      <c r="AO13" s="7">
        <f>AN13+預測IC!AO13</f>
        <v>-3.4180607352785233E-2</v>
      </c>
      <c r="AP13" s="7">
        <f>AO13+預測IC!AP13</f>
        <v>2.5370233009212484E-2</v>
      </c>
      <c r="AQ13" s="7">
        <f>AP13+預測IC!AQ13</f>
        <v>3.1419521778112164E-2</v>
      </c>
      <c r="AR13" s="7">
        <f>AQ13+預測IC!AR13</f>
        <v>2.2168789294835976E-2</v>
      </c>
      <c r="AS13" s="7">
        <f>AR13+預測IC!AS13</f>
        <v>-1.236174246761354E-3</v>
      </c>
      <c r="AT13" s="7">
        <f>AS13+預測IC!AT13</f>
        <v>3.9226913607678389E-2</v>
      </c>
      <c r="AU13" s="7">
        <f>AT13+預測IC!AU13</f>
        <v>8.0203040083657251E-2</v>
      </c>
      <c r="AV13" s="7">
        <f>AU13+預測IC!AV13</f>
        <v>7.0727567444104175E-2</v>
      </c>
      <c r="AW13" s="7">
        <f>AV13+預測IC!AW13</f>
        <v>7.4807581027167572E-2</v>
      </c>
      <c r="AX13" s="7">
        <f>AW13+預測IC!AX13</f>
        <v>4.2007748891311779E-2</v>
      </c>
      <c r="AY13" s="7">
        <f>AX13+預測IC!AY13</f>
        <v>5.6269952798450477E-2</v>
      </c>
      <c r="AZ13" s="7">
        <f>AY13+預測IC!AZ13</f>
        <v>4.8166485328951084E-2</v>
      </c>
      <c r="BA13" s="7">
        <f>AZ13+預測IC!BA13</f>
        <v>5.4707422936012114E-2</v>
      </c>
      <c r="BB13" s="7">
        <f>BA13+預測IC!BB13</f>
        <v>8.0753768468908166E-2</v>
      </c>
      <c r="BC13" s="7">
        <f>BB13+預測IC!BC13</f>
        <v>9.9864635743750291E-2</v>
      </c>
      <c r="BD13" s="7">
        <f>BC13+預測IC!BD13</f>
        <v>0.10320906412743162</v>
      </c>
      <c r="BE13" s="7">
        <f>BD13+預測IC!BE13</f>
        <v>5.7160807539953125E-2</v>
      </c>
      <c r="BF13" s="7">
        <f>BE13+預測IC!BF13</f>
        <v>3.0857910749735616E-2</v>
      </c>
      <c r="BG13" s="7">
        <f>BF13+預測IC!BG13</f>
        <v>3.9188976365583314E-2</v>
      </c>
      <c r="BH13" s="7">
        <f>BG13+預測IC!BH13</f>
        <v>5.2447217782199823E-3</v>
      </c>
      <c r="BI13" s="7">
        <f>BH13+預測IC!BI13</f>
        <v>5.7653854234921365E-2</v>
      </c>
      <c r="BJ13" s="7">
        <f>BI13+預測IC!BJ13</f>
        <v>4.0806768244656497E-2</v>
      </c>
      <c r="BK13" s="7">
        <f>BJ13+預測IC!BK13</f>
        <v>1.5680994881464457E-2</v>
      </c>
      <c r="BL13" s="7">
        <f>BK13+預測IC!BL13</f>
        <v>2.9300173241079738E-2</v>
      </c>
      <c r="BM13" s="7">
        <f>BL13+預測IC!BM13</f>
        <v>2.0963058564690169E-3</v>
      </c>
      <c r="BN13" s="7">
        <f>BM13+預測IC!BN13</f>
        <v>6.9539089148822342E-3</v>
      </c>
      <c r="BO13" s="7">
        <f>BN13+預測IC!BO13</f>
        <v>1.0360623423150674E-2</v>
      </c>
      <c r="BP13" s="7">
        <f>BO13+預測IC!BP13</f>
        <v>1.9793319117802192E-2</v>
      </c>
      <c r="BQ13" s="7">
        <f>BP13+預測IC!BQ13</f>
        <v>6.1446382907227967E-2</v>
      </c>
      <c r="BR13" s="7">
        <f>BQ13+預測IC!BR13</f>
        <v>0.14127783973056091</v>
      </c>
      <c r="BS13" s="7">
        <f>BR13+預測IC!BS13</f>
        <v>0.14869731157078059</v>
      </c>
      <c r="BT13" s="7">
        <f>BS13+預測IC!BT13</f>
        <v>0.1150295418128614</v>
      </c>
      <c r="BU13" s="7">
        <f>BT13+預測IC!BU13</f>
        <v>0.13273609684941517</v>
      </c>
      <c r="BV13" s="7">
        <f>BU13+預測IC!BV13</f>
        <v>0.1533896937256238</v>
      </c>
      <c r="BW13" s="7">
        <f>BV13+預測IC!BW13</f>
        <v>0.1551529315363008</v>
      </c>
      <c r="BX13" s="7">
        <f>BW13+預測IC!BX13</f>
        <v>0.17623099906032738</v>
      </c>
      <c r="BY13" s="7">
        <f>BX13+預測IC!BY13</f>
        <v>0.14540323939595418</v>
      </c>
      <c r="BZ13" s="7">
        <f>BY13+預測IC!BZ13</f>
        <v>0.22154136245500439</v>
      </c>
      <c r="CA13" s="7">
        <f>BZ13+預測IC!CA13</f>
        <v>0.24555403624712907</v>
      </c>
      <c r="CB13" s="7">
        <f>CA13+預測IC!CB13</f>
        <v>0.36598100797916427</v>
      </c>
      <c r="CC13" s="7">
        <f>CB13+預測IC!CC13</f>
        <v>0.48609918171739747</v>
      </c>
      <c r="CD13" s="7">
        <f>CC13+預測IC!CD13</f>
        <v>0.54135522973882821</v>
      </c>
      <c r="CE13" s="7">
        <f>CD13+預測IC!CE13</f>
        <v>0.72518306619443695</v>
      </c>
      <c r="CF13" s="7">
        <f>CE13+預測IC!CF13</f>
        <v>0.71313939917937763</v>
      </c>
      <c r="CG13" s="7">
        <f>CF13+預測IC!CG13</f>
        <v>0.72069966785575179</v>
      </c>
      <c r="CH13" s="7">
        <f>CG13+預測IC!CH13</f>
        <v>0.77903427968295891</v>
      </c>
      <c r="CI13" s="7">
        <f>CH13+預測IC!CI13</f>
        <v>0.77113874524705073</v>
      </c>
      <c r="CJ13" s="7">
        <f>CI13+預測IC!CJ13</f>
        <v>0.77424483321900195</v>
      </c>
      <c r="CK13" s="7">
        <f>CJ13+預測IC!CK13</f>
        <v>0.80629010245546595</v>
      </c>
      <c r="CL13" s="7">
        <f>CK13+預測IC!CL13</f>
        <v>0.88774346855764674</v>
      </c>
      <c r="CM13" s="7">
        <f>CL13+預測IC!CM13</f>
        <v>0.90175420333052536</v>
      </c>
      <c r="CN13" s="7">
        <f>CM13+預測IC!CN13</f>
        <v>0.80076003668233109</v>
      </c>
      <c r="CO13" s="7">
        <f>CN13+預測IC!CO13</f>
        <v>0.83609438076298848</v>
      </c>
      <c r="CP13" s="7">
        <f>CO13+預測IC!CP13</f>
        <v>0.76636784048525408</v>
      </c>
      <c r="CQ13" s="7">
        <f>CP13+預測IC!CQ13</f>
        <v>0.72818289028909433</v>
      </c>
      <c r="CR13" s="7">
        <f>CQ13+預測IC!CR13</f>
        <v>0.71990310929144585</v>
      </c>
      <c r="CS13" s="7">
        <f>CR13+預測IC!CS13</f>
        <v>0.7238507599544064</v>
      </c>
      <c r="CT13" s="7">
        <f>CS13+預測IC!CT13</f>
        <v>0.71577996063802773</v>
      </c>
      <c r="CU13" s="7">
        <f>CT13+預測IC!CU13</f>
        <v>0.67861855835571649</v>
      </c>
      <c r="CV13" s="7">
        <f>CU13+預測IC!CV13</f>
        <v>0.68157187052897439</v>
      </c>
      <c r="CW13" s="7">
        <f>CV13+預測IC!CW13</f>
        <v>0.67559483967272826</v>
      </c>
      <c r="CX13" s="7">
        <f>CW13+預測IC!CX13</f>
        <v>0.68058213522384137</v>
      </c>
      <c r="CY13" s="7">
        <f>CX13+預測IC!CY13</f>
        <v>0.69370087533885405</v>
      </c>
      <c r="CZ13" s="7">
        <f>CY13+預測IC!CZ13</f>
        <v>0.63647665498536887</v>
      </c>
      <c r="DA13" s="7">
        <f>CZ13+預測IC!DA13</f>
        <v>0.64206033191119027</v>
      </c>
      <c r="DB13" s="7">
        <f>DA13+預測IC!DB13</f>
        <v>0.68382190162797485</v>
      </c>
      <c r="DC13" s="7">
        <f>DB13+預測IC!DC13</f>
        <v>0.6696720348006806</v>
      </c>
      <c r="DD13" s="7">
        <f>DC13+預測IC!DD13</f>
        <v>0.65897443419994484</v>
      </c>
      <c r="DE13" s="7">
        <f>DD13+預測IC!DE13</f>
        <v>0.63653243777070878</v>
      </c>
      <c r="DF13" s="7">
        <f>DE13+預測IC!DF13</f>
        <v>0.55341025070267835</v>
      </c>
      <c r="DG13" s="7">
        <f>DF13+預測IC!DG13</f>
        <v>0.55504090787556826</v>
      </c>
      <c r="DH13" s="7">
        <f>DG13+預測IC!DH13</f>
        <v>0.54374513999365315</v>
      </c>
      <c r="DI13" s="7">
        <f>DH13+預測IC!DI13</f>
        <v>0.51417472035922496</v>
      </c>
      <c r="DJ13" s="7">
        <f>DI13+預測IC!DJ13</f>
        <v>0.50819113572241215</v>
      </c>
      <c r="DK13" s="7">
        <f>DJ13+預測IC!DK13</f>
        <v>0.49578206150378451</v>
      </c>
      <c r="DL13" s="7">
        <f>DK13+預測IC!DL13</f>
        <v>0.51783275218187275</v>
      </c>
      <c r="DM13" s="7">
        <f>DL13+預測IC!DM13</f>
        <v>0.52449162123031667</v>
      </c>
      <c r="DN13" s="7">
        <f>DM13+預測IC!DN13</f>
        <v>0.54142685613092101</v>
      </c>
      <c r="DO13" s="7">
        <f>DN13+預測IC!DO13</f>
        <v>0.57929032121571378</v>
      </c>
      <c r="DP13" s="7">
        <f>DO13+預測IC!DP13</f>
        <v>0.53429317055366454</v>
      </c>
      <c r="DQ13" s="7">
        <f>DP13+預測IC!DQ13</f>
        <v>0.56825963280562719</v>
      </c>
      <c r="DR13" s="7">
        <f>DQ13+預測IC!DR13</f>
        <v>0.55309108265966611</v>
      </c>
      <c r="DS13" s="7">
        <f>DR13+預測IC!DS13</f>
        <v>0.48449423001927522</v>
      </c>
      <c r="DT13" s="7">
        <f>DS13+預測IC!DT13</f>
        <v>0.51992053106694003</v>
      </c>
      <c r="DU13" s="7">
        <f>DT13+預測IC!DU13</f>
        <v>0.50121536742979522</v>
      </c>
      <c r="DV13" s="7">
        <f>DU13+預測IC!DV13</f>
        <v>0.42159522340560668</v>
      </c>
      <c r="DW13" s="7">
        <f>DV13+預測IC!DW13</f>
        <v>0.46601301302995701</v>
      </c>
      <c r="DX13" s="7">
        <f>DW13+預測IC!DX13</f>
        <v>0.44278340348099088</v>
      </c>
      <c r="DY13" s="7">
        <f>DX13+預測IC!DY13</f>
        <v>0.43327877867711345</v>
      </c>
      <c r="DZ13" s="7">
        <f>DY13+預測IC!DZ13</f>
        <v>0.40299352720217219</v>
      </c>
      <c r="EA13" s="7">
        <f>DZ13+預測IC!EA13</f>
        <v>0.34087485002614232</v>
      </c>
      <c r="EB13" s="7">
        <f>EA13+預測IC!EB13</f>
        <v>0.34067364380721715</v>
      </c>
      <c r="EC13" s="7">
        <f>EB13+預測IC!EC13</f>
        <v>0.36265849633874159</v>
      </c>
      <c r="ED13" s="7">
        <f>EC13+預測IC!ED13</f>
        <v>0.42834058999797653</v>
      </c>
      <c r="EE13" s="7">
        <f>ED13+預測IC!EE13</f>
        <v>0.46957497399388815</v>
      </c>
      <c r="EF13" s="7">
        <f>EE13+預測IC!EF13</f>
        <v>0.40299775863033194</v>
      </c>
    </row>
    <row r="14" spans="1:137" x14ac:dyDescent="0.3">
      <c r="A14" s="1">
        <v>19</v>
      </c>
      <c r="B14" s="1" t="s">
        <v>152</v>
      </c>
      <c r="C14" s="7">
        <v>-3.7017512404591897E-2</v>
      </c>
      <c r="D14" s="7">
        <f>C14+預測IC!D14</f>
        <v>0.18529093613603412</v>
      </c>
      <c r="E14" s="7">
        <f>D14+預測IC!E14</f>
        <v>0.23281687940329013</v>
      </c>
      <c r="F14" s="7">
        <f>E14+預測IC!F14</f>
        <v>0.28127102220314998</v>
      </c>
      <c r="G14" s="7">
        <f>F14+預測IC!G14</f>
        <v>0.32229093870107545</v>
      </c>
      <c r="H14" s="7">
        <f>G14+預測IC!H14</f>
        <v>0.31461661442939665</v>
      </c>
      <c r="I14" s="7">
        <f>H14+預測IC!I14</f>
        <v>0.27082925460625434</v>
      </c>
      <c r="J14" s="7">
        <f>I14+預測IC!J14</f>
        <v>0.16573486782354613</v>
      </c>
      <c r="K14" s="7">
        <f>J14+預測IC!K14</f>
        <v>0.29991357153759962</v>
      </c>
      <c r="L14" s="7">
        <f>K14+預測IC!L14</f>
        <v>0.2950663743498928</v>
      </c>
      <c r="M14" s="7">
        <f>L14+預測IC!M14</f>
        <v>0.27604465988490884</v>
      </c>
      <c r="N14" s="7">
        <f>M14+預測IC!N14</f>
        <v>0.19328567519080969</v>
      </c>
      <c r="O14" s="7">
        <f>N14+預測IC!O14</f>
        <v>0.23292798326034408</v>
      </c>
      <c r="P14" s="7">
        <f>O14+預測IC!P14</f>
        <v>0.2394694042184945</v>
      </c>
      <c r="Q14" s="7">
        <f>P14+預測IC!Q14</f>
        <v>0.36357327538994322</v>
      </c>
      <c r="R14" s="7">
        <f>Q14+預測IC!R14</f>
        <v>0.34942147908441862</v>
      </c>
      <c r="S14" s="7">
        <f>R14+預測IC!S14</f>
        <v>0.38795557861043634</v>
      </c>
      <c r="T14" s="7">
        <f>S14+預測IC!T14</f>
        <v>0.37059484737587667</v>
      </c>
      <c r="U14" s="7">
        <f>T14+預測IC!U14</f>
        <v>0.47486151201152427</v>
      </c>
      <c r="V14" s="7">
        <f>U14+預測IC!V14</f>
        <v>0.42244021185263919</v>
      </c>
      <c r="W14" s="7">
        <f>V14+預測IC!W14</f>
        <v>0.37464520911911914</v>
      </c>
      <c r="X14" s="7">
        <f>W14+預測IC!X14</f>
        <v>0.4282269176333024</v>
      </c>
      <c r="Y14" s="7">
        <f>X14+預測IC!Y14</f>
        <v>0.37303592622108067</v>
      </c>
      <c r="Z14" s="7">
        <f>Y14+預測IC!Z14</f>
        <v>0.39428812732453156</v>
      </c>
      <c r="AA14" s="7">
        <f>Z14+預測IC!AA14</f>
        <v>0.39166072755771758</v>
      </c>
      <c r="AB14" s="7">
        <f>AA14+預測IC!AB14</f>
        <v>0.31667781478559737</v>
      </c>
      <c r="AC14" s="7">
        <f>AB14+預測IC!AC14</f>
        <v>0.30316054598210401</v>
      </c>
      <c r="AD14" s="7">
        <f>AC14+預測IC!AD14</f>
        <v>0.2638326537920741</v>
      </c>
      <c r="AE14" s="7">
        <f>AD14+預測IC!AE14</f>
        <v>0.25981374696919363</v>
      </c>
      <c r="AF14" s="7">
        <f>AE14+預測IC!AF14</f>
        <v>0.16373365151256</v>
      </c>
      <c r="AG14" s="7">
        <f>AF14+預測IC!AG14</f>
        <v>0.18906294652351305</v>
      </c>
      <c r="AH14" s="7">
        <f>AG14+預測IC!AH14</f>
        <v>0.12565256679050096</v>
      </c>
      <c r="AI14" s="7">
        <f>AH14+預測IC!AI14</f>
        <v>9.0189922891889041E-2</v>
      </c>
      <c r="AJ14" s="7">
        <f>AI14+預測IC!AJ14</f>
        <v>-6.1050538168951757E-3</v>
      </c>
      <c r="AK14" s="7">
        <f>AJ14+預測IC!AK14</f>
        <v>-8.3580392839349205E-2</v>
      </c>
      <c r="AL14" s="7">
        <f>AK14+預測IC!AL14</f>
        <v>-0.13481057580747871</v>
      </c>
      <c r="AM14" s="7">
        <f>AL14+預測IC!AM14</f>
        <v>-0.17727443174485252</v>
      </c>
      <c r="AN14" s="7">
        <f>AM14+預測IC!AN14</f>
        <v>-0.28759811370108501</v>
      </c>
      <c r="AO14" s="7">
        <f>AN14+預測IC!AO14</f>
        <v>-0.34850381916649498</v>
      </c>
      <c r="AP14" s="7">
        <f>AO14+預測IC!AP14</f>
        <v>-0.27852729401441079</v>
      </c>
      <c r="AQ14" s="7">
        <f>AP14+預測IC!AQ14</f>
        <v>-0.27815932627665085</v>
      </c>
      <c r="AR14" s="7">
        <f>AQ14+預測IC!AR14</f>
        <v>-0.29633014929553608</v>
      </c>
      <c r="AS14" s="7">
        <f>AR14+預測IC!AS14</f>
        <v>-0.28966081090584667</v>
      </c>
      <c r="AT14" s="7">
        <f>AS14+預測IC!AT14</f>
        <v>-0.25515423122070219</v>
      </c>
      <c r="AU14" s="7">
        <f>AT14+預測IC!AU14</f>
        <v>-0.21516258221739834</v>
      </c>
      <c r="AV14" s="7">
        <f>AU14+預測IC!AV14</f>
        <v>-0.23384546765101552</v>
      </c>
      <c r="AW14" s="7">
        <f>AV14+預測IC!AW14</f>
        <v>-0.25220839915697302</v>
      </c>
      <c r="AX14" s="7">
        <f>AW14+預測IC!AX14</f>
        <v>-0.27157861253246357</v>
      </c>
      <c r="AY14" s="7">
        <f>AX14+預測IC!AY14</f>
        <v>-0.26988804070745653</v>
      </c>
      <c r="AZ14" s="7">
        <f>AY14+預測IC!AZ14</f>
        <v>-0.32323660987961261</v>
      </c>
      <c r="BA14" s="7">
        <f>AZ14+預測IC!BA14</f>
        <v>-0.3056149643353695</v>
      </c>
      <c r="BB14" s="7">
        <f>BA14+預測IC!BB14</f>
        <v>-0.20371662407691149</v>
      </c>
      <c r="BC14" s="7">
        <f>BB14+預測IC!BC14</f>
        <v>-0.23222230757621759</v>
      </c>
      <c r="BD14" s="7">
        <f>BC14+預測IC!BD14</f>
        <v>-0.18889452590881217</v>
      </c>
      <c r="BE14" s="7">
        <f>BD14+預測IC!BE14</f>
        <v>-0.21301154440541425</v>
      </c>
      <c r="BF14" s="7">
        <f>BE14+預測IC!BF14</f>
        <v>-0.21825443230729738</v>
      </c>
      <c r="BG14" s="7">
        <f>BF14+預測IC!BG14</f>
        <v>-0.20775782440615384</v>
      </c>
      <c r="BH14" s="7">
        <f>BG14+預測IC!BH14</f>
        <v>-0.30150790864587607</v>
      </c>
      <c r="BI14" s="7">
        <f>BH14+預測IC!BI14</f>
        <v>-0.25132269575502231</v>
      </c>
      <c r="BJ14" s="7">
        <f>BI14+預測IC!BJ14</f>
        <v>-0.27133991942625552</v>
      </c>
      <c r="BK14" s="7">
        <f>BJ14+預測IC!BK14</f>
        <v>-0.23810253744792459</v>
      </c>
      <c r="BL14" s="7">
        <f>BK14+預測IC!BL14</f>
        <v>-0.2275307029380626</v>
      </c>
      <c r="BM14" s="7">
        <f>BL14+預測IC!BM14</f>
        <v>-0.2489057496001211</v>
      </c>
      <c r="BN14" s="7">
        <f>BM14+預測IC!BN14</f>
        <v>-0.20232910540370538</v>
      </c>
      <c r="BO14" s="7">
        <f>BN14+預測IC!BO14</f>
        <v>-0.18742552643045651</v>
      </c>
      <c r="BP14" s="7">
        <f>BO14+預測IC!BP14</f>
        <v>-0.17175179293749737</v>
      </c>
      <c r="BQ14" s="7">
        <f>BP14+預測IC!BQ14</f>
        <v>-0.1559082690675466</v>
      </c>
      <c r="BR14" s="7">
        <f>BQ14+預測IC!BR14</f>
        <v>-5.5855845992160189E-2</v>
      </c>
      <c r="BS14" s="7">
        <f>BR14+預測IC!BS14</f>
        <v>-9.7349801136738079E-2</v>
      </c>
      <c r="BT14" s="7">
        <f>BS14+預測IC!BT14</f>
        <v>-8.2061873233365251E-2</v>
      </c>
      <c r="BU14" s="7">
        <f>BT14+預測IC!BU14</f>
        <v>-9.0916708591396111E-2</v>
      </c>
      <c r="BV14" s="7">
        <f>BU14+預測IC!BV14</f>
        <v>-6.5189526574968709E-2</v>
      </c>
      <c r="BW14" s="7">
        <f>BV14+預測IC!BW14</f>
        <v>-5.268157831737539E-2</v>
      </c>
      <c r="BX14" s="7">
        <f>BW14+預測IC!BX14</f>
        <v>2.2891818045776835E-3</v>
      </c>
      <c r="BY14" s="7">
        <f>BX14+預測IC!BY14</f>
        <v>-7.8110586779183533E-2</v>
      </c>
      <c r="BZ14" s="7">
        <f>BY14+預測IC!BZ14</f>
        <v>-1.8076529950401266E-2</v>
      </c>
      <c r="CA14" s="7">
        <f>BZ14+預測IC!CA14</f>
        <v>1.5378628287754381E-2</v>
      </c>
      <c r="CB14" s="7">
        <f>CA14+預測IC!CB14</f>
        <v>0.17984412960966117</v>
      </c>
      <c r="CC14" s="7">
        <f>CB14+預測IC!CC14</f>
        <v>0.30044028819884366</v>
      </c>
      <c r="CD14" s="7">
        <f>CC14+預測IC!CD14</f>
        <v>0.34836212911142822</v>
      </c>
      <c r="CE14" s="7">
        <f>CD14+預測IC!CE14</f>
        <v>0.51891743159997872</v>
      </c>
      <c r="CF14" s="7">
        <f>CE14+預測IC!CF14</f>
        <v>0.47604002152466179</v>
      </c>
      <c r="CG14" s="7">
        <f>CF14+預測IC!CG14</f>
        <v>0.61496669804260184</v>
      </c>
      <c r="CH14" s="7">
        <f>CG14+預測IC!CH14</f>
        <v>0.67962809032081895</v>
      </c>
      <c r="CI14" s="7">
        <f>CH14+預測IC!CI14</f>
        <v>0.67579873418613379</v>
      </c>
      <c r="CJ14" s="7">
        <f>CI14+預測IC!CJ14</f>
        <v>0.70446658913030835</v>
      </c>
      <c r="CK14" s="7">
        <f>CJ14+預測IC!CK14</f>
        <v>0.71848295352095448</v>
      </c>
      <c r="CL14" s="7">
        <f>CK14+預測IC!CL14</f>
        <v>0.78075290839979095</v>
      </c>
      <c r="CM14" s="7">
        <f>CL14+預測IC!CM14</f>
        <v>0.77565580152204361</v>
      </c>
      <c r="CN14" s="7">
        <f>CM14+預測IC!CN14</f>
        <v>0.60106012683698629</v>
      </c>
      <c r="CO14" s="7">
        <f>CN14+預測IC!CO14</f>
        <v>0.67982388555531037</v>
      </c>
      <c r="CP14" s="7">
        <f>CO14+預測IC!CP14</f>
        <v>0.58001455407355751</v>
      </c>
      <c r="CQ14" s="7">
        <f>CP14+預測IC!CQ14</f>
        <v>0.52680292598188294</v>
      </c>
      <c r="CR14" s="7">
        <f>CQ14+預測IC!CR14</f>
        <v>0.4708937883573816</v>
      </c>
      <c r="CS14" s="7">
        <f>CR14+預測IC!CS14</f>
        <v>0.46707767501386166</v>
      </c>
      <c r="CT14" s="7">
        <f>CS14+預測IC!CT14</f>
        <v>0.44797709846317679</v>
      </c>
      <c r="CU14" s="7">
        <f>CT14+預測IC!CU14</f>
        <v>0.4918942011603914</v>
      </c>
      <c r="CV14" s="7">
        <f>CU14+預測IC!CV14</f>
        <v>0.46914848602213605</v>
      </c>
      <c r="CW14" s="7">
        <f>CV14+預測IC!CW14</f>
        <v>0.47254686848560684</v>
      </c>
      <c r="CX14" s="7">
        <f>CW14+預測IC!CX14</f>
        <v>0.49679112497310257</v>
      </c>
      <c r="CY14" s="7">
        <f>CX14+預測IC!CY14</f>
        <v>0.52555024526457683</v>
      </c>
      <c r="CZ14" s="7">
        <f>CY14+預測IC!CZ14</f>
        <v>0.46148668191419345</v>
      </c>
      <c r="DA14" s="7">
        <f>CZ14+預測IC!DA14</f>
        <v>0.48579097108477792</v>
      </c>
      <c r="DB14" s="7">
        <f>DA14+預測IC!DB14</f>
        <v>0.50935204427296876</v>
      </c>
      <c r="DC14" s="7">
        <f>DB14+預測IC!DC14</f>
        <v>0.46635350229276867</v>
      </c>
      <c r="DD14" s="7">
        <f>DC14+預測IC!DD14</f>
        <v>0.4831120520851851</v>
      </c>
      <c r="DE14" s="7">
        <f>DD14+預測IC!DE14</f>
        <v>0.42058512807872606</v>
      </c>
      <c r="DF14" s="7">
        <f>DE14+預測IC!DF14</f>
        <v>0.21902228861161405</v>
      </c>
      <c r="DG14" s="7">
        <f>DF14+預測IC!DG14</f>
        <v>0.20757573221829684</v>
      </c>
      <c r="DH14" s="7">
        <f>DG14+預測IC!DH14</f>
        <v>0.20280089497538523</v>
      </c>
      <c r="DI14" s="7">
        <f>DH14+預測IC!DI14</f>
        <v>0.16214176033981359</v>
      </c>
      <c r="DJ14" s="7">
        <f>DI14+預測IC!DJ14</f>
        <v>0.14624416852704369</v>
      </c>
      <c r="DK14" s="7">
        <f>DJ14+預測IC!DK14</f>
        <v>0.12717310540938778</v>
      </c>
      <c r="DL14" s="7">
        <f>DK14+預測IC!DL14</f>
        <v>0.16792797724128683</v>
      </c>
      <c r="DM14" s="7">
        <f>DL14+預測IC!DM14</f>
        <v>0.16242370814763632</v>
      </c>
      <c r="DN14" s="7">
        <f>DM14+預測IC!DN14</f>
        <v>0.19272254139795286</v>
      </c>
      <c r="DO14" s="7">
        <f>DN14+預測IC!DO14</f>
        <v>0.29531473076118664</v>
      </c>
      <c r="DP14" s="7">
        <f>DO14+預測IC!DP14</f>
        <v>0.29169687248945997</v>
      </c>
      <c r="DQ14" s="7">
        <f>DP14+預測IC!DQ14</f>
        <v>0.34771615847565041</v>
      </c>
      <c r="DR14" s="7">
        <f>DQ14+預測IC!DR14</f>
        <v>0.33992173666656511</v>
      </c>
      <c r="DS14" s="7">
        <f>DR14+預測IC!DS14</f>
        <v>0.28386991673800144</v>
      </c>
      <c r="DT14" s="7">
        <f>DS14+預測IC!DT14</f>
        <v>0.32838687033545672</v>
      </c>
      <c r="DU14" s="7">
        <f>DT14+預測IC!DU14</f>
        <v>0.3733018189544387</v>
      </c>
      <c r="DV14" s="7">
        <f>DU14+預測IC!DV14</f>
        <v>0.26503946442433141</v>
      </c>
      <c r="DW14" s="7">
        <f>DV14+預測IC!DW14</f>
        <v>0.36338383144210912</v>
      </c>
      <c r="DX14" s="7">
        <f>DW14+預測IC!DX14</f>
        <v>0.33569413408171045</v>
      </c>
      <c r="DY14" s="7">
        <f>DX14+預測IC!DY14</f>
        <v>0.28803314747936926</v>
      </c>
      <c r="DZ14" s="7">
        <f>DY14+預測IC!DZ14</f>
        <v>0.26633555822325244</v>
      </c>
      <c r="EA14" s="7">
        <f>DZ14+預測IC!EA14</f>
        <v>0.15881007502572864</v>
      </c>
      <c r="EB14" s="7">
        <f>EA14+預測IC!EB14</f>
        <v>0.18391959564399318</v>
      </c>
      <c r="EC14" s="7">
        <f>EB14+預測IC!EC14</f>
        <v>0.22717961317330082</v>
      </c>
      <c r="ED14" s="7">
        <f>EC14+預測IC!ED14</f>
        <v>0.32980932235948779</v>
      </c>
      <c r="EE14" s="7">
        <f>ED14+預測IC!EE14</f>
        <v>0.32641006884141527</v>
      </c>
      <c r="EF14" s="7">
        <f>EE14+預測IC!EF14</f>
        <v>0.25645364834285722</v>
      </c>
    </row>
    <row r="15" spans="1:137" x14ac:dyDescent="0.3">
      <c r="A15" s="1">
        <v>10</v>
      </c>
      <c r="B15" s="1" t="s">
        <v>153</v>
      </c>
      <c r="C15" s="7">
        <v>-9.6503141994516081E-2</v>
      </c>
      <c r="D15" s="7">
        <f>C15+預測IC!D15</f>
        <v>0.2762060736154095</v>
      </c>
      <c r="E15" s="7">
        <f>D15+預測IC!E15</f>
        <v>0.286404499887493</v>
      </c>
      <c r="F15" s="7">
        <f>E15+預測IC!F15</f>
        <v>0.3949667932606829</v>
      </c>
      <c r="G15" s="7">
        <f>F15+預測IC!G15</f>
        <v>0.45560372193221721</v>
      </c>
      <c r="H15" s="7">
        <f>G15+預測IC!H15</f>
        <v>0.40544589742862414</v>
      </c>
      <c r="I15" s="7">
        <f>H15+預測IC!I15</f>
        <v>0.34701445314875862</v>
      </c>
      <c r="J15" s="7">
        <f>I15+預測IC!J15</f>
        <v>0.28248976303900308</v>
      </c>
      <c r="K15" s="7">
        <f>J15+預測IC!K15</f>
        <v>0.56908439077537376</v>
      </c>
      <c r="L15" s="7">
        <f>K15+預測IC!L15</f>
        <v>0.53652588561818915</v>
      </c>
      <c r="M15" s="7">
        <f>L15+預測IC!M15</f>
        <v>0.53439286918190143</v>
      </c>
      <c r="N15" s="7">
        <f>M15+預測IC!N15</f>
        <v>0.41352471502092036</v>
      </c>
      <c r="O15" s="7">
        <f>N15+預測IC!O15</f>
        <v>0.45962820827404571</v>
      </c>
      <c r="P15" s="7">
        <f>O15+預測IC!P15</f>
        <v>0.48152477811926975</v>
      </c>
      <c r="Q15" s="7">
        <f>P15+預測IC!Q15</f>
        <v>0.63706162022708224</v>
      </c>
      <c r="R15" s="7">
        <f>Q15+預測IC!R15</f>
        <v>0.65381705651770039</v>
      </c>
      <c r="S15" s="7">
        <f>R15+預測IC!S15</f>
        <v>0.61078312274436908</v>
      </c>
      <c r="T15" s="7">
        <f>S15+預測IC!T15</f>
        <v>0.56144445008385402</v>
      </c>
      <c r="U15" s="7">
        <f>T15+預測IC!U15</f>
        <v>0.69841251175112284</v>
      </c>
      <c r="V15" s="7">
        <f>U15+預測IC!V15</f>
        <v>0.5882855054202869</v>
      </c>
      <c r="W15" s="7">
        <f>V15+預測IC!W15</f>
        <v>0.5376140811752963</v>
      </c>
      <c r="X15" s="7">
        <f>W15+預測IC!X15</f>
        <v>0.61605049362088371</v>
      </c>
      <c r="Y15" s="7">
        <f>X15+預測IC!Y15</f>
        <v>0.5640216955637416</v>
      </c>
      <c r="Z15" s="7">
        <f>Y15+預測IC!Z15</f>
        <v>0.54036527687807079</v>
      </c>
      <c r="AA15" s="7">
        <f>Z15+預測IC!AA15</f>
        <v>0.58695140080386377</v>
      </c>
      <c r="AB15" s="7">
        <f>AA15+預測IC!AB15</f>
        <v>0.51295544901968015</v>
      </c>
      <c r="AC15" s="7">
        <f>AB15+預測IC!AC15</f>
        <v>0.52943641522786822</v>
      </c>
      <c r="AD15" s="7">
        <f>AC15+預測IC!AD15</f>
        <v>0.48974593410015993</v>
      </c>
      <c r="AE15" s="7">
        <f>AD15+預測IC!AE15</f>
        <v>0.53703241034586346</v>
      </c>
      <c r="AF15" s="7">
        <f>AE15+預測IC!AF15</f>
        <v>0.39930612316820907</v>
      </c>
      <c r="AG15" s="7">
        <f>AF15+預測IC!AG15</f>
        <v>0.44363066738328488</v>
      </c>
      <c r="AH15" s="7">
        <f>AG15+預測IC!AH15</f>
        <v>0.45813135430921659</v>
      </c>
      <c r="AI15" s="7">
        <f>AH15+預測IC!AI15</f>
        <v>0.43328209717668559</v>
      </c>
      <c r="AJ15" s="7">
        <f>AI15+預測IC!AJ15</f>
        <v>0.42909766254435244</v>
      </c>
      <c r="AK15" s="7">
        <f>AJ15+預測IC!AK15</f>
        <v>0.35973621135243605</v>
      </c>
      <c r="AL15" s="7">
        <f>AK15+預測IC!AL15</f>
        <v>0.3273760375557746</v>
      </c>
      <c r="AM15" s="7">
        <f>AL15+預測IC!AM15</f>
        <v>0.25874483046615604</v>
      </c>
      <c r="AN15" s="7">
        <f>AM15+預測IC!AN15</f>
        <v>0.19800989866546853</v>
      </c>
      <c r="AO15" s="7">
        <f>AN15+預測IC!AO15</f>
        <v>0.13464008620200144</v>
      </c>
      <c r="AP15" s="7">
        <f>AO15+預測IC!AP15</f>
        <v>0.21292578009475566</v>
      </c>
      <c r="AQ15" s="7">
        <f>AP15+預測IC!AQ15</f>
        <v>0.25029290689087735</v>
      </c>
      <c r="AR15" s="7">
        <f>AQ15+預測IC!AR15</f>
        <v>0.22574208719259864</v>
      </c>
      <c r="AS15" s="7">
        <f>AR15+預測IC!AS15</f>
        <v>0.27447530854670044</v>
      </c>
      <c r="AT15" s="7">
        <f>AS15+預測IC!AT15</f>
        <v>0.339730299199129</v>
      </c>
      <c r="AU15" s="7">
        <f>AT15+預測IC!AU15</f>
        <v>0.37967356028859534</v>
      </c>
      <c r="AV15" s="7">
        <f>AU15+預測IC!AV15</f>
        <v>0.33244674196115648</v>
      </c>
      <c r="AW15" s="7">
        <f>AV15+預測IC!AW15</f>
        <v>0.3481066812157374</v>
      </c>
      <c r="AX15" s="7">
        <f>AW15+預測IC!AX15</f>
        <v>0.26674611526096925</v>
      </c>
      <c r="AY15" s="7">
        <f>AX15+預測IC!AY15</f>
        <v>0.29575177456146107</v>
      </c>
      <c r="AZ15" s="7">
        <f>AY15+預測IC!AZ15</f>
        <v>0.20442849449295758</v>
      </c>
      <c r="BA15" s="7">
        <f>AZ15+預測IC!BA15</f>
        <v>0.21504200930061054</v>
      </c>
      <c r="BB15" s="7">
        <f>BA15+預測IC!BB15</f>
        <v>0.32383110911673324</v>
      </c>
      <c r="BC15" s="7">
        <f>BB15+預測IC!BC15</f>
        <v>0.29289441749438316</v>
      </c>
      <c r="BD15" s="7">
        <f>BC15+預測IC!BD15</f>
        <v>0.34593769139917924</v>
      </c>
      <c r="BE15" s="7">
        <f>BD15+預測IC!BE15</f>
        <v>0.29972057741615699</v>
      </c>
      <c r="BF15" s="7">
        <f>BE15+預測IC!BF15</f>
        <v>0.24274255319524535</v>
      </c>
      <c r="BG15" s="7">
        <f>BF15+預測IC!BG15</f>
        <v>0.25651870359766621</v>
      </c>
      <c r="BH15" s="7">
        <f>BG15+預測IC!BH15</f>
        <v>0.20180947743992617</v>
      </c>
      <c r="BI15" s="7">
        <f>BH15+預測IC!BI15</f>
        <v>0.27039613655489581</v>
      </c>
      <c r="BJ15" s="7">
        <f>BI15+預測IC!BJ15</f>
        <v>0.25913110946745055</v>
      </c>
      <c r="BK15" s="7">
        <f>BJ15+預測IC!BK15</f>
        <v>0.33200052835003946</v>
      </c>
      <c r="BL15" s="7">
        <f>BK15+預測IC!BL15</f>
        <v>0.33207842975378565</v>
      </c>
      <c r="BM15" s="7">
        <f>BL15+預測IC!BM15</f>
        <v>0.26948003518124086</v>
      </c>
      <c r="BN15" s="7">
        <f>BM15+預測IC!BN15</f>
        <v>0.33553407040682276</v>
      </c>
      <c r="BO15" s="7">
        <f>BN15+預測IC!BO15</f>
        <v>0.35212351393298164</v>
      </c>
      <c r="BP15" s="7">
        <f>BO15+預測IC!BP15</f>
        <v>0.36630773464078642</v>
      </c>
      <c r="BQ15" s="7">
        <f>BP15+預測IC!BQ15</f>
        <v>0.3791106659311142</v>
      </c>
      <c r="BR15" s="7">
        <f>BQ15+預測IC!BR15</f>
        <v>0.50287280236756926</v>
      </c>
      <c r="BS15" s="7">
        <f>BR15+預測IC!BS15</f>
        <v>0.48604902491728297</v>
      </c>
      <c r="BT15" s="7">
        <f>BS15+預測IC!BT15</f>
        <v>0.449415358721723</v>
      </c>
      <c r="BU15" s="7">
        <f>BT15+預測IC!BU15</f>
        <v>0.46889177851751646</v>
      </c>
      <c r="BV15" s="7">
        <f>BU15+預測IC!BV15</f>
        <v>0.52780674627006519</v>
      </c>
      <c r="BW15" s="7">
        <f>BV15+預測IC!BW15</f>
        <v>0.49186085614066144</v>
      </c>
      <c r="BX15" s="7">
        <f>BW15+預測IC!BX15</f>
        <v>0.52049675120639294</v>
      </c>
      <c r="BY15" s="7">
        <f>BX15+預測IC!BY15</f>
        <v>0.42715835874255609</v>
      </c>
      <c r="BZ15" s="7">
        <f>BY15+預測IC!BZ15</f>
        <v>0.53006482771990338</v>
      </c>
      <c r="CA15" s="7">
        <f>BZ15+預測IC!CA15</f>
        <v>0.56002883694498085</v>
      </c>
      <c r="CB15" s="7">
        <f>CA15+預測IC!CB15</f>
        <v>0.69112023972904224</v>
      </c>
      <c r="CC15" s="7">
        <f>CB15+預測IC!CC15</f>
        <v>0.86477194545116221</v>
      </c>
      <c r="CD15" s="7">
        <f>CC15+預測IC!CD15</f>
        <v>0.95386646512698237</v>
      </c>
      <c r="CE15" s="7">
        <f>CD15+預測IC!CE15</f>
        <v>1.027234585175433</v>
      </c>
      <c r="CF15" s="7">
        <f>CE15+預測IC!CF15</f>
        <v>0.98588515530746546</v>
      </c>
      <c r="CG15" s="7">
        <f>CF15+預測IC!CG15</f>
        <v>1.2116163825725927</v>
      </c>
      <c r="CH15" s="7">
        <f>CG15+預測IC!CH15</f>
        <v>1.2745023408562941</v>
      </c>
      <c r="CI15" s="7">
        <f>CH15+預測IC!CI15</f>
        <v>1.2051654961210572</v>
      </c>
      <c r="CJ15" s="7">
        <f>CI15+預測IC!CJ15</f>
        <v>1.2922098521937753</v>
      </c>
      <c r="CK15" s="7">
        <f>CJ15+預測IC!CK15</f>
        <v>1.3488824979658747</v>
      </c>
      <c r="CL15" s="7">
        <f>CK15+預測IC!CL15</f>
        <v>1.380304472959123</v>
      </c>
      <c r="CM15" s="7">
        <f>CL15+預測IC!CM15</f>
        <v>1.3336779371665244</v>
      </c>
      <c r="CN15" s="7">
        <f>CM15+預測IC!CN15</f>
        <v>1.190528120195284</v>
      </c>
      <c r="CO15" s="7">
        <f>CN15+預測IC!CO15</f>
        <v>1.297507364394852</v>
      </c>
      <c r="CP15" s="7">
        <f>CO15+預測IC!CP15</f>
        <v>1.1699715289619024</v>
      </c>
      <c r="CQ15" s="7">
        <f>CP15+預測IC!CQ15</f>
        <v>1.1325935181967735</v>
      </c>
      <c r="CR15" s="7">
        <f>CQ15+預測IC!CR15</f>
        <v>1.0843564479086092</v>
      </c>
      <c r="CS15" s="7">
        <f>CR15+預測IC!CS15</f>
        <v>1.1012674346128648</v>
      </c>
      <c r="CT15" s="7">
        <f>CS15+預測IC!CT15</f>
        <v>1.0938728596374101</v>
      </c>
      <c r="CU15" s="7">
        <f>CT15+預測IC!CU15</f>
        <v>1.1570515195521829</v>
      </c>
      <c r="CV15" s="7">
        <f>CU15+預測IC!CV15</f>
        <v>1.1631933664569918</v>
      </c>
      <c r="CW15" s="7">
        <f>CV15+預測IC!CW15</f>
        <v>1.175678026637432</v>
      </c>
      <c r="CX15" s="7">
        <f>CW15+預測IC!CX15</f>
        <v>1.1935469184542116</v>
      </c>
      <c r="CY15" s="7">
        <f>CX15+預測IC!CY15</f>
        <v>1.236017591531974</v>
      </c>
      <c r="CZ15" s="7">
        <f>CY15+預測IC!CZ15</f>
        <v>1.1561306435876317</v>
      </c>
      <c r="DA15" s="7">
        <f>CZ15+預測IC!DA15</f>
        <v>1.1825064790295083</v>
      </c>
      <c r="DB15" s="7">
        <f>DA15+預測IC!DB15</f>
        <v>1.2127330972436321</v>
      </c>
      <c r="DC15" s="7">
        <f>DB15+預測IC!DC15</f>
        <v>1.1450406652985061</v>
      </c>
      <c r="DD15" s="7">
        <f>DC15+預測IC!DD15</f>
        <v>1.1944343557983907</v>
      </c>
      <c r="DE15" s="7">
        <f>DD15+預測IC!DE15</f>
        <v>1.1372707210671382</v>
      </c>
      <c r="DF15" s="7">
        <f>DE15+預測IC!DF15</f>
        <v>0.834550271424356</v>
      </c>
      <c r="DG15" s="7">
        <f>DF15+預測IC!DG15</f>
        <v>0.8183535398061148</v>
      </c>
      <c r="DH15" s="7">
        <f>DG15+預測IC!DH15</f>
        <v>0.83706255085000691</v>
      </c>
      <c r="DI15" s="7">
        <f>DH15+預測IC!DI15</f>
        <v>0.78295423219287663</v>
      </c>
      <c r="DJ15" s="7">
        <f>DI15+預測IC!DJ15</f>
        <v>0.73538760975181261</v>
      </c>
      <c r="DK15" s="7">
        <f>DJ15+預測IC!DK15</f>
        <v>0.63361277570034458</v>
      </c>
      <c r="DL15" s="7">
        <f>DK15+預測IC!DL15</f>
        <v>0.63330878249751676</v>
      </c>
      <c r="DM15" s="7">
        <f>DL15+預測IC!DM15</f>
        <v>0.65711732936518541</v>
      </c>
      <c r="DN15" s="7">
        <f>DM15+預測IC!DN15</f>
        <v>0.59009476013664242</v>
      </c>
      <c r="DO15" s="7">
        <f>DN15+預測IC!DO15</f>
        <v>0.74964017149591466</v>
      </c>
      <c r="DP15" s="7">
        <f>DO15+預測IC!DP15</f>
        <v>0.78997036428714817</v>
      </c>
      <c r="DQ15" s="7">
        <f>DP15+預測IC!DQ15</f>
        <v>0.86290844419129098</v>
      </c>
      <c r="DR15" s="7">
        <f>DQ15+預測IC!DR15</f>
        <v>0.88494370918616494</v>
      </c>
      <c r="DS15" s="7">
        <f>DR15+預測IC!DS15</f>
        <v>0.84741356540819657</v>
      </c>
      <c r="DT15" s="7">
        <f>DS15+預測IC!DT15</f>
        <v>0.91957719712635955</v>
      </c>
      <c r="DU15" s="7">
        <f>DT15+預測IC!DU15</f>
        <v>0.96534792607804021</v>
      </c>
      <c r="DV15" s="7">
        <f>DU15+預測IC!DV15</f>
        <v>0.82557956913716879</v>
      </c>
      <c r="DW15" s="7">
        <f>DV15+預測IC!DW15</f>
        <v>0.85111819628400132</v>
      </c>
      <c r="DX15" s="7">
        <f>DW15+預測IC!DX15</f>
        <v>0.82957252596352127</v>
      </c>
      <c r="DY15" s="7">
        <f>DX15+預測IC!DY15</f>
        <v>0.91324616065606001</v>
      </c>
      <c r="DZ15" s="7">
        <f>DY15+預測IC!DZ15</f>
        <v>0.8766496628922561</v>
      </c>
      <c r="EA15" s="7">
        <f>DZ15+預測IC!EA15</f>
        <v>0.76747272998237748</v>
      </c>
      <c r="EB15" s="7">
        <f>EA15+預測IC!EB15</f>
        <v>0.82359921024970217</v>
      </c>
      <c r="EC15" s="7">
        <f>EB15+預測IC!EC15</f>
        <v>0.89975628704632205</v>
      </c>
      <c r="ED15" s="7">
        <f>EC15+預測IC!ED15</f>
        <v>1.0131133429816335</v>
      </c>
      <c r="EE15" s="7">
        <f>ED15+預測IC!EE15</f>
        <v>1.0163040634831604</v>
      </c>
      <c r="EF15" s="7">
        <f>EE15+預測IC!EF15</f>
        <v>0.95060307234431818</v>
      </c>
    </row>
    <row r="16" spans="1:137" x14ac:dyDescent="0.3">
      <c r="A16" s="1">
        <v>9</v>
      </c>
      <c r="B16" s="1" t="s">
        <v>154</v>
      </c>
      <c r="C16" s="7">
        <v>-2.7383644610379052E-2</v>
      </c>
      <c r="D16" s="7">
        <f>C16+預測IC!D16</f>
        <v>0.38081133412220153</v>
      </c>
      <c r="E16" s="7">
        <f>D16+預測IC!E16</f>
        <v>0.38364151073228692</v>
      </c>
      <c r="F16" s="7">
        <f>E16+預測IC!F16</f>
        <v>0.48302400358777398</v>
      </c>
      <c r="G16" s="7">
        <f>F16+預測IC!G16</f>
        <v>0.55672026871469782</v>
      </c>
      <c r="H16" s="7">
        <f>G16+預測IC!H16</f>
        <v>0.49572126409776096</v>
      </c>
      <c r="I16" s="7">
        <f>H16+預測IC!I16</f>
        <v>0.43819064543213954</v>
      </c>
      <c r="J16" s="7">
        <f>I16+預測IC!J16</f>
        <v>0.36949661217891183</v>
      </c>
      <c r="K16" s="7">
        <f>J16+預測IC!K16</f>
        <v>0.65416716240544392</v>
      </c>
      <c r="L16" s="7">
        <f>K16+預測IC!L16</f>
        <v>0.64428062781757511</v>
      </c>
      <c r="M16" s="7">
        <f>L16+預測IC!M16</f>
        <v>0.63029319195565803</v>
      </c>
      <c r="N16" s="7">
        <f>M16+預測IC!N16</f>
        <v>0.5046225664129077</v>
      </c>
      <c r="O16" s="7">
        <f>N16+預測IC!O16</f>
        <v>0.5202436586382182</v>
      </c>
      <c r="P16" s="7">
        <f>O16+預測IC!P16</f>
        <v>0.52843183815255013</v>
      </c>
      <c r="Q16" s="7">
        <f>P16+預測IC!Q16</f>
        <v>0.68633490857688817</v>
      </c>
      <c r="R16" s="7">
        <f>Q16+預測IC!R16</f>
        <v>0.70551767083252326</v>
      </c>
      <c r="S16" s="7">
        <f>R16+預測IC!S16</f>
        <v>0.6631024876215692</v>
      </c>
      <c r="T16" s="7">
        <f>S16+預測IC!T16</f>
        <v>0.63987570267742966</v>
      </c>
      <c r="U16" s="7">
        <f>T16+預測IC!U16</f>
        <v>0.76993817410717413</v>
      </c>
      <c r="V16" s="7">
        <f>U16+預測IC!V16</f>
        <v>0.69436668799826717</v>
      </c>
      <c r="W16" s="7">
        <f>V16+預測IC!W16</f>
        <v>0.59273533086709174</v>
      </c>
      <c r="X16" s="7">
        <f>W16+預測IC!X16</f>
        <v>0.66641360852455889</v>
      </c>
      <c r="Y16" s="7">
        <f>X16+預測IC!Y16</f>
        <v>0.61613477406349637</v>
      </c>
      <c r="Z16" s="7">
        <f>Y16+預測IC!Z16</f>
        <v>0.59605897918507156</v>
      </c>
      <c r="AA16" s="7">
        <f>Z16+預測IC!AA16</f>
        <v>0.64628450605098586</v>
      </c>
      <c r="AB16" s="7">
        <f>AA16+預測IC!AB16</f>
        <v>0.57526837963364874</v>
      </c>
      <c r="AC16" s="7">
        <f>AB16+預測IC!AC16</f>
        <v>0.62249461583620924</v>
      </c>
      <c r="AD16" s="7">
        <f>AC16+預測IC!AD16</f>
        <v>0.58768344397895778</v>
      </c>
      <c r="AE16" s="7">
        <f>AD16+預測IC!AE16</f>
        <v>0.63921843586085969</v>
      </c>
      <c r="AF16" s="7">
        <f>AE16+預測IC!AF16</f>
        <v>0.49130282559643318</v>
      </c>
      <c r="AG16" s="7">
        <f>AF16+預測IC!AG16</f>
        <v>0.53507898533220555</v>
      </c>
      <c r="AH16" s="7">
        <f>AG16+預測IC!AH16</f>
        <v>0.57918600435521506</v>
      </c>
      <c r="AI16" s="7">
        <f>AH16+預測IC!AI16</f>
        <v>0.54580274868356771</v>
      </c>
      <c r="AJ16" s="7">
        <f>AI16+預測IC!AJ16</f>
        <v>0.56343199040660286</v>
      </c>
      <c r="AK16" s="7">
        <f>AJ16+預測IC!AK16</f>
        <v>0.52599853742511504</v>
      </c>
      <c r="AL16" s="7">
        <f>AK16+預測IC!AL16</f>
        <v>0.52055883479446208</v>
      </c>
      <c r="AM16" s="7">
        <f>AL16+預測IC!AM16</f>
        <v>0.46841310231437094</v>
      </c>
      <c r="AN16" s="7">
        <f>AM16+預測IC!AN16</f>
        <v>0.41570095881935154</v>
      </c>
      <c r="AO16" s="7">
        <f>AN16+預測IC!AO16</f>
        <v>0.35427628699343922</v>
      </c>
      <c r="AP16" s="7">
        <f>AO16+預測IC!AP16</f>
        <v>0.43207465513902776</v>
      </c>
      <c r="AQ16" s="7">
        <f>AP16+預測IC!AQ16</f>
        <v>0.47054085528509637</v>
      </c>
      <c r="AR16" s="7">
        <f>AQ16+預測IC!AR16</f>
        <v>0.43804809556503266</v>
      </c>
      <c r="AS16" s="7">
        <f>AR16+預測IC!AS16</f>
        <v>0.4906908138032664</v>
      </c>
      <c r="AT16" s="7">
        <f>AS16+預測IC!AT16</f>
        <v>0.54023796912163646</v>
      </c>
      <c r="AU16" s="7">
        <f>AT16+預測IC!AU16</f>
        <v>0.58206480737653155</v>
      </c>
      <c r="AV16" s="7">
        <f>AU16+預測IC!AV16</f>
        <v>0.57299230059651285</v>
      </c>
      <c r="AW16" s="7">
        <f>AV16+預測IC!AW16</f>
        <v>0.61224523067116354</v>
      </c>
      <c r="AX16" s="7">
        <f>AW16+預測IC!AX16</f>
        <v>0.51162390156976079</v>
      </c>
      <c r="AY16" s="7">
        <f>AX16+預測IC!AY16</f>
        <v>0.53122575516890003</v>
      </c>
      <c r="AZ16" s="7">
        <f>AY16+預測IC!AZ16</f>
        <v>0.42631611999018781</v>
      </c>
      <c r="BA16" s="7">
        <f>AZ16+預測IC!BA16</f>
        <v>0.44123922504777391</v>
      </c>
      <c r="BB16" s="7">
        <f>BA16+預測IC!BB16</f>
        <v>0.57371396264434571</v>
      </c>
      <c r="BC16" s="7">
        <f>BB16+預測IC!BC16</f>
        <v>0.53471457072211404</v>
      </c>
      <c r="BD16" s="7">
        <f>BC16+預測IC!BD16</f>
        <v>0.57065128226801809</v>
      </c>
      <c r="BE16" s="7">
        <f>BD16+預測IC!BE16</f>
        <v>0.52651214562794924</v>
      </c>
      <c r="BF16" s="7">
        <f>BE16+預測IC!BF16</f>
        <v>0.47192718242216297</v>
      </c>
      <c r="BG16" s="7">
        <f>BF16+預測IC!BG16</f>
        <v>0.49125838939386535</v>
      </c>
      <c r="BH16" s="7">
        <f>BG16+預測IC!BH16</f>
        <v>0.42921836384229772</v>
      </c>
      <c r="BI16" s="7">
        <f>BH16+預測IC!BI16</f>
        <v>0.47066217160555962</v>
      </c>
      <c r="BJ16" s="7">
        <f>BI16+預測IC!BJ16</f>
        <v>0.45015835532235204</v>
      </c>
      <c r="BK16" s="7">
        <f>BJ16+預測IC!BK16</f>
        <v>0.55493155824292073</v>
      </c>
      <c r="BL16" s="7">
        <f>BK16+預測IC!BL16</f>
        <v>0.54651730084919004</v>
      </c>
      <c r="BM16" s="7">
        <f>BL16+預測IC!BM16</f>
        <v>0.47671147559638954</v>
      </c>
      <c r="BN16" s="7">
        <f>BM16+預測IC!BN16</f>
        <v>0.5439094460010786</v>
      </c>
      <c r="BO16" s="7">
        <f>BN16+預測IC!BO16</f>
        <v>0.55986976499581453</v>
      </c>
      <c r="BP16" s="7">
        <f>BO16+預測IC!BP16</f>
        <v>0.58071294854339506</v>
      </c>
      <c r="BQ16" s="7">
        <f>BP16+預測IC!BQ16</f>
        <v>0.59719096479832368</v>
      </c>
      <c r="BR16" s="7">
        <f>BQ16+預測IC!BR16</f>
        <v>0.72777393302334525</v>
      </c>
      <c r="BS16" s="7">
        <f>BR16+預測IC!BS16</f>
        <v>0.71458235987588103</v>
      </c>
      <c r="BT16" s="7">
        <f>BS16+預測IC!BT16</f>
        <v>0.67651628166363564</v>
      </c>
      <c r="BU16" s="7">
        <f>BT16+預測IC!BU16</f>
        <v>0.7342813918484361</v>
      </c>
      <c r="BV16" s="7">
        <f>BU16+預測IC!BV16</f>
        <v>0.79499263129527697</v>
      </c>
      <c r="BW16" s="7">
        <f>BV16+預測IC!BW16</f>
        <v>0.72925170386874238</v>
      </c>
      <c r="BX16" s="7">
        <f>BW16+預測IC!BX16</f>
        <v>0.76081094138987337</v>
      </c>
      <c r="BY16" s="7">
        <f>BX16+預測IC!BY16</f>
        <v>0.64181623333659488</v>
      </c>
      <c r="BZ16" s="7">
        <f>BY16+預測IC!BZ16</f>
        <v>0.75334208183824414</v>
      </c>
      <c r="CA16" s="7">
        <f>BZ16+預測IC!CA16</f>
        <v>0.78077425148993806</v>
      </c>
      <c r="CB16" s="7">
        <f>CA16+預測IC!CB16</f>
        <v>0.9200829874232721</v>
      </c>
      <c r="CC16" s="7">
        <f>CB16+預測IC!CC16</f>
        <v>0.96447114059347794</v>
      </c>
      <c r="CD16" s="7">
        <f>CC16+預測IC!CD16</f>
        <v>1.0522222308590718</v>
      </c>
      <c r="CE16" s="7">
        <f>CD16+預測IC!CE16</f>
        <v>1.1458364613269876</v>
      </c>
      <c r="CF16" s="7">
        <f>CE16+預測IC!CF16</f>
        <v>1.0930363769917066</v>
      </c>
      <c r="CG16" s="7">
        <f>CF16+預測IC!CG16</f>
        <v>1.2392324170178484</v>
      </c>
      <c r="CH16" s="7">
        <f>CG16+預測IC!CH16</f>
        <v>1.2809298317208755</v>
      </c>
      <c r="CI16" s="7">
        <f>CH16+預測IC!CI16</f>
        <v>1.2225850818763675</v>
      </c>
      <c r="CJ16" s="7">
        <f>CI16+預測IC!CJ16</f>
        <v>1.2681086326640341</v>
      </c>
      <c r="CK16" s="7">
        <f>CJ16+預測IC!CK16</f>
        <v>1.3445816163817244</v>
      </c>
      <c r="CL16" s="7">
        <f>CK16+預測IC!CL16</f>
        <v>1.3604602987164336</v>
      </c>
      <c r="CM16" s="7">
        <f>CL16+預測IC!CM16</f>
        <v>1.3534605719707813</v>
      </c>
      <c r="CN16" s="7">
        <f>CM16+預測IC!CN16</f>
        <v>1.1931006556542538</v>
      </c>
      <c r="CO16" s="7">
        <f>CN16+預測IC!CO16</f>
        <v>1.3277408644481592</v>
      </c>
      <c r="CP16" s="7">
        <f>CO16+預測IC!CP16</f>
        <v>1.1911091749660678</v>
      </c>
      <c r="CQ16" s="7">
        <f>CP16+預測IC!CQ16</f>
        <v>1.1496735693066573</v>
      </c>
      <c r="CR16" s="7">
        <f>CQ16+預測IC!CR16</f>
        <v>1.1013738026233408</v>
      </c>
      <c r="CS16" s="7">
        <f>CR16+預測IC!CS16</f>
        <v>1.1231808115329629</v>
      </c>
      <c r="CT16" s="7">
        <f>CS16+預測IC!CT16</f>
        <v>1.118113405032122</v>
      </c>
      <c r="CU16" s="7">
        <f>CT16+預測IC!CU16</f>
        <v>1.1815480593910967</v>
      </c>
      <c r="CV16" s="7">
        <f>CU16+預測IC!CV16</f>
        <v>1.1982991434718175</v>
      </c>
      <c r="CW16" s="7">
        <f>CV16+預測IC!CW16</f>
        <v>1.2074933030044392</v>
      </c>
      <c r="CX16" s="7">
        <f>CW16+預測IC!CX16</f>
        <v>1.2141800806826675</v>
      </c>
      <c r="CY16" s="7">
        <f>CX16+預測IC!CY16</f>
        <v>1.263297129799293</v>
      </c>
      <c r="CZ16" s="7">
        <f>CY16+預測IC!CZ16</f>
        <v>1.1606638706211605</v>
      </c>
      <c r="DA16" s="7">
        <f>CZ16+預測IC!DA16</f>
        <v>1.190468664588396</v>
      </c>
      <c r="DB16" s="7">
        <f>DA16+預測IC!DB16</f>
        <v>1.2331808343686219</v>
      </c>
      <c r="DC16" s="7">
        <f>DB16+預測IC!DC16</f>
        <v>1.1499167827456374</v>
      </c>
      <c r="DD16" s="7">
        <f>DC16+預測IC!DD16</f>
        <v>1.219987717802995</v>
      </c>
      <c r="DE16" s="7">
        <f>DD16+預測IC!DE16</f>
        <v>1.1854353174442049</v>
      </c>
      <c r="DF16" s="7">
        <f>DE16+預測IC!DF16</f>
        <v>0.85985576652705231</v>
      </c>
      <c r="DG16" s="7">
        <f>DF16+預測IC!DG16</f>
        <v>0.84540281889561364</v>
      </c>
      <c r="DH16" s="7">
        <f>DG16+預測IC!DH16</f>
        <v>0.86453216231358476</v>
      </c>
      <c r="DI16" s="7">
        <f>DH16+預測IC!DI16</f>
        <v>0.81913266441232357</v>
      </c>
      <c r="DJ16" s="7">
        <f>DI16+預測IC!DJ16</f>
        <v>0.76737944333976837</v>
      </c>
      <c r="DK16" s="7">
        <f>DJ16+預測IC!DK16</f>
        <v>0.63378508671418765</v>
      </c>
      <c r="DL16" s="7">
        <f>DK16+預測IC!DL16</f>
        <v>0.61191221246441341</v>
      </c>
      <c r="DM16" s="7">
        <f>DL16+預測IC!DM16</f>
        <v>0.64224316222275435</v>
      </c>
      <c r="DN16" s="7">
        <f>DM16+預測IC!DN16</f>
        <v>0.58553558528443761</v>
      </c>
      <c r="DO16" s="7">
        <f>DN16+預測IC!DO16</f>
        <v>0.75512653167251187</v>
      </c>
      <c r="DP16" s="7">
        <f>DO16+預測IC!DP16</f>
        <v>0.77984311505024739</v>
      </c>
      <c r="DQ16" s="7">
        <f>DP16+預測IC!DQ16</f>
        <v>0.84740363499588334</v>
      </c>
      <c r="DR16" s="7">
        <f>DQ16+預測IC!DR16</f>
        <v>0.85858180264498463</v>
      </c>
      <c r="DS16" s="7">
        <f>DR16+預測IC!DS16</f>
        <v>0.83714112993249157</v>
      </c>
      <c r="DT16" s="7">
        <f>DS16+預測IC!DT16</f>
        <v>0.93767525775695715</v>
      </c>
      <c r="DU16" s="7">
        <f>DT16+預測IC!DU16</f>
        <v>1.0021489915264958</v>
      </c>
      <c r="DV16" s="7">
        <f>DU16+預測IC!DV16</f>
        <v>0.86519525950870235</v>
      </c>
      <c r="DW16" s="7">
        <f>DV16+預測IC!DW16</f>
        <v>0.90611298920839323</v>
      </c>
      <c r="DX16" s="7">
        <f>DW16+預測IC!DX16</f>
        <v>0.8841652614323523</v>
      </c>
      <c r="DY16" s="7">
        <f>DX16+預測IC!DY16</f>
        <v>0.97915012565358928</v>
      </c>
      <c r="DZ16" s="7">
        <f>DY16+預測IC!DZ16</f>
        <v>0.9665009540677999</v>
      </c>
      <c r="EA16" s="7">
        <f>DZ16+預測IC!EA16</f>
        <v>0.82670193532441016</v>
      </c>
      <c r="EB16" s="7">
        <f>EA16+預測IC!EB16</f>
        <v>0.89757737910396118</v>
      </c>
      <c r="EC16" s="7">
        <f>EB16+預測IC!EC16</f>
        <v>0.96607885967180018</v>
      </c>
      <c r="ED16" s="7">
        <f>EC16+預測IC!ED16</f>
        <v>1.0814956071707214</v>
      </c>
      <c r="EE16" s="7">
        <f>ED16+預測IC!EE16</f>
        <v>1.085892282477481</v>
      </c>
      <c r="EF16" s="7">
        <f>EE16+預測IC!EF16</f>
        <v>1.0434178809835739</v>
      </c>
    </row>
    <row r="17" spans="1:136" x14ac:dyDescent="0.3">
      <c r="A17" s="1">
        <v>8</v>
      </c>
      <c r="B17" s="1" t="s">
        <v>155</v>
      </c>
      <c r="C17" s="7">
        <v>-4.1028984252961823E-2</v>
      </c>
      <c r="D17" s="7">
        <f>C17+預測IC!D17</f>
        <v>0.3985595043716596</v>
      </c>
      <c r="E17" s="7">
        <f>D17+預測IC!E17</f>
        <v>0.39118050287635825</v>
      </c>
      <c r="F17" s="7">
        <f>E17+預測IC!F17</f>
        <v>0.50401801799365398</v>
      </c>
      <c r="G17" s="7">
        <f>F17+預測IC!G17</f>
        <v>0.57524078487183572</v>
      </c>
      <c r="H17" s="7">
        <f>G17+預測IC!H17</f>
        <v>0.49855296330921883</v>
      </c>
      <c r="I17" s="7">
        <f>H17+預測IC!I17</f>
        <v>0.38482793550703132</v>
      </c>
      <c r="J17" s="7">
        <f>I17+預測IC!J17</f>
        <v>0.26952886226508144</v>
      </c>
      <c r="K17" s="7">
        <f>J17+預測IC!K17</f>
        <v>0.56635541336564388</v>
      </c>
      <c r="L17" s="7">
        <f>K17+預測IC!L17</f>
        <v>0.55664452385748586</v>
      </c>
      <c r="M17" s="7">
        <f>L17+預測IC!M17</f>
        <v>0.57130366594777426</v>
      </c>
      <c r="N17" s="7">
        <f>M17+預測IC!N17</f>
        <v>0.43535523389498909</v>
      </c>
      <c r="O17" s="7">
        <f>N17+預測IC!O17</f>
        <v>0.45998728910693476</v>
      </c>
      <c r="P17" s="7">
        <f>O17+預測IC!P17</f>
        <v>0.47337023585030308</v>
      </c>
      <c r="Q17" s="7">
        <f>P17+預測IC!Q17</f>
        <v>0.63517153046542996</v>
      </c>
      <c r="R17" s="7">
        <f>Q17+預測IC!R17</f>
        <v>0.6371467817460994</v>
      </c>
      <c r="S17" s="7">
        <f>R17+預測IC!S17</f>
        <v>0.58201475600812702</v>
      </c>
      <c r="T17" s="7">
        <f>S17+預測IC!T17</f>
        <v>0.55850716735656603</v>
      </c>
      <c r="U17" s="7">
        <f>T17+預測IC!U17</f>
        <v>0.69977830989512291</v>
      </c>
      <c r="V17" s="7">
        <f>U17+預測IC!V17</f>
        <v>0.60251865404251981</v>
      </c>
      <c r="W17" s="7">
        <f>V17+預測IC!W17</f>
        <v>0.47385139968485124</v>
      </c>
      <c r="X17" s="7">
        <f>W17+預測IC!X17</f>
        <v>0.57403736668883953</v>
      </c>
      <c r="Y17" s="7">
        <f>X17+預測IC!Y17</f>
        <v>0.50041423519843187</v>
      </c>
      <c r="Z17" s="7">
        <f>Y17+預測IC!Z17</f>
        <v>0.47880574540416548</v>
      </c>
      <c r="AA17" s="7">
        <f>Z17+預測IC!AA17</f>
        <v>0.54105994249063716</v>
      </c>
      <c r="AB17" s="7">
        <f>AA17+預測IC!AB17</f>
        <v>0.48272578179985903</v>
      </c>
      <c r="AC17" s="7">
        <f>AB17+預測IC!AC17</f>
        <v>0.5414544720903528</v>
      </c>
      <c r="AD17" s="7">
        <f>AC17+預測IC!AD17</f>
        <v>0.47283464885350601</v>
      </c>
      <c r="AE17" s="7">
        <f>AD17+預測IC!AE17</f>
        <v>0.53227814854919842</v>
      </c>
      <c r="AF17" s="7">
        <f>AE17+預測IC!AF17</f>
        <v>0.41199182389335193</v>
      </c>
      <c r="AG17" s="7">
        <f>AF17+預測IC!AG17</f>
        <v>0.4746319654644906</v>
      </c>
      <c r="AH17" s="7">
        <f>AG17+預測IC!AH17</f>
        <v>0.50655341567682144</v>
      </c>
      <c r="AI17" s="7">
        <f>AH17+預測IC!AI17</f>
        <v>0.44951544002133492</v>
      </c>
      <c r="AJ17" s="7">
        <f>AI17+預測IC!AJ17</f>
        <v>0.47172289954608138</v>
      </c>
      <c r="AK17" s="7">
        <f>AJ17+預測IC!AK17</f>
        <v>0.44234700993650611</v>
      </c>
      <c r="AL17" s="7">
        <f>AK17+預測IC!AL17</f>
        <v>0.41532882776781749</v>
      </c>
      <c r="AM17" s="7">
        <f>AL17+預測IC!AM17</f>
        <v>0.32197711774128723</v>
      </c>
      <c r="AN17" s="7">
        <f>AM17+預測IC!AN17</f>
        <v>0.2726167453222732</v>
      </c>
      <c r="AO17" s="7">
        <f>AN17+預測IC!AO17</f>
        <v>0.25998441072654899</v>
      </c>
      <c r="AP17" s="7">
        <f>AO17+預測IC!AP17</f>
        <v>0.33722722514613446</v>
      </c>
      <c r="AQ17" s="7">
        <f>AP17+預測IC!AQ17</f>
        <v>0.39775436254763347</v>
      </c>
      <c r="AR17" s="7">
        <f>AQ17+預測IC!AR17</f>
        <v>0.36275708151257602</v>
      </c>
      <c r="AS17" s="7">
        <f>AR17+預測IC!AS17</f>
        <v>0.42156003845681034</v>
      </c>
      <c r="AT17" s="7">
        <f>AS17+預測IC!AT17</f>
        <v>0.47382784490653257</v>
      </c>
      <c r="AU17" s="7">
        <f>AT17+預測IC!AU17</f>
        <v>0.52838335219322041</v>
      </c>
      <c r="AV17" s="7">
        <f>AU17+預測IC!AV17</f>
        <v>0.507177449410952</v>
      </c>
      <c r="AW17" s="7">
        <f>AV17+預測IC!AW17</f>
        <v>0.51559933745278874</v>
      </c>
      <c r="AX17" s="7">
        <f>AW17+預測IC!AX17</f>
        <v>0.41798023233518078</v>
      </c>
      <c r="AY17" s="7">
        <f>AX17+預測IC!AY17</f>
        <v>0.43345827804042725</v>
      </c>
      <c r="AZ17" s="7">
        <f>AY17+預測IC!AZ17</f>
        <v>0.30830067578023612</v>
      </c>
      <c r="BA17" s="7">
        <f>AZ17+預測IC!BA17</f>
        <v>0.31812585488734907</v>
      </c>
      <c r="BB17" s="7">
        <f>BA17+預測IC!BB17</f>
        <v>0.47139713916573378</v>
      </c>
      <c r="BC17" s="7">
        <f>BB17+預測IC!BC17</f>
        <v>0.44410431478524381</v>
      </c>
      <c r="BD17" s="7">
        <f>BC17+預測IC!BD17</f>
        <v>0.4664607970314486</v>
      </c>
      <c r="BE17" s="7">
        <f>BD17+預測IC!BE17</f>
        <v>0.45016340826090434</v>
      </c>
      <c r="BF17" s="7">
        <f>BE17+預測IC!BF17</f>
        <v>0.3727458042058317</v>
      </c>
      <c r="BG17" s="7">
        <f>BF17+預測IC!BG17</f>
        <v>0.35959249342005944</v>
      </c>
      <c r="BH17" s="7">
        <f>BG17+預測IC!BH17</f>
        <v>0.31085449917527125</v>
      </c>
      <c r="BI17" s="7">
        <f>BH17+預測IC!BI17</f>
        <v>0.39796644461521846</v>
      </c>
      <c r="BJ17" s="7">
        <f>BI17+預測IC!BJ17</f>
        <v>0.38810838034198197</v>
      </c>
      <c r="BK17" s="7">
        <f>BJ17+預測IC!BK17</f>
        <v>0.50292417234149955</v>
      </c>
      <c r="BL17" s="7">
        <f>BK17+預測IC!BL17</f>
        <v>0.51049777744844704</v>
      </c>
      <c r="BM17" s="7">
        <f>BL17+預測IC!BM17</f>
        <v>0.43253045166660337</v>
      </c>
      <c r="BN17" s="7">
        <f>BM17+預測IC!BN17</f>
        <v>0.50618721960296931</v>
      </c>
      <c r="BO17" s="7">
        <f>BN17+預測IC!BO17</f>
        <v>0.5375375182863511</v>
      </c>
      <c r="BP17" s="7">
        <f>BO17+預測IC!BP17</f>
        <v>0.57353349794083197</v>
      </c>
      <c r="BQ17" s="7">
        <f>BP17+預測IC!BQ17</f>
        <v>0.58491000838728358</v>
      </c>
      <c r="BR17" s="7">
        <f>BQ17+預測IC!BR17</f>
        <v>0.69993236141303539</v>
      </c>
      <c r="BS17" s="7">
        <f>BR17+預測IC!BS17</f>
        <v>0.69582889230242884</v>
      </c>
      <c r="BT17" s="7">
        <f>BS17+預測IC!BT17</f>
        <v>0.66218131905607047</v>
      </c>
      <c r="BU17" s="7">
        <f>BT17+預測IC!BU17</f>
        <v>0.73330913780682283</v>
      </c>
      <c r="BV17" s="7">
        <f>BU17+預測IC!BV17</f>
        <v>0.8035194408264511</v>
      </c>
      <c r="BW17" s="7">
        <f>BV17+預測IC!BW17</f>
        <v>0.72308772822718526</v>
      </c>
      <c r="BX17" s="7">
        <f>BW17+預測IC!BX17</f>
        <v>0.75191069284685796</v>
      </c>
      <c r="BY17" s="7">
        <f>BX17+預測IC!BY17</f>
        <v>0.65604982092686692</v>
      </c>
      <c r="BZ17" s="7">
        <f>BY17+預測IC!BZ17</f>
        <v>0.77662797680795226</v>
      </c>
      <c r="CA17" s="7">
        <f>BZ17+預測IC!CA17</f>
        <v>0.80382476118586699</v>
      </c>
      <c r="CB17" s="7">
        <f>CA17+預測IC!CB17</f>
        <v>0.95345791887875664</v>
      </c>
      <c r="CC17" s="7">
        <f>CB17+預測IC!CC17</f>
        <v>0.99521817135299229</v>
      </c>
      <c r="CD17" s="7">
        <f>CC17+預測IC!CD17</f>
        <v>1.0593241166183196</v>
      </c>
      <c r="CE17" s="7">
        <f>CD17+預測IC!CE17</f>
        <v>1.1550321902798146</v>
      </c>
      <c r="CF17" s="7">
        <f>CE17+預測IC!CF17</f>
        <v>1.0967933936851182</v>
      </c>
      <c r="CG17" s="7">
        <f>CF17+預測IC!CG17</f>
        <v>1.2738280010084697</v>
      </c>
      <c r="CH17" s="7">
        <f>CG17+預測IC!CH17</f>
        <v>1.3324644476155196</v>
      </c>
      <c r="CI17" s="7">
        <f>CH17+預測IC!CI17</f>
        <v>1.2500115332954624</v>
      </c>
      <c r="CJ17" s="7">
        <f>CI17+預測IC!CJ17</f>
        <v>1.3007538547799045</v>
      </c>
      <c r="CK17" s="7">
        <f>CJ17+預測IC!CK17</f>
        <v>1.3924924274378174</v>
      </c>
      <c r="CL17" s="7">
        <f>CK17+預測IC!CL17</f>
        <v>1.3830660826687862</v>
      </c>
      <c r="CM17" s="7">
        <f>CL17+預測IC!CM17</f>
        <v>1.3847360555621395</v>
      </c>
      <c r="CN17" s="7">
        <f>CM17+預測IC!CN17</f>
        <v>1.2082047769807527</v>
      </c>
      <c r="CO17" s="7">
        <f>CN17+預測IC!CO17</f>
        <v>1.3456176523102779</v>
      </c>
      <c r="CP17" s="7">
        <f>CO17+預測IC!CP17</f>
        <v>1.1974583831129342</v>
      </c>
      <c r="CQ17" s="7">
        <f>CP17+預測IC!CQ17</f>
        <v>1.1563704499295309</v>
      </c>
      <c r="CR17" s="7">
        <f>CQ17+預測IC!CR17</f>
        <v>1.1056939592273076</v>
      </c>
      <c r="CS17" s="7">
        <f>CR17+預測IC!CS17</f>
        <v>1.1172394749443129</v>
      </c>
      <c r="CT17" s="7">
        <f>CS17+預測IC!CT17</f>
        <v>1.0679794185551197</v>
      </c>
      <c r="CU17" s="7">
        <f>CT17+預測IC!CU17</f>
        <v>1.1423877261383737</v>
      </c>
      <c r="CV17" s="7">
        <f>CU17+預測IC!CV17</f>
        <v>1.1385081181984462</v>
      </c>
      <c r="CW17" s="7">
        <f>CV17+預測IC!CW17</f>
        <v>1.1582699721077991</v>
      </c>
      <c r="CX17" s="7">
        <f>CW17+預測IC!CX17</f>
        <v>1.1832624213133207</v>
      </c>
      <c r="CY17" s="7">
        <f>CX17+預測IC!CY17</f>
        <v>1.2326457200294108</v>
      </c>
      <c r="CZ17" s="7">
        <f>CY17+預測IC!CZ17</f>
        <v>1.1083968821817902</v>
      </c>
      <c r="DA17" s="7">
        <f>CZ17+預測IC!DA17</f>
        <v>1.1522927413269244</v>
      </c>
      <c r="DB17" s="7">
        <f>DA17+預測IC!DB17</f>
        <v>1.1871757521193924</v>
      </c>
      <c r="DC17" s="7">
        <f>DB17+預測IC!DC17</f>
        <v>1.0883263595695829</v>
      </c>
      <c r="DD17" s="7">
        <f>DC17+預測IC!DD17</f>
        <v>1.1734602926537367</v>
      </c>
      <c r="DE17" s="7">
        <f>DD17+預測IC!DE17</f>
        <v>1.1493354293070148</v>
      </c>
      <c r="DF17" s="7">
        <f>DE17+預測IC!DF17</f>
        <v>0.79710987503554276</v>
      </c>
      <c r="DG17" s="7">
        <f>DF17+預測IC!DG17</f>
        <v>0.79894915696445112</v>
      </c>
      <c r="DH17" s="7">
        <f>DG17+預測IC!DH17</f>
        <v>0.83767580790246388</v>
      </c>
      <c r="DI17" s="7">
        <f>DH17+預測IC!DI17</f>
        <v>0.80263127183651883</v>
      </c>
      <c r="DJ17" s="7">
        <f>DI17+預測IC!DJ17</f>
        <v>0.74548477150917547</v>
      </c>
      <c r="DK17" s="7">
        <f>DJ17+預測IC!DK17</f>
        <v>0.5894483433926293</v>
      </c>
      <c r="DL17" s="7">
        <f>DK17+預測IC!DL17</f>
        <v>0.58551861170150066</v>
      </c>
      <c r="DM17" s="7">
        <f>DL17+預測IC!DM17</f>
        <v>0.63777152228381673</v>
      </c>
      <c r="DN17" s="7">
        <f>DM17+預測IC!DN17</f>
        <v>0.57714233949126825</v>
      </c>
      <c r="DO17" s="7">
        <f>DN17+預測IC!DO17</f>
        <v>0.75690526558999704</v>
      </c>
      <c r="DP17" s="7">
        <f>DO17+預測IC!DP17</f>
        <v>0.7820026955980518</v>
      </c>
      <c r="DQ17" s="7">
        <f>DP17+預測IC!DQ17</f>
        <v>0.84724704373181403</v>
      </c>
      <c r="DR17" s="7">
        <f>DQ17+預測IC!DR17</f>
        <v>0.87297348319808754</v>
      </c>
      <c r="DS17" s="7">
        <f>DR17+預測IC!DS17</f>
        <v>0.83561939444298527</v>
      </c>
      <c r="DT17" s="7">
        <f>DS17+預測IC!DT17</f>
        <v>0.92875834412813685</v>
      </c>
      <c r="DU17" s="7">
        <f>DT17+預測IC!DU17</f>
        <v>1.0004890501786421</v>
      </c>
      <c r="DV17" s="7">
        <f>DU17+預測IC!DV17</f>
        <v>0.88272365206768777</v>
      </c>
      <c r="DW17" s="7">
        <f>DV17+預測IC!DW17</f>
        <v>0.9314051354818379</v>
      </c>
      <c r="DX17" s="7">
        <f>DW17+預測IC!DX17</f>
        <v>0.95444031565102661</v>
      </c>
      <c r="DY17" s="7">
        <f>DX17+預測IC!DY17</f>
        <v>1.0804508535520814</v>
      </c>
      <c r="DZ17" s="7">
        <f>DY17+預測IC!DZ17</f>
        <v>1.0852419067980699</v>
      </c>
      <c r="EA17" s="7">
        <f>DZ17+預測IC!EA17</f>
        <v>0.9206703835659551</v>
      </c>
      <c r="EB17" s="7">
        <f>EA17+預測IC!EB17</f>
        <v>0.99445135328360801</v>
      </c>
      <c r="EC17" s="7">
        <f>EB17+預測IC!EC17</f>
        <v>1.1159633705516312</v>
      </c>
      <c r="ED17" s="7">
        <f>EC17+預測IC!ED17</f>
        <v>1.2442878144805438</v>
      </c>
      <c r="EE17" s="7">
        <f>ED17+預測IC!EE17</f>
        <v>1.2440942933344643</v>
      </c>
      <c r="EF17" s="7">
        <f>EE17+預測IC!EF17</f>
        <v>1.1963845263246125</v>
      </c>
    </row>
    <row r="18" spans="1:136" x14ac:dyDescent="0.3">
      <c r="A18" s="1">
        <v>7</v>
      </c>
      <c r="B18" s="1" t="s">
        <v>156</v>
      </c>
      <c r="C18" s="7">
        <v>-5.3942228163147227E-2</v>
      </c>
      <c r="D18" s="7">
        <f>C18+預測IC!D18</f>
        <v>0.34794145325892079</v>
      </c>
      <c r="E18" s="7">
        <f>D18+預測IC!E18</f>
        <v>0.40694211035712857</v>
      </c>
      <c r="F18" s="7">
        <f>E18+預測IC!F18</f>
        <v>0.54135648479051424</v>
      </c>
      <c r="G18" s="7">
        <f>F18+預測IC!G18</f>
        <v>0.62215073181137415</v>
      </c>
      <c r="H18" s="7">
        <f>G18+預測IC!H18</f>
        <v>0.50023794244810404</v>
      </c>
      <c r="I18" s="7">
        <f>H18+預測IC!I18</f>
        <v>0.36473776222486298</v>
      </c>
      <c r="J18" s="7">
        <f>I18+預測IC!J18</f>
        <v>0.23957596913632118</v>
      </c>
      <c r="K18" s="7">
        <f>J18+預測IC!K18</f>
        <v>0.59825806764422085</v>
      </c>
      <c r="L18" s="7">
        <f>K18+預測IC!L18</f>
        <v>0.58527558079723929</v>
      </c>
      <c r="M18" s="7">
        <f>L18+預測IC!M18</f>
        <v>0.61432704517369663</v>
      </c>
      <c r="N18" s="7">
        <f>M18+預測IC!N18</f>
        <v>0.4713346178889255</v>
      </c>
      <c r="O18" s="7">
        <f>N18+預測IC!O18</f>
        <v>0.49565849273174523</v>
      </c>
      <c r="P18" s="7">
        <f>O18+預測IC!P18</f>
        <v>0.50398657858565421</v>
      </c>
      <c r="Q18" s="7">
        <f>P18+預測IC!Q18</f>
        <v>0.69296199727514407</v>
      </c>
      <c r="R18" s="7">
        <f>Q18+預測IC!R18</f>
        <v>0.71228819620200046</v>
      </c>
      <c r="S18" s="7">
        <f>R18+預測IC!S18</f>
        <v>0.6432748558082918</v>
      </c>
      <c r="T18" s="7">
        <f>S18+預測IC!T18</f>
        <v>0.63824671563502711</v>
      </c>
      <c r="U18" s="7">
        <f>T18+預測IC!U18</f>
        <v>0.77074174006484608</v>
      </c>
      <c r="V18" s="7">
        <f>U18+預測IC!V18</f>
        <v>0.64935027863892036</v>
      </c>
      <c r="W18" s="7">
        <f>V18+預測IC!W18</f>
        <v>0.48321544936962124</v>
      </c>
      <c r="X18" s="7">
        <f>W18+預測IC!X18</f>
        <v>0.61033825799511154</v>
      </c>
      <c r="Y18" s="7">
        <f>X18+預測IC!Y18</f>
        <v>0.50645901408630023</v>
      </c>
      <c r="Z18" s="7">
        <f>Y18+預測IC!Z18</f>
        <v>0.48955329789891633</v>
      </c>
      <c r="AA18" s="7">
        <f>Z18+預測IC!AA18</f>
        <v>0.54435779587913147</v>
      </c>
      <c r="AB18" s="7">
        <f>AA18+預測IC!AB18</f>
        <v>0.48264394520540804</v>
      </c>
      <c r="AC18" s="7">
        <f>AB18+預測IC!AC18</f>
        <v>0.54046695806136535</v>
      </c>
      <c r="AD18" s="7">
        <f>AC18+預測IC!AD18</f>
        <v>0.44418111287594603</v>
      </c>
      <c r="AE18" s="7">
        <f>AD18+預測IC!AE18</f>
        <v>0.52138270449482571</v>
      </c>
      <c r="AF18" s="7">
        <f>AE18+預測IC!AF18</f>
        <v>0.37083906467075234</v>
      </c>
      <c r="AG18" s="7">
        <f>AF18+預測IC!AG18</f>
        <v>0.45255904456350593</v>
      </c>
      <c r="AH18" s="7">
        <f>AG18+預測IC!AH18</f>
        <v>0.48847227497941242</v>
      </c>
      <c r="AI18" s="7">
        <f>AH18+預測IC!AI18</f>
        <v>0.40704852492824273</v>
      </c>
      <c r="AJ18" s="7">
        <f>AI18+預測IC!AJ18</f>
        <v>0.41437596881743222</v>
      </c>
      <c r="AK18" s="7">
        <f>AJ18+預測IC!AK18</f>
        <v>0.39154308345543576</v>
      </c>
      <c r="AL18" s="7">
        <f>AK18+預測IC!AL18</f>
        <v>0.35873027167582633</v>
      </c>
      <c r="AM18" s="7">
        <f>AL18+預測IC!AM18</f>
        <v>0.26267724253900832</v>
      </c>
      <c r="AN18" s="7">
        <f>AM18+預測IC!AN18</f>
        <v>0.20901566427432391</v>
      </c>
      <c r="AO18" s="7">
        <f>AN18+預測IC!AO18</f>
        <v>0.20358812930663112</v>
      </c>
      <c r="AP18" s="7">
        <f>AO18+預測IC!AP18</f>
        <v>0.2818667212404381</v>
      </c>
      <c r="AQ18" s="7">
        <f>AP18+預測IC!AQ18</f>
        <v>0.35809756656688807</v>
      </c>
      <c r="AR18" s="7">
        <f>AQ18+預測IC!AR18</f>
        <v>0.29640304296610648</v>
      </c>
      <c r="AS18" s="7">
        <f>AR18+預測IC!AS18</f>
        <v>0.37965617085529241</v>
      </c>
      <c r="AT18" s="7">
        <f>AS18+預測IC!AT18</f>
        <v>0.42298182067587109</v>
      </c>
      <c r="AU18" s="7">
        <f>AT18+預測IC!AU18</f>
        <v>0.48755746475546263</v>
      </c>
      <c r="AV18" s="7">
        <f>AU18+預測IC!AV18</f>
        <v>0.45878870887374545</v>
      </c>
      <c r="AW18" s="7">
        <f>AV18+預測IC!AW18</f>
        <v>0.48332674311485291</v>
      </c>
      <c r="AX18" s="7">
        <f>AW18+預測IC!AX18</f>
        <v>0.35726240568872547</v>
      </c>
      <c r="AY18" s="7">
        <f>AX18+預測IC!AY18</f>
        <v>0.38745176441721563</v>
      </c>
      <c r="AZ18" s="7">
        <f>AY18+預測IC!AZ18</f>
        <v>0.23904268202831652</v>
      </c>
      <c r="BA18" s="7">
        <f>AZ18+預測IC!BA18</f>
        <v>0.2396749929530021</v>
      </c>
      <c r="BB18" s="7">
        <f>BA18+預測IC!BB18</f>
        <v>0.40693301143379468</v>
      </c>
      <c r="BC18" s="7">
        <f>BB18+預測IC!BC18</f>
        <v>0.43487506213576443</v>
      </c>
      <c r="BD18" s="7">
        <f>BC18+預測IC!BD18</f>
        <v>0.41085879044846402</v>
      </c>
      <c r="BE18" s="7">
        <f>BD18+預測IC!BE18</f>
        <v>0.38862824918958006</v>
      </c>
      <c r="BF18" s="7">
        <f>BE18+預測IC!BF18</f>
        <v>0.3504850981014157</v>
      </c>
      <c r="BG18" s="7">
        <f>BF18+預測IC!BG18</f>
        <v>0.34817686121191038</v>
      </c>
      <c r="BH18" s="7">
        <f>BG18+預測IC!BH18</f>
        <v>0.28524147738661604</v>
      </c>
      <c r="BI18" s="7">
        <f>BH18+預測IC!BI18</f>
        <v>0.39424148430528172</v>
      </c>
      <c r="BJ18" s="7">
        <f>BI18+預測IC!BJ18</f>
        <v>0.40019754835574128</v>
      </c>
      <c r="BK18" s="7">
        <f>BJ18+預測IC!BK18</f>
        <v>0.47365317517974692</v>
      </c>
      <c r="BL18" s="7">
        <f>BK18+預測IC!BL18</f>
        <v>0.50000595466261577</v>
      </c>
      <c r="BM18" s="7">
        <f>BL18+預測IC!BM18</f>
        <v>0.43022362193313352</v>
      </c>
      <c r="BN18" s="7">
        <f>BM18+預測IC!BN18</f>
        <v>0.50843232141550887</v>
      </c>
      <c r="BO18" s="7">
        <f>BN18+預測IC!BO18</f>
        <v>0.51683905268388297</v>
      </c>
      <c r="BP18" s="7">
        <f>BO18+預測IC!BP18</f>
        <v>0.56369659301856501</v>
      </c>
      <c r="BQ18" s="7">
        <f>BP18+預測IC!BQ18</f>
        <v>0.56561337712841397</v>
      </c>
      <c r="BR18" s="7">
        <f>BQ18+預測IC!BR18</f>
        <v>0.68657519501088982</v>
      </c>
      <c r="BS18" s="7">
        <f>BR18+預測IC!BS18</f>
        <v>0.68259156991377057</v>
      </c>
      <c r="BT18" s="7">
        <f>BS18+預測IC!BT18</f>
        <v>0.66929241913609283</v>
      </c>
      <c r="BU18" s="7">
        <f>BT18+預測IC!BU18</f>
        <v>0.74996986317613368</v>
      </c>
      <c r="BV18" s="7">
        <f>BU18+預測IC!BV18</f>
        <v>0.83089325845317608</v>
      </c>
      <c r="BW18" s="7">
        <f>BV18+預測IC!BW18</f>
        <v>0.74558217151998063</v>
      </c>
      <c r="BX18" s="7">
        <f>BW18+預測IC!BX18</f>
        <v>0.76460064623601631</v>
      </c>
      <c r="BY18" s="7">
        <f>BX18+預測IC!BY18</f>
        <v>0.70191390178593138</v>
      </c>
      <c r="BZ18" s="7">
        <f>BY18+預測IC!BZ18</f>
        <v>0.85523388958852942</v>
      </c>
      <c r="CA18" s="7">
        <f>BZ18+預測IC!CA18</f>
        <v>0.88852005448905846</v>
      </c>
      <c r="CB18" s="7">
        <f>CA18+預測IC!CB18</f>
        <v>0.99536611495913163</v>
      </c>
      <c r="CC18" s="7">
        <f>CB18+預測IC!CC18</f>
        <v>1.1000267388007767</v>
      </c>
      <c r="CD18" s="7">
        <f>CC18+預測IC!CD18</f>
        <v>1.150472533355815</v>
      </c>
      <c r="CE18" s="7">
        <f>CD18+預測IC!CE18</f>
        <v>1.2277329282340377</v>
      </c>
      <c r="CF18" s="7">
        <f>CE18+預測IC!CF18</f>
        <v>1.2716906716206464</v>
      </c>
      <c r="CG18" s="7">
        <f>CF18+預測IC!CG18</f>
        <v>1.4983320775222664</v>
      </c>
      <c r="CH18" s="7">
        <f>CG18+預測IC!CH18</f>
        <v>1.6609891242094996</v>
      </c>
      <c r="CI18" s="7">
        <f>CH18+預測IC!CI18</f>
        <v>1.5432637142772156</v>
      </c>
      <c r="CJ18" s="7">
        <f>CI18+預測IC!CJ18</f>
        <v>1.6055773921021252</v>
      </c>
      <c r="CK18" s="7">
        <f>CJ18+預測IC!CK18</f>
        <v>1.6962451763944091</v>
      </c>
      <c r="CL18" s="7">
        <f>CK18+預測IC!CL18</f>
        <v>1.6652556313362159</v>
      </c>
      <c r="CM18" s="7">
        <f>CL18+預測IC!CM18</f>
        <v>1.6808043816782194</v>
      </c>
      <c r="CN18" s="7">
        <f>CM18+預測IC!CN18</f>
        <v>1.5598612481366447</v>
      </c>
      <c r="CO18" s="7">
        <f>CN18+預測IC!CO18</f>
        <v>1.7104587577588921</v>
      </c>
      <c r="CP18" s="7">
        <f>CO18+預測IC!CP18</f>
        <v>1.5476196488108813</v>
      </c>
      <c r="CQ18" s="7">
        <f>CP18+預測IC!CQ18</f>
        <v>1.4996431124026137</v>
      </c>
      <c r="CR18" s="7">
        <f>CQ18+預測IC!CR18</f>
        <v>1.4444869836860217</v>
      </c>
      <c r="CS18" s="7">
        <f>CR18+預測IC!CS18</f>
        <v>1.4726155441001103</v>
      </c>
      <c r="CT18" s="7">
        <f>CS18+預測IC!CT18</f>
        <v>1.3821001150978609</v>
      </c>
      <c r="CU18" s="7">
        <f>CT18+預測IC!CU18</f>
        <v>1.4537488063029709</v>
      </c>
      <c r="CV18" s="7">
        <f>CU18+預測IC!CV18</f>
        <v>1.3627085240726822</v>
      </c>
      <c r="CW18" s="7">
        <f>CV18+預測IC!CW18</f>
        <v>1.3711646096372079</v>
      </c>
      <c r="CX18" s="7">
        <f>CW18+預測IC!CX18</f>
        <v>1.3570858620569255</v>
      </c>
      <c r="CY18" s="7">
        <f>CX18+預測IC!CY18</f>
        <v>1.4084432758317078</v>
      </c>
      <c r="CZ18" s="7">
        <f>CY18+預測IC!CZ18</f>
        <v>1.2756004125299365</v>
      </c>
      <c r="DA18" s="7">
        <f>CZ18+預測IC!DA18</f>
        <v>1.32298135204863</v>
      </c>
      <c r="DB18" s="7">
        <f>DA18+預測IC!DB18</f>
        <v>1.3687165607273895</v>
      </c>
      <c r="DC18" s="7">
        <f>DB18+預測IC!DC18</f>
        <v>1.285896853516227</v>
      </c>
      <c r="DD18" s="7">
        <f>DC18+預測IC!DD18</f>
        <v>1.368359207011641</v>
      </c>
      <c r="DE18" s="7">
        <f>DD18+預測IC!DE18</f>
        <v>1.3299386195251901</v>
      </c>
      <c r="DF18" s="7">
        <f>DE18+預測IC!DF18</f>
        <v>0.96324660991117528</v>
      </c>
      <c r="DG18" s="7">
        <f>DF18+預測IC!DG18</f>
        <v>0.97086608306880295</v>
      </c>
      <c r="DH18" s="7">
        <f>DG18+預測IC!DH18</f>
        <v>0.99890409631745203</v>
      </c>
      <c r="DI18" s="7">
        <f>DH18+預測IC!DI18</f>
        <v>0.98029084828703383</v>
      </c>
      <c r="DJ18" s="7">
        <f>DI18+預測IC!DJ18</f>
        <v>0.92963633687713898</v>
      </c>
      <c r="DK18" s="7">
        <f>DJ18+預測IC!DK18</f>
        <v>0.77112270978471154</v>
      </c>
      <c r="DL18" s="7">
        <f>DK18+預測IC!DL18</f>
        <v>0.76729243571711936</v>
      </c>
      <c r="DM18" s="7">
        <f>DL18+預測IC!DM18</f>
        <v>0.8338005764491575</v>
      </c>
      <c r="DN18" s="7">
        <f>DM18+預測IC!DN18</f>
        <v>0.77692531610732318</v>
      </c>
      <c r="DO18" s="7">
        <f>DN18+預測IC!DO18</f>
        <v>0.99724552789862164</v>
      </c>
      <c r="DP18" s="7">
        <f>DO18+預測IC!DP18</f>
        <v>1.0187558626581161</v>
      </c>
      <c r="DQ18" s="7">
        <f>DP18+預測IC!DQ18</f>
        <v>1.0807113916254836</v>
      </c>
      <c r="DR18" s="7">
        <f>DQ18+預測IC!DR18</f>
        <v>1.0911626404450001</v>
      </c>
      <c r="DS18" s="7">
        <f>DR18+預測IC!DS18</f>
        <v>1.0798846581893173</v>
      </c>
      <c r="DT18" s="7">
        <f>DS18+預測IC!DT18</f>
        <v>1.1959020483002945</v>
      </c>
      <c r="DU18" s="7">
        <f>DT18+預測IC!DU18</f>
        <v>1.2927972343771992</v>
      </c>
      <c r="DV18" s="7">
        <f>DU18+預測IC!DV18</f>
        <v>1.1871566255771373</v>
      </c>
      <c r="DW18" s="7">
        <f>DV18+預測IC!DW18</f>
        <v>1.2690653178615106</v>
      </c>
      <c r="DX18" s="7">
        <f>DW18+預測IC!DX18</f>
        <v>1.3372426113832458</v>
      </c>
      <c r="DY18" s="7">
        <f>DX18+預測IC!DY18</f>
        <v>1.503005716045249</v>
      </c>
      <c r="DZ18" s="7">
        <f>DY18+預測IC!DZ18</f>
        <v>1.5462335709146908</v>
      </c>
      <c r="EA18" s="7">
        <f>DZ18+預測IC!EA18</f>
        <v>1.3472878227503537</v>
      </c>
      <c r="EB18" s="7">
        <f>EA18+預測IC!EB18</f>
        <v>1.4443305122926327</v>
      </c>
      <c r="EC18" s="7">
        <f>EB18+預測IC!EC18</f>
        <v>1.5873707428854182</v>
      </c>
      <c r="ED18" s="7">
        <f>EC18+預測IC!ED18</f>
        <v>1.6978487647511837</v>
      </c>
      <c r="EE18" s="7">
        <f>ED18+預測IC!EE18</f>
        <v>1.6989600524235413</v>
      </c>
      <c r="EF18" s="7">
        <f>EE18+預測IC!EF18</f>
        <v>1.6500050353131248</v>
      </c>
    </row>
    <row r="19" spans="1:136" x14ac:dyDescent="0.3">
      <c r="A19" s="1">
        <v>6</v>
      </c>
      <c r="B19" s="1" t="s">
        <v>157</v>
      </c>
      <c r="C19" s="7">
        <v>-7.7959416087486216E-2</v>
      </c>
      <c r="D19" s="7">
        <f>C19+預測IC!D19</f>
        <v>0.32956129400198308</v>
      </c>
      <c r="E19" s="7">
        <f>D19+預測IC!E19</f>
        <v>0.38445938776939526</v>
      </c>
      <c r="F19" s="7">
        <f>E19+預測IC!F19</f>
        <v>0.42310606965563935</v>
      </c>
      <c r="G19" s="7">
        <f>F19+預測IC!G19</f>
        <v>0.5206181602172395</v>
      </c>
      <c r="H19" s="7">
        <f>G19+預測IC!H19</f>
        <v>0.37172403818139221</v>
      </c>
      <c r="I19" s="7">
        <f>H19+預測IC!I19</f>
        <v>0.23706970528992571</v>
      </c>
      <c r="J19" s="7">
        <f>I19+預測IC!J19</f>
        <v>8.083935220372182E-2</v>
      </c>
      <c r="K19" s="7">
        <f>J19+預測IC!K19</f>
        <v>0.49917720317335601</v>
      </c>
      <c r="L19" s="7">
        <f>K19+預測IC!L19</f>
        <v>0.45612824553818998</v>
      </c>
      <c r="M19" s="7">
        <f>L19+預測IC!M19</f>
        <v>0.41243800938188269</v>
      </c>
      <c r="N19" s="7">
        <f>M19+預測IC!N19</f>
        <v>0.31709012369190182</v>
      </c>
      <c r="O19" s="7">
        <f>N19+預測IC!O19</f>
        <v>0.29729268969051698</v>
      </c>
      <c r="P19" s="7">
        <f>O19+預測IC!P19</f>
        <v>0.32080585051503702</v>
      </c>
      <c r="Q19" s="7">
        <f>P19+預測IC!Q19</f>
        <v>0.51796893877955696</v>
      </c>
      <c r="R19" s="7">
        <f>Q19+預測IC!R19</f>
        <v>0.55991156822877297</v>
      </c>
      <c r="S19" s="7">
        <f>R19+預測IC!S19</f>
        <v>0.48121530691561221</v>
      </c>
      <c r="T19" s="7">
        <f>S19+預測IC!T19</f>
        <v>0.3716894453796904</v>
      </c>
      <c r="U19" s="7">
        <f>T19+預測IC!U19</f>
        <v>0.50738778401161366</v>
      </c>
      <c r="V19" s="7">
        <f>U19+預測IC!V19</f>
        <v>0.4146994642863005</v>
      </c>
      <c r="W19" s="7">
        <f>V19+預測IC!W19</f>
        <v>0.239964700984069</v>
      </c>
      <c r="X19" s="7">
        <f>W19+預測IC!X19</f>
        <v>0.36288784722978601</v>
      </c>
      <c r="Y19" s="7">
        <f>X19+預測IC!Y19</f>
        <v>0.25975760829934769</v>
      </c>
      <c r="Z19" s="7">
        <f>Y19+預測IC!Z19</f>
        <v>0.23753436900044531</v>
      </c>
      <c r="AA19" s="7">
        <f>Z19+預測IC!AA19</f>
        <v>0.28483449079947987</v>
      </c>
      <c r="AB19" s="7">
        <f>AA19+預測IC!AB19</f>
        <v>0.22407213933292611</v>
      </c>
      <c r="AC19" s="7">
        <f>AB19+預測IC!AC19</f>
        <v>0.25252497397461743</v>
      </c>
      <c r="AD19" s="7">
        <f>AC19+預測IC!AD19</f>
        <v>0.15653159617654927</v>
      </c>
      <c r="AE19" s="7">
        <f>AD19+預測IC!AE19</f>
        <v>0.27176346613961605</v>
      </c>
      <c r="AF19" s="7">
        <f>AE19+預測IC!AF19</f>
        <v>0.10293288543157295</v>
      </c>
      <c r="AG19" s="7">
        <f>AF19+預測IC!AG19</f>
        <v>0.14441998887588459</v>
      </c>
      <c r="AH19" s="7">
        <f>AG19+預測IC!AH19</f>
        <v>0.16050947665082538</v>
      </c>
      <c r="AI19" s="7">
        <f>AH19+預測IC!AI19</f>
        <v>0.11274312389102902</v>
      </c>
      <c r="AJ19" s="7">
        <f>AI19+預測IC!AJ19</f>
        <v>0.10057593231504851</v>
      </c>
      <c r="AK19" s="7">
        <f>AJ19+預測IC!AK19</f>
        <v>5.9994409201885521E-2</v>
      </c>
      <c r="AL19" s="7">
        <f>AK19+預測IC!AL19</f>
        <v>4.5079801672087111E-2</v>
      </c>
      <c r="AM19" s="7">
        <f>AL19+預測IC!AM19</f>
        <v>-1.6044329381759599E-2</v>
      </c>
      <c r="AN19" s="7">
        <f>AM19+預測IC!AN19</f>
        <v>-7.8155713636246432E-2</v>
      </c>
      <c r="AO19" s="7">
        <f>AN19+預測IC!AO19</f>
        <v>-0.10404861668166085</v>
      </c>
      <c r="AP19" s="7">
        <f>AO19+預測IC!AP19</f>
        <v>-1.647449640880877E-2</v>
      </c>
      <c r="AQ19" s="7">
        <f>AP19+預測IC!AQ19</f>
        <v>7.1778260651841883E-2</v>
      </c>
      <c r="AR19" s="7">
        <f>AQ19+預測IC!AR19</f>
        <v>-2.8386369828169861E-3</v>
      </c>
      <c r="AS19" s="7">
        <f>AR19+預測IC!AS19</f>
        <v>0.10636023907024932</v>
      </c>
      <c r="AT19" s="7">
        <f>AS19+預測IC!AT19</f>
        <v>0.15565522083595063</v>
      </c>
      <c r="AU19" s="7">
        <f>AT19+預測IC!AU19</f>
        <v>0.2320839365496048</v>
      </c>
      <c r="AV19" s="7">
        <f>AU19+預測IC!AV19</f>
        <v>0.18205091585262689</v>
      </c>
      <c r="AW19" s="7">
        <f>AV19+預測IC!AW19</f>
        <v>0.20440708400676338</v>
      </c>
      <c r="AX19" s="7">
        <f>AW19+預測IC!AX19</f>
        <v>-1.971671129409272E-2</v>
      </c>
      <c r="AY19" s="7">
        <f>AX19+預測IC!AY19</f>
        <v>4.6556531418379524E-2</v>
      </c>
      <c r="AZ19" s="7">
        <f>AY19+預測IC!AZ19</f>
        <v>-0.14032308674979477</v>
      </c>
      <c r="BA19" s="7">
        <f>AZ19+預測IC!BA19</f>
        <v>-0.17468697070386779</v>
      </c>
      <c r="BB19" s="7">
        <f>BA19+預測IC!BB19</f>
        <v>2.7114939959340001E-2</v>
      </c>
      <c r="BC19" s="7">
        <f>BB19+預測IC!BC19</f>
        <v>0.21168672936576721</v>
      </c>
      <c r="BD19" s="7">
        <f>BC19+預測IC!BD19</f>
        <v>0.20845233673569907</v>
      </c>
      <c r="BE19" s="7">
        <f>BD19+預測IC!BE19</f>
        <v>0.17806166566739576</v>
      </c>
      <c r="BF19" s="7">
        <f>BE19+預測IC!BF19</f>
        <v>0.12862514844855352</v>
      </c>
      <c r="BG19" s="7">
        <f>BF19+預測IC!BG19</f>
        <v>0.12958836855689485</v>
      </c>
      <c r="BH19" s="7">
        <f>BG19+預測IC!BH19</f>
        <v>7.2453907230362283E-2</v>
      </c>
      <c r="BI19" s="7">
        <f>BH19+預測IC!BI19</f>
        <v>0.20025253604958099</v>
      </c>
      <c r="BJ19" s="7">
        <f>BI19+預測IC!BJ19</f>
        <v>0.22195983758816021</v>
      </c>
      <c r="BK19" s="7">
        <f>BJ19+預測IC!BK19</f>
        <v>0.31899826053354591</v>
      </c>
      <c r="BL19" s="7">
        <f>BK19+預測IC!BL19</f>
        <v>0.34499472532416819</v>
      </c>
      <c r="BM19" s="7">
        <f>BL19+預測IC!BM19</f>
        <v>0.25683792861238641</v>
      </c>
      <c r="BN19" s="7">
        <f>BM19+預測IC!BN19</f>
        <v>0.33825118881255428</v>
      </c>
      <c r="BO19" s="7">
        <f>BN19+預測IC!BO19</f>
        <v>0.31968887437220023</v>
      </c>
      <c r="BP19" s="7">
        <f>BO19+預測IC!BP19</f>
        <v>0.38250768190633239</v>
      </c>
      <c r="BQ19" s="7">
        <f>BP19+預測IC!BQ19</f>
        <v>0.39244172636065544</v>
      </c>
      <c r="BR19" s="7">
        <f>BQ19+預測IC!BR19</f>
        <v>0.52928096190380092</v>
      </c>
      <c r="BS19" s="7">
        <f>BR19+預測IC!BS19</f>
        <v>0.50502462315931884</v>
      </c>
      <c r="BT19" s="7">
        <f>BS19+預測IC!BT19</f>
        <v>0.5182182923624562</v>
      </c>
      <c r="BU19" s="7">
        <f>BT19+預測IC!BU19</f>
        <v>0.59415454359669428</v>
      </c>
      <c r="BV19" s="7">
        <f>BU19+預測IC!BV19</f>
        <v>0.68780978475004062</v>
      </c>
      <c r="BW19" s="7">
        <f>BV19+預測IC!BW19</f>
        <v>0.57884282336639559</v>
      </c>
      <c r="BX19" s="7">
        <f>BW19+預測IC!BX19</f>
        <v>0.61293060863825388</v>
      </c>
      <c r="BY19" s="7">
        <f>BX19+預測IC!BY19</f>
        <v>0.58525511622659343</v>
      </c>
      <c r="BZ19" s="7">
        <f>BY19+預測IC!BZ19</f>
        <v>0.65395724104864728</v>
      </c>
      <c r="CA19" s="7">
        <f>BZ19+預測IC!CA19</f>
        <v>0.68956703633804595</v>
      </c>
      <c r="CB19" s="7">
        <f>CA19+預測IC!CB19</f>
        <v>0.81740524543894311</v>
      </c>
      <c r="CC19" s="7">
        <f>CB19+預測IC!CC19</f>
        <v>0.8399114783374606</v>
      </c>
      <c r="CD19" s="7">
        <f>CC19+預測IC!CD19</f>
        <v>0.92757642669877693</v>
      </c>
      <c r="CE19" s="7">
        <f>CD19+預測IC!CE19</f>
        <v>1.0160512856364448</v>
      </c>
      <c r="CF19" s="7">
        <f>CE19+預測IC!CF19</f>
        <v>1.0951028106072591</v>
      </c>
      <c r="CG19" s="7">
        <f>CF19+預測IC!CG19</f>
        <v>1.3589959441727975</v>
      </c>
      <c r="CH19" s="7">
        <f>CG19+預測IC!CH19</f>
        <v>1.5118858112227238</v>
      </c>
      <c r="CI19" s="7">
        <f>CH19+預測IC!CI19</f>
        <v>1.3466833989518112</v>
      </c>
      <c r="CJ19" s="7">
        <f>CI19+預測IC!CJ19</f>
        <v>1.4086238989178475</v>
      </c>
      <c r="CK19" s="7">
        <f>CJ19+預測IC!CK19</f>
        <v>1.5125916167349456</v>
      </c>
      <c r="CL19" s="7">
        <f>CK19+預測IC!CL19</f>
        <v>1.4693513367601556</v>
      </c>
      <c r="CM19" s="7">
        <f>CL19+預測IC!CM19</f>
        <v>1.5449332077581499</v>
      </c>
      <c r="CN19" s="7">
        <f>CM19+預測IC!CN19</f>
        <v>1.4017399972886155</v>
      </c>
      <c r="CO19" s="7">
        <f>CN19+預測IC!CO19</f>
        <v>1.5678865550638961</v>
      </c>
      <c r="CP19" s="7">
        <f>CO19+預測IC!CP19</f>
        <v>1.4088539560815634</v>
      </c>
      <c r="CQ19" s="7">
        <f>CP19+預測IC!CQ19</f>
        <v>1.4115838642361254</v>
      </c>
      <c r="CR19" s="7">
        <f>CQ19+預測IC!CR19</f>
        <v>1.3618896746837228</v>
      </c>
      <c r="CS19" s="7">
        <f>CR19+預測IC!CS19</f>
        <v>1.405664661662027</v>
      </c>
      <c r="CT19" s="7">
        <f>CS19+預測IC!CT19</f>
        <v>1.2830442350319962</v>
      </c>
      <c r="CU19" s="7">
        <f>CT19+預測IC!CU19</f>
        <v>1.3664806321458891</v>
      </c>
      <c r="CV19" s="7">
        <f>CU19+預測IC!CV19</f>
        <v>1.2645007706294855</v>
      </c>
      <c r="CW19" s="7">
        <f>CV19+預測IC!CW19</f>
        <v>1.2864025784113842</v>
      </c>
      <c r="CX19" s="7">
        <f>CW19+預測IC!CX19</f>
        <v>1.2875301730287785</v>
      </c>
      <c r="CY19" s="7">
        <f>CX19+預測IC!CY19</f>
        <v>1.3584520425931481</v>
      </c>
      <c r="CZ19" s="7">
        <f>CY19+預測IC!CZ19</f>
        <v>1.2456002139516842</v>
      </c>
      <c r="DA19" s="7">
        <f>CZ19+預測IC!DA19</f>
        <v>1.303824090654921</v>
      </c>
      <c r="DB19" s="7">
        <f>DA19+預測IC!DB19</f>
        <v>1.3395449896801366</v>
      </c>
      <c r="DC19" s="7">
        <f>DB19+預測IC!DC19</f>
        <v>1.2739574049422397</v>
      </c>
      <c r="DD19" s="7">
        <f>DC19+預測IC!DD19</f>
        <v>1.3802147408970404</v>
      </c>
      <c r="DE19" s="7">
        <f>DD19+預測IC!DE19</f>
        <v>1.3471963262412485</v>
      </c>
      <c r="DF19" s="7">
        <f>DE19+預測IC!DF19</f>
        <v>1.1416945806469523</v>
      </c>
      <c r="DG19" s="7">
        <f>DF19+預測IC!DG19</f>
        <v>1.1544410555576015</v>
      </c>
      <c r="DH19" s="7">
        <f>DG19+預測IC!DH19</f>
        <v>1.1545980386870063</v>
      </c>
      <c r="DI19" s="7">
        <f>DH19+預測IC!DI19</f>
        <v>1.0959510056757378</v>
      </c>
      <c r="DJ19" s="7">
        <f>DI19+預測IC!DJ19</f>
        <v>1.0154514032657078</v>
      </c>
      <c r="DK19" s="7">
        <f>DJ19+預測IC!DK19</f>
        <v>0.89130681548150026</v>
      </c>
      <c r="DL19" s="7">
        <f>DK19+預測IC!DL19</f>
        <v>0.87932402957252642</v>
      </c>
      <c r="DM19" s="7">
        <f>DL19+預測IC!DM19</f>
        <v>0.96127628460652081</v>
      </c>
      <c r="DN19" s="7">
        <f>DM19+預測IC!DN19</f>
        <v>0.89698189027160269</v>
      </c>
      <c r="DO19" s="7">
        <f>DN19+預測IC!DO19</f>
        <v>1.146243841981347</v>
      </c>
      <c r="DP19" s="7">
        <f>DO19+預測IC!DP19</f>
        <v>1.1502463029126391</v>
      </c>
      <c r="DQ19" s="7">
        <f>DP19+預測IC!DQ19</f>
        <v>1.200869474362372</v>
      </c>
      <c r="DR19" s="7">
        <f>DQ19+預測IC!DR19</f>
        <v>1.2184142736381802</v>
      </c>
      <c r="DS19" s="7">
        <f>DR19+預測IC!DS19</f>
        <v>1.2240915871571711</v>
      </c>
      <c r="DT19" s="7">
        <f>DS19+預測IC!DT19</f>
        <v>1.3572200877765206</v>
      </c>
      <c r="DU19" s="7">
        <f>DT19+預測IC!DU19</f>
        <v>1.5000507858309609</v>
      </c>
      <c r="DV19" s="7">
        <f>DU19+預測IC!DV19</f>
        <v>1.3885260793903564</v>
      </c>
      <c r="DW19" s="7">
        <f>DV19+預測IC!DW19</f>
        <v>1.4491352187310407</v>
      </c>
      <c r="DX19" s="7">
        <f>DW19+預測IC!DX19</f>
        <v>1.5437494120885784</v>
      </c>
      <c r="DY19" s="7">
        <f>DX19+預測IC!DY19</f>
        <v>1.6958688216930653</v>
      </c>
      <c r="DZ19" s="7">
        <f>DY19+預測IC!DZ19</f>
        <v>1.7755123898315004</v>
      </c>
      <c r="EA19" s="7">
        <f>DZ19+預測IC!EA19</f>
        <v>1.5424665595262199</v>
      </c>
      <c r="EB19" s="7">
        <f>EA19+預測IC!EB19</f>
        <v>1.6487124175516645</v>
      </c>
      <c r="EC19" s="7">
        <f>EB19+預測IC!EC19</f>
        <v>1.7924866203766736</v>
      </c>
      <c r="ED19" s="7">
        <f>EC19+預測IC!ED19</f>
        <v>1.9434219373668304</v>
      </c>
      <c r="EE19" s="7">
        <f>ED19+預測IC!EE19</f>
        <v>1.9361154106897027</v>
      </c>
      <c r="EF19" s="7">
        <f>EE19+預測IC!EF19</f>
        <v>1.9191374558149337</v>
      </c>
    </row>
    <row r="20" spans="1:136" x14ac:dyDescent="0.3">
      <c r="A20" s="1">
        <v>5</v>
      </c>
      <c r="B20" s="1" t="s">
        <v>158</v>
      </c>
      <c r="C20" s="7">
        <v>-0.13932460396499161</v>
      </c>
      <c r="D20" s="7">
        <f>C20+預測IC!D20</f>
        <v>0.24270041608235829</v>
      </c>
      <c r="E20" s="7">
        <f>D20+預測IC!E20</f>
        <v>0.22720042793802431</v>
      </c>
      <c r="F20" s="7">
        <f>E20+預測IC!F20</f>
        <v>0.31841885011007026</v>
      </c>
      <c r="G20" s="7">
        <f>F20+預測IC!G20</f>
        <v>0.41878476202893417</v>
      </c>
      <c r="H20" s="7">
        <f>G20+預測IC!H20</f>
        <v>0.25441276390026424</v>
      </c>
      <c r="I20" s="7">
        <f>H20+預測IC!I20</f>
        <v>9.6263201299162549E-2</v>
      </c>
      <c r="J20" s="7">
        <f>I20+預測IC!J20</f>
        <v>-3.6944091777864646E-2</v>
      </c>
      <c r="K20" s="7">
        <f>J20+預測IC!K20</f>
        <v>5.3164562344809332E-2</v>
      </c>
      <c r="L20" s="7">
        <f>K20+預測IC!L20</f>
        <v>-4.2544073159726387E-2</v>
      </c>
      <c r="M20" s="7">
        <f>L20+預測IC!M20</f>
        <v>-0.12026230145099989</v>
      </c>
      <c r="N20" s="7">
        <f>M20+預測IC!N20</f>
        <v>-0.2221872304966398</v>
      </c>
      <c r="O20" s="7">
        <f>N20+預測IC!O20</f>
        <v>-0.33230175559994701</v>
      </c>
      <c r="P20" s="7">
        <f>O20+預測IC!P20</f>
        <v>-0.2891630767114195</v>
      </c>
      <c r="Q20" s="7">
        <f>P20+預測IC!Q20</f>
        <v>-7.2437337708440991E-2</v>
      </c>
      <c r="R20" s="7">
        <f>Q20+預測IC!R20</f>
        <v>-5.9677046195844574E-3</v>
      </c>
      <c r="S20" s="7">
        <f>R20+預測IC!S20</f>
        <v>-6.3308787192385668E-2</v>
      </c>
      <c r="T20" s="7">
        <f>S20+預測IC!T20</f>
        <v>-0.16415432023585835</v>
      </c>
      <c r="U20" s="7">
        <f>T20+預測IC!U20</f>
        <v>-1.5504640118083446E-2</v>
      </c>
      <c r="V20" s="7">
        <f>U20+預測IC!V20</f>
        <v>-0.11902224332270095</v>
      </c>
      <c r="W20" s="7">
        <f>V20+預測IC!W20</f>
        <v>-0.34546590540580246</v>
      </c>
      <c r="X20" s="7">
        <f>W20+預測IC!X20</f>
        <v>-0.19542359377826388</v>
      </c>
      <c r="Y20" s="7">
        <f>X20+預測IC!Y20</f>
        <v>-0.32438863266063767</v>
      </c>
      <c r="Z20" s="7">
        <f>Y20+預測IC!Z20</f>
        <v>-0.29523128260629122</v>
      </c>
      <c r="AA20" s="7">
        <f>Z20+預測IC!AA20</f>
        <v>-0.22826930382405111</v>
      </c>
      <c r="AB20" s="7">
        <f>AA20+預測IC!AB20</f>
        <v>-0.28869292811208103</v>
      </c>
      <c r="AC20" s="7">
        <f>AB20+預測IC!AC20</f>
        <v>-0.23224958247156147</v>
      </c>
      <c r="AD20" s="7">
        <f>AC20+預測IC!AD20</f>
        <v>-0.36209300118522586</v>
      </c>
      <c r="AE20" s="7">
        <f>AD20+預測IC!AE20</f>
        <v>-0.34478185155818847</v>
      </c>
      <c r="AF20" s="7">
        <f>AE20+預測IC!AF20</f>
        <v>-0.56827967119456113</v>
      </c>
      <c r="AG20" s="7">
        <f>AF20+預測IC!AG20</f>
        <v>-0.5361164223128847</v>
      </c>
      <c r="AH20" s="7">
        <f>AG20+預測IC!AH20</f>
        <v>-0.50830972003696817</v>
      </c>
      <c r="AI20" s="7">
        <f>AH20+預測IC!AI20</f>
        <v>-0.59158907378769154</v>
      </c>
      <c r="AJ20" s="7">
        <f>AI20+預測IC!AJ20</f>
        <v>-0.60883078950379277</v>
      </c>
      <c r="AK20" s="7">
        <f>AJ20+預測IC!AK20</f>
        <v>-0.6170793045664057</v>
      </c>
      <c r="AL20" s="7">
        <f>AK20+預測IC!AL20</f>
        <v>-0.63785956967500046</v>
      </c>
      <c r="AM20" s="7">
        <f>AL20+預測IC!AM20</f>
        <v>-0.70538942946332761</v>
      </c>
      <c r="AN20" s="7">
        <f>AM20+預測IC!AN20</f>
        <v>-0.67247274606733265</v>
      </c>
      <c r="AO20" s="7">
        <f>AN20+預測IC!AO20</f>
        <v>-0.71775782803202104</v>
      </c>
      <c r="AP20" s="7">
        <f>AO20+預測IC!AP20</f>
        <v>-0.58602736677663325</v>
      </c>
      <c r="AQ20" s="7">
        <f>AP20+預測IC!AQ20</f>
        <v>-0.61347985210958433</v>
      </c>
      <c r="AR20" s="7">
        <f>AQ20+預測IC!AR20</f>
        <v>-0.62676912519941852</v>
      </c>
      <c r="AS20" s="7">
        <f>AR20+預測IC!AS20</f>
        <v>-0.58447740875044263</v>
      </c>
      <c r="AT20" s="7">
        <f>AS20+預測IC!AT20</f>
        <v>-0.57861863499023691</v>
      </c>
      <c r="AU20" s="7">
        <f>AT20+預測IC!AU20</f>
        <v>-0.50292624809511111</v>
      </c>
      <c r="AV20" s="7">
        <f>AU20+預測IC!AV20</f>
        <v>-0.55755196187758926</v>
      </c>
      <c r="AW20" s="7">
        <f>AV20+預測IC!AW20</f>
        <v>-0.55068669369843826</v>
      </c>
      <c r="AX20" s="7">
        <f>AW20+預測IC!AX20</f>
        <v>-0.75502591365898497</v>
      </c>
      <c r="AY20" s="7">
        <f>AX20+預測IC!AY20</f>
        <v>-0.83708354967655152</v>
      </c>
      <c r="AZ20" s="7">
        <f>AY20+預測IC!AZ20</f>
        <v>-1.0508859808536402</v>
      </c>
      <c r="BA20" s="7">
        <f>AZ20+預測IC!BA20</f>
        <v>-1.0876848457141806</v>
      </c>
      <c r="BB20" s="7">
        <f>BA20+預測IC!BB20</f>
        <v>-0.85647121952610383</v>
      </c>
      <c r="BC20" s="7">
        <f>BB20+預測IC!BC20</f>
        <v>-0.61633054453569014</v>
      </c>
      <c r="BD20" s="7">
        <f>BC20+預測IC!BD20</f>
        <v>-0.66976035775728748</v>
      </c>
      <c r="BE20" s="7">
        <f>BD20+預測IC!BE20</f>
        <v>-0.70822719020272407</v>
      </c>
      <c r="BF20" s="7">
        <f>BE20+預測IC!BF20</f>
        <v>-0.76344409037699323</v>
      </c>
      <c r="BG20" s="7">
        <f>BF20+預測IC!BG20</f>
        <v>-0.81517128369513192</v>
      </c>
      <c r="BH20" s="7">
        <f>BG20+預測IC!BH20</f>
        <v>-0.86707056102073088</v>
      </c>
      <c r="BI20" s="7">
        <f>BH20+預測IC!BI20</f>
        <v>-0.73532529393555601</v>
      </c>
      <c r="BJ20" s="7">
        <f>BI20+預測IC!BJ20</f>
        <v>-0.71369578210236939</v>
      </c>
      <c r="BK20" s="7">
        <f>BJ20+預測IC!BK20</f>
        <v>-0.59604540969734754</v>
      </c>
      <c r="BL20" s="7">
        <f>BK20+預測IC!BL20</f>
        <v>-0.57626206819312342</v>
      </c>
      <c r="BM20" s="7">
        <f>BL20+預測IC!BM20</f>
        <v>-0.63081797852154586</v>
      </c>
      <c r="BN20" s="7">
        <f>BM20+預測IC!BN20</f>
        <v>-0.64945600577471219</v>
      </c>
      <c r="BO20" s="7">
        <f>BN20+預測IC!BO20</f>
        <v>-0.65706655072049513</v>
      </c>
      <c r="BP20" s="7">
        <f>BO20+預測IC!BP20</f>
        <v>-0.59665902995754017</v>
      </c>
      <c r="BQ20" s="7">
        <f>BP20+預測IC!BQ20</f>
        <v>-0.5812073229966972</v>
      </c>
      <c r="BR20" s="7">
        <f>BQ20+預測IC!BR20</f>
        <v>-0.40008024152503563</v>
      </c>
      <c r="BS20" s="7">
        <f>BR20+預測IC!BS20</f>
        <v>-0.3946727353338445</v>
      </c>
      <c r="BT20" s="7">
        <f>BS20+預測IC!BT20</f>
        <v>-0.34220511205193876</v>
      </c>
      <c r="BU20" s="7">
        <f>BT20+預測IC!BU20</f>
        <v>-0.24345016268423209</v>
      </c>
      <c r="BV20" s="7">
        <f>BU20+預測IC!BV20</f>
        <v>-0.12753183112116007</v>
      </c>
      <c r="BW20" s="7">
        <f>BV20+預測IC!BW20</f>
        <v>-0.2630350829336362</v>
      </c>
      <c r="BX20" s="7">
        <f>BW20+預測IC!BX20</f>
        <v>-0.23234144625039194</v>
      </c>
      <c r="BY20" s="7">
        <f>BX20+預測IC!BY20</f>
        <v>-0.2755249289376282</v>
      </c>
      <c r="BZ20" s="7">
        <f>BY20+預測IC!BZ20</f>
        <v>-0.1852535246773446</v>
      </c>
      <c r="CA20" s="7">
        <f>BZ20+預測IC!CA20</f>
        <v>-0.13503669858627074</v>
      </c>
      <c r="CB20" s="7">
        <f>CA20+預測IC!CB20</f>
        <v>-8.5416528162516325E-3</v>
      </c>
      <c r="CC20" s="7">
        <f>CB20+預測IC!CC20</f>
        <v>4.3734946618289774E-3</v>
      </c>
      <c r="CD20" s="7">
        <f>CC20+預測IC!CD20</f>
        <v>0.1004381423044242</v>
      </c>
      <c r="CE20" s="7">
        <f>CD20+預測IC!CE20</f>
        <v>0.18621631490686466</v>
      </c>
      <c r="CF20" s="7">
        <f>CE20+預測IC!CF20</f>
        <v>0.29200120418295639</v>
      </c>
      <c r="CG20" s="7">
        <f>CF20+預測IC!CG20</f>
        <v>0.61393972648234096</v>
      </c>
      <c r="CH20" s="7">
        <f>CG20+預測IC!CH20</f>
        <v>0.6858037520794793</v>
      </c>
      <c r="CI20" s="7">
        <f>CH20+預測IC!CI20</f>
        <v>0.55431801766783206</v>
      </c>
      <c r="CJ20" s="7">
        <f>CI20+預測IC!CJ20</f>
        <v>0.67775833755518311</v>
      </c>
      <c r="CK20" s="7">
        <f>CJ20+預測IC!CK20</f>
        <v>0.76873673430528977</v>
      </c>
      <c r="CL20" s="7">
        <f>CK20+預測IC!CL20</f>
        <v>0.67655180011616078</v>
      </c>
      <c r="CM20" s="7">
        <f>CL20+預測IC!CM20</f>
        <v>0.75600652729749673</v>
      </c>
      <c r="CN20" s="7">
        <f>CM20+預測IC!CN20</f>
        <v>0.55111469365639409</v>
      </c>
      <c r="CO20" s="7">
        <f>CN20+預測IC!CO20</f>
        <v>0.77963289683793513</v>
      </c>
      <c r="CP20" s="7">
        <f>CO20+預測IC!CP20</f>
        <v>0.58760169172890786</v>
      </c>
      <c r="CQ20" s="7">
        <f>CP20+預測IC!CQ20</f>
        <v>0.5814903337998456</v>
      </c>
      <c r="CR20" s="7">
        <f>CQ20+預測IC!CR20</f>
        <v>0.50837408929399519</v>
      </c>
      <c r="CS20" s="7">
        <f>CR20+預測IC!CS20</f>
        <v>0.53066712745335487</v>
      </c>
      <c r="CT20" s="7">
        <f>CS20+預測IC!CT20</f>
        <v>0.44019309003908857</v>
      </c>
      <c r="CU20" s="7">
        <f>CT20+預測IC!CU20</f>
        <v>0.53506074830560102</v>
      </c>
      <c r="CV20" s="7">
        <f>CU20+預測IC!CV20</f>
        <v>0.44254967261017492</v>
      </c>
      <c r="CW20" s="7">
        <f>CV20+預測IC!CW20</f>
        <v>0.4325966096888923</v>
      </c>
      <c r="CX20" s="7">
        <f>CW20+預測IC!CX20</f>
        <v>0.44198275344219451</v>
      </c>
      <c r="CY20" s="7">
        <f>CX20+預測IC!CY20</f>
        <v>0.45446248611049139</v>
      </c>
      <c r="CZ20" s="7">
        <f>CY20+預測IC!CZ20</f>
        <v>0.29930084096129306</v>
      </c>
      <c r="DA20" s="7">
        <f>CZ20+預測IC!DA20</f>
        <v>0.34677273411647064</v>
      </c>
      <c r="DB20" s="7">
        <f>DA20+預測IC!DB20</f>
        <v>0.40367544387360477</v>
      </c>
      <c r="DC20" s="7">
        <f>DB20+預測IC!DC20</f>
        <v>0.36634313273520402</v>
      </c>
      <c r="DD20" s="7">
        <f>DC20+預測IC!DD20</f>
        <v>0.51445194707402664</v>
      </c>
      <c r="DE20" s="7">
        <f>DD20+預測IC!DE20</f>
        <v>0.50403322546717388</v>
      </c>
      <c r="DF20" s="7">
        <f>DE20+預測IC!DF20</f>
        <v>0.25845902018958949</v>
      </c>
      <c r="DG20" s="7">
        <f>DF20+預測IC!DG20</f>
        <v>0.26266123080996018</v>
      </c>
      <c r="DH20" s="7">
        <f>DG20+預測IC!DH20</f>
        <v>0.27363664255248726</v>
      </c>
      <c r="DI20" s="7">
        <f>DH20+預測IC!DI20</f>
        <v>0.19938830696039392</v>
      </c>
      <c r="DJ20" s="7">
        <f>DI20+預測IC!DJ20</f>
        <v>0.1181112868005913</v>
      </c>
      <c r="DK20" s="7">
        <f>DJ20+預測IC!DK20</f>
        <v>3.3157305354536398E-2</v>
      </c>
      <c r="DL20" s="7">
        <f>DK20+預測IC!DL20</f>
        <v>1.3691932020916609E-2</v>
      </c>
      <c r="DM20" s="7">
        <f>DL20+預測IC!DM20</f>
        <v>4.408281741479534E-3</v>
      </c>
      <c r="DN20" s="7">
        <f>DM20+預測IC!DN20</f>
        <v>-6.0052920676977053E-2</v>
      </c>
      <c r="DO20" s="7">
        <f>DN20+預測IC!DO20</f>
        <v>0.19794844278203444</v>
      </c>
      <c r="DP20" s="7">
        <f>DO20+預測IC!DP20</f>
        <v>0.21961970454713892</v>
      </c>
      <c r="DQ20" s="7">
        <f>DP20+預測IC!DQ20</f>
        <v>0.25816001563150742</v>
      </c>
      <c r="DR20" s="7">
        <f>DQ20+預測IC!DR20</f>
        <v>0.31371800785823872</v>
      </c>
      <c r="DS20" s="7">
        <f>DR20+預測IC!DS20</f>
        <v>0.32120870361199783</v>
      </c>
      <c r="DT20" s="7">
        <f>DS20+預測IC!DT20</f>
        <v>0.45464468823413612</v>
      </c>
      <c r="DU20" s="7">
        <f>DT20+預測IC!DU20</f>
        <v>0.62671379544000549</v>
      </c>
      <c r="DV20" s="7">
        <f>DU20+預測IC!DV20</f>
        <v>0.4973683236011468</v>
      </c>
      <c r="DW20" s="7">
        <f>DV20+預測IC!DW20</f>
        <v>0.56642852755918638</v>
      </c>
      <c r="DX20" s="7">
        <f>DW20+預測IC!DX20</f>
        <v>0.66427974576391158</v>
      </c>
      <c r="DY20" s="7">
        <f>DX20+預測IC!DY20</f>
        <v>0.85168157580310477</v>
      </c>
      <c r="DZ20" s="7">
        <f>DY20+預測IC!DZ20</f>
        <v>0.8335664492907221</v>
      </c>
      <c r="EA20" s="7">
        <f>DZ20+預測IC!EA20</f>
        <v>0.53987646532655087</v>
      </c>
      <c r="EB20" s="7">
        <f>EA20+預測IC!EB20</f>
        <v>0.64618873217683792</v>
      </c>
      <c r="EC20" s="7">
        <f>EB20+預測IC!EC20</f>
        <v>0.7771948779389054</v>
      </c>
      <c r="ED20" s="7">
        <f>EC20+預測IC!ED20</f>
        <v>0.95411373900591556</v>
      </c>
      <c r="EE20" s="7">
        <f>ED20+預測IC!EE20</f>
        <v>0.95237275925406106</v>
      </c>
      <c r="EF20" s="7">
        <f>EE20+預測IC!EF20</f>
        <v>0.93209134263815385</v>
      </c>
    </row>
    <row r="21" spans="1:136" x14ac:dyDescent="0.3">
      <c r="A21" s="1">
        <v>4</v>
      </c>
      <c r="B21" s="1" t="s">
        <v>159</v>
      </c>
      <c r="C21" s="7">
        <v>-0.19764916434148611</v>
      </c>
      <c r="D21" s="7">
        <f>C21+預測IC!D21</f>
        <v>-7.1261247574662512E-2</v>
      </c>
      <c r="E21" s="7">
        <f>D21+預測IC!E21</f>
        <v>-7.0981895303870668E-2</v>
      </c>
      <c r="F21" s="7">
        <f>E21+預測IC!F21</f>
        <v>-1.9884411457462454E-2</v>
      </c>
      <c r="G21" s="7">
        <f>F21+預測IC!G21</f>
        <v>-1.2588273429611004E-2</v>
      </c>
      <c r="H21" s="7">
        <f>G21+預測IC!H21</f>
        <v>-0.2112563344093768</v>
      </c>
      <c r="I21" s="7">
        <f>H21+預測IC!I21</f>
        <v>-0.35851194253684981</v>
      </c>
      <c r="J21" s="7">
        <f>I21+預測IC!J21</f>
        <v>-0.49525485787670642</v>
      </c>
      <c r="K21" s="7">
        <f>J21+預測IC!K21</f>
        <v>-0.40628184052268435</v>
      </c>
      <c r="L21" s="7">
        <f>K21+預測IC!L21</f>
        <v>-0.51596144797691423</v>
      </c>
      <c r="M21" s="7">
        <f>L21+預測IC!M21</f>
        <v>-0.61564604138512546</v>
      </c>
      <c r="N21" s="7">
        <f>M21+預測IC!N21</f>
        <v>-0.715233453508067</v>
      </c>
      <c r="O21" s="7">
        <f>N21+預測IC!O21</f>
        <v>-0.85451094695505625</v>
      </c>
      <c r="P21" s="7">
        <f>O21+預測IC!P21</f>
        <v>-0.81461922409495346</v>
      </c>
      <c r="Q21" s="7">
        <f>P21+預測IC!Q21</f>
        <v>-0.55730915000070125</v>
      </c>
      <c r="R21" s="7">
        <f>Q21+預測IC!R21</f>
        <v>-0.47240391880736066</v>
      </c>
      <c r="S21" s="7">
        <f>R21+預測IC!S21</f>
        <v>-0.50896721046405757</v>
      </c>
      <c r="T21" s="7">
        <f>S21+預測IC!T21</f>
        <v>-0.64008757140248473</v>
      </c>
      <c r="U21" s="7">
        <f>T21+預測IC!U21</f>
        <v>-0.5538091537907267</v>
      </c>
      <c r="V21" s="7">
        <f>U21+預測IC!V21</f>
        <v>-0.65917992418008131</v>
      </c>
      <c r="W21" s="7">
        <f>V21+預測IC!W21</f>
        <v>-0.98210047286826829</v>
      </c>
      <c r="X21" s="7">
        <f>W21+預測IC!X21</f>
        <v>-0.77429920551493048</v>
      </c>
      <c r="Y21" s="7">
        <f>X21+預測IC!Y21</f>
        <v>-0.8670284294611349</v>
      </c>
      <c r="Z21" s="7">
        <f>Y21+預測IC!Z21</f>
        <v>-0.82757071378117786</v>
      </c>
      <c r="AA21" s="7">
        <f>Z21+預測IC!AA21</f>
        <v>-0.79953725758896932</v>
      </c>
      <c r="AB21" s="7">
        <f>AA21+預測IC!AB21</f>
        <v>-0.86482485261983522</v>
      </c>
      <c r="AC21" s="7">
        <f>AB21+預測IC!AC21</f>
        <v>-0.7905237228278128</v>
      </c>
      <c r="AD21" s="7">
        <f>AC21+預測IC!AD21</f>
        <v>-0.9193483884753707</v>
      </c>
      <c r="AE21" s="7">
        <f>AD21+預測IC!AE21</f>
        <v>-0.90903677778131065</v>
      </c>
      <c r="AF21" s="7">
        <f>AE21+預測IC!AF21</f>
        <v>-1.2041810358646741</v>
      </c>
      <c r="AG21" s="7">
        <f>AF21+預測IC!AG21</f>
        <v>-1.1931344637582302</v>
      </c>
      <c r="AH21" s="7">
        <f>AG21+預測IC!AH21</f>
        <v>-1.1497280812537911</v>
      </c>
      <c r="AI21" s="7">
        <f>AH21+預測IC!AI21</f>
        <v>-1.2174577618489422</v>
      </c>
      <c r="AJ21" s="7">
        <f>AI21+預測IC!AJ21</f>
        <v>-1.2226436874946431</v>
      </c>
      <c r="AK21" s="7">
        <f>AJ21+預測IC!AK21</f>
        <v>-1.2043253185853304</v>
      </c>
      <c r="AL21" s="7">
        <f>AK21+預測IC!AL21</f>
        <v>-1.2417168047200846</v>
      </c>
      <c r="AM21" s="7">
        <f>AL21+預測IC!AM21</f>
        <v>-1.178591086712601</v>
      </c>
      <c r="AN21" s="7">
        <f>AM21+預測IC!AN21</f>
        <v>-1.1598955541203568</v>
      </c>
      <c r="AO21" s="7">
        <f>AN21+預測IC!AO21</f>
        <v>-1.2076219497640834</v>
      </c>
      <c r="AP21" s="7">
        <f>AO21+預測IC!AP21</f>
        <v>-1.1350868061940642</v>
      </c>
      <c r="AQ21" s="7">
        <f>AP21+預測IC!AQ21</f>
        <v>-1.2119523132046119</v>
      </c>
      <c r="AR21" s="7">
        <f>AQ21+預測IC!AR21</f>
        <v>-1.1639641718013019</v>
      </c>
      <c r="AS21" s="7">
        <f>AR21+預測IC!AS21</f>
        <v>-1.1185574897412938</v>
      </c>
      <c r="AT21" s="7">
        <f>AS21+預測IC!AT21</f>
        <v>-1.1210504010184488</v>
      </c>
      <c r="AU21" s="7">
        <f>AT21+預測IC!AU21</f>
        <v>-1.0732407695094917</v>
      </c>
      <c r="AV21" s="7">
        <f>AU21+預測IC!AV21</f>
        <v>-1.1287615495716254</v>
      </c>
      <c r="AW21" s="7">
        <f>AV21+預測IC!AW21</f>
        <v>-1.1189705196175281</v>
      </c>
      <c r="AX21" s="7">
        <f>AW21+預測IC!AX21</f>
        <v>-1.3366888221345654</v>
      </c>
      <c r="AY21" s="7">
        <f>AX21+預測IC!AY21</f>
        <v>-1.4024111168670723</v>
      </c>
      <c r="AZ21" s="7">
        <f>AY21+預測IC!AZ21</f>
        <v>-1.6573223867642088</v>
      </c>
      <c r="BA21" s="7">
        <f>AZ21+預測IC!BA21</f>
        <v>-1.7283545684122947</v>
      </c>
      <c r="BB21" s="7">
        <f>BA21+預測IC!BB21</f>
        <v>-1.4338419314349728</v>
      </c>
      <c r="BC21" s="7">
        <f>BB21+預測IC!BC21</f>
        <v>-1.269381399506146</v>
      </c>
      <c r="BD21" s="7">
        <f>BC21+預測IC!BD21</f>
        <v>-1.2911322628767739</v>
      </c>
      <c r="BE21" s="7">
        <f>BD21+預測IC!BE21</f>
        <v>-1.3317205953805857</v>
      </c>
      <c r="BF21" s="7">
        <f>BE21+預測IC!BF21</f>
        <v>-1.394010544755774</v>
      </c>
      <c r="BG21" s="7">
        <f>BF21+預測IC!BG21</f>
        <v>-1.4725356042177287</v>
      </c>
      <c r="BH21" s="7">
        <f>BG21+預測IC!BH21</f>
        <v>-1.5404523347797912</v>
      </c>
      <c r="BI21" s="7">
        <f>BH21+預測IC!BI21</f>
        <v>-1.3744827386013994</v>
      </c>
      <c r="BJ21" s="7">
        <f>BI21+預測IC!BJ21</f>
        <v>-1.3509037124196817</v>
      </c>
      <c r="BK21" s="7">
        <f>BJ21+預測IC!BK21</f>
        <v>-1.2781805976709677</v>
      </c>
      <c r="BL21" s="7">
        <f>BK21+預測IC!BL21</f>
        <v>-1.2744277991629225</v>
      </c>
      <c r="BM21" s="7">
        <f>BL21+預測IC!BM21</f>
        <v>-1.3693981541562246</v>
      </c>
      <c r="BN21" s="7">
        <f>BM21+預測IC!BN21</f>
        <v>-1.3951889206046715</v>
      </c>
      <c r="BO21" s="7">
        <f>BN21+預測IC!BO21</f>
        <v>-1.3801848178947851</v>
      </c>
      <c r="BP21" s="7">
        <f>BO21+預測IC!BP21</f>
        <v>-1.2756756884753708</v>
      </c>
      <c r="BQ21" s="7">
        <f>BP21+預測IC!BQ21</f>
        <v>-1.2211334576408659</v>
      </c>
      <c r="BR21" s="7">
        <f>BQ21+預測IC!BR21</f>
        <v>-1.0790720017307704</v>
      </c>
      <c r="BS21" s="7">
        <f>BR21+預測IC!BS21</f>
        <v>-1.0732118289755943</v>
      </c>
      <c r="BT21" s="7">
        <f>BS21+預測IC!BT21</f>
        <v>-1.0123910864330694</v>
      </c>
      <c r="BU21" s="7">
        <f>BT21+預測IC!BU21</f>
        <v>-0.87689462423450015</v>
      </c>
      <c r="BV21" s="7">
        <f>BU21+預測IC!BV21</f>
        <v>-0.73475162404904681</v>
      </c>
      <c r="BW21" s="7">
        <f>BV21+預測IC!BW21</f>
        <v>-0.88143082098477787</v>
      </c>
      <c r="BX21" s="7">
        <f>BW21+預測IC!BX21</f>
        <v>-0.88442164026919179</v>
      </c>
      <c r="BY21" s="7">
        <f>BX21+預測IC!BY21</f>
        <v>-0.89933801918602874</v>
      </c>
      <c r="BZ21" s="7">
        <f>BY21+預測IC!BZ21</f>
        <v>-0.85167509046531309</v>
      </c>
      <c r="CA21" s="7">
        <f>BZ21+預測IC!CA21</f>
        <v>-0.75661565661775365</v>
      </c>
      <c r="CB21" s="7">
        <f>CA21+預測IC!CB21</f>
        <v>-0.54874580871616585</v>
      </c>
      <c r="CC21" s="7">
        <f>CB21+預測IC!CC21</f>
        <v>-0.55676476298713218</v>
      </c>
      <c r="CD21" s="7">
        <f>CC21+預測IC!CD21</f>
        <v>-0.47234121199461676</v>
      </c>
      <c r="CE21" s="7">
        <f>CD21+預測IC!CE21</f>
        <v>-0.41082632964046251</v>
      </c>
      <c r="CF21" s="7">
        <f>CE21+預測IC!CF21</f>
        <v>-0.2963001720292941</v>
      </c>
      <c r="CG21" s="7">
        <f>CF21+預測IC!CG21</f>
        <v>2.3866611351182399E-2</v>
      </c>
      <c r="CH21" s="7">
        <f>CG21+預測IC!CH21</f>
        <v>0.10396693242739413</v>
      </c>
      <c r="CI21" s="7">
        <f>CH21+預測IC!CI21</f>
        <v>-1.9326413984152871E-2</v>
      </c>
      <c r="CJ21" s="7">
        <f>CI21+預測IC!CJ21</f>
        <v>6.6301343032349427E-2</v>
      </c>
      <c r="CK21" s="7">
        <f>CJ21+預測IC!CK21</f>
        <v>0.19335188976248352</v>
      </c>
      <c r="CL21" s="7">
        <f>CK21+預測IC!CL21</f>
        <v>5.9461465139518832E-2</v>
      </c>
      <c r="CM21" s="7">
        <f>CL21+預測IC!CM21</f>
        <v>0.12245579799994322</v>
      </c>
      <c r="CN21" s="7">
        <f>CM21+預測IC!CN21</f>
        <v>4.160428917050954E-2</v>
      </c>
      <c r="CO21" s="7">
        <f>CN21+預測IC!CO21</f>
        <v>0.27939627030990205</v>
      </c>
      <c r="CP21" s="7">
        <f>CO21+預測IC!CP21</f>
        <v>5.6696209431989358E-2</v>
      </c>
      <c r="CQ21" s="7">
        <f>CP21+預測IC!CQ21</f>
        <v>5.3408117706898586E-2</v>
      </c>
      <c r="CR21" s="7">
        <f>CQ21+預測IC!CR21</f>
        <v>-3.7416160272781121E-2</v>
      </c>
      <c r="CS21" s="7">
        <f>CR21+預測IC!CS21</f>
        <v>-6.5084145902834616E-3</v>
      </c>
      <c r="CT21" s="7">
        <f>CS21+預測IC!CT21</f>
        <v>-8.8801287444622443E-2</v>
      </c>
      <c r="CU21" s="7">
        <f>CT21+預測IC!CU21</f>
        <v>-2.612772727513113E-2</v>
      </c>
      <c r="CV21" s="7">
        <f>CU21+預測IC!CV21</f>
        <v>-0.12435335929651804</v>
      </c>
      <c r="CW21" s="7">
        <f>CV21+預測IC!CW21</f>
        <v>-0.18935877657750672</v>
      </c>
      <c r="CX21" s="7">
        <f>CW21+預測IC!CX21</f>
        <v>-0.17596325261644757</v>
      </c>
      <c r="CY21" s="7">
        <f>CX21+預測IC!CY21</f>
        <v>-0.16748133621253311</v>
      </c>
      <c r="CZ21" s="7">
        <f>CY21+預測IC!CZ21</f>
        <v>-0.40493270703836332</v>
      </c>
      <c r="DA21" s="7">
        <f>CZ21+預測IC!DA21</f>
        <v>-0.40612496349509508</v>
      </c>
      <c r="DB21" s="7">
        <f>DA21+預測IC!DB21</f>
        <v>-0.35450052981894048</v>
      </c>
      <c r="DC21" s="7">
        <f>DB21+預測IC!DC21</f>
        <v>-0.50840532518865911</v>
      </c>
      <c r="DD21" s="7">
        <f>DC21+預測IC!DD21</f>
        <v>-0.62972801405730805</v>
      </c>
      <c r="DE21" s="7">
        <f>DD21+預測IC!DE21</f>
        <v>-0.65870575111763474</v>
      </c>
      <c r="DF21" s="7">
        <f>DE21+預測IC!DF21</f>
        <v>-0.95985596279967855</v>
      </c>
      <c r="DG21" s="7">
        <f>DF21+預測IC!DG21</f>
        <v>-0.96770234092821183</v>
      </c>
      <c r="DH21" s="7">
        <f>DG21+預測IC!DH21</f>
        <v>-0.98177916114066632</v>
      </c>
      <c r="DI21" s="7">
        <f>DH21+預測IC!DI21</f>
        <v>-1.0719283638584869</v>
      </c>
      <c r="DJ21" s="7">
        <f>DI21+預測IC!DJ21</f>
        <v>-1.1452311553605623</v>
      </c>
      <c r="DK21" s="7">
        <f>DJ21+預測IC!DK21</f>
        <v>-1.2847338621794668</v>
      </c>
      <c r="DL21" s="7">
        <f>DK21+預測IC!DL21</f>
        <v>-1.29747085368048</v>
      </c>
      <c r="DM21" s="7">
        <f>DL21+預測IC!DM21</f>
        <v>-1.2676367340382397</v>
      </c>
      <c r="DN21" s="7">
        <f>DM21+預測IC!DN21</f>
        <v>-1.3145115694048748</v>
      </c>
      <c r="DO21" s="7">
        <f>DN21+預測IC!DO21</f>
        <v>-0.98288476452622886</v>
      </c>
      <c r="DP21" s="7">
        <f>DO21+預測IC!DP21</f>
        <v>-0.94577613142799566</v>
      </c>
      <c r="DQ21" s="7">
        <f>DP21+預測IC!DQ21</f>
        <v>-0.9175600793755988</v>
      </c>
      <c r="DR21" s="7">
        <f>DQ21+預測IC!DR21</f>
        <v>-0.86400308956890459</v>
      </c>
      <c r="DS21" s="7">
        <f>DR21+預測IC!DS21</f>
        <v>-0.86233099488958331</v>
      </c>
      <c r="DT21" s="7">
        <f>DS21+預測IC!DT21</f>
        <v>-0.69176019220412255</v>
      </c>
      <c r="DU21" s="7">
        <f>DT21+預測IC!DU21</f>
        <v>-0.66366989820774391</v>
      </c>
      <c r="DV21" s="7">
        <f>DU21+預測IC!DV21</f>
        <v>-0.80394587507762194</v>
      </c>
      <c r="DW21" s="7">
        <f>DV21+預測IC!DW21</f>
        <v>-0.67569800641350086</v>
      </c>
      <c r="DX21" s="7">
        <f>DW21+預測IC!DX21</f>
        <v>-0.5588691165387184</v>
      </c>
      <c r="DY21" s="7">
        <f>DX21+預測IC!DY21</f>
        <v>-0.33320723535072921</v>
      </c>
      <c r="DZ21" s="7">
        <f>DY21+預測IC!DZ21</f>
        <v>-0.5130982570756295</v>
      </c>
      <c r="EA21" s="7">
        <f>DZ21+預測IC!EA21</f>
        <v>-0.77915508935497546</v>
      </c>
      <c r="EB21" s="7">
        <f>EA21+預測IC!EB21</f>
        <v>-0.67585953033096779</v>
      </c>
      <c r="EC21" s="7">
        <f>EB21+預測IC!EC21</f>
        <v>-0.53576551237874193</v>
      </c>
      <c r="ED21" s="7">
        <f>EC21+預測IC!ED21</f>
        <v>-0.48126665603056129</v>
      </c>
      <c r="EE21" s="7">
        <f>ED21+預測IC!EE21</f>
        <v>-0.45995606372269388</v>
      </c>
      <c r="EF21" s="7">
        <f>EE21+預測IC!EF21</f>
        <v>-0.44118479968057478</v>
      </c>
    </row>
    <row r="22" spans="1:136" x14ac:dyDescent="0.3">
      <c r="A22" s="1">
        <v>3</v>
      </c>
      <c r="B22" s="1" t="s">
        <v>160</v>
      </c>
      <c r="C22" s="7">
        <v>6.4235717628454689E-2</v>
      </c>
      <c r="D22" s="7">
        <f>C22+預測IC!D22</f>
        <v>0.2066635697058532</v>
      </c>
      <c r="E22" s="7">
        <f>D22+預測IC!E22</f>
        <v>0.24769110170647224</v>
      </c>
      <c r="F22" s="7">
        <f>E22+預測IC!F22</f>
        <v>0.3451250972854587</v>
      </c>
      <c r="G22" s="7">
        <f>F22+預測IC!G22</f>
        <v>0.37807992153525732</v>
      </c>
      <c r="H22" s="7">
        <f>G22+預測IC!H22</f>
        <v>0.19933045804763441</v>
      </c>
      <c r="I22" s="7">
        <f>H22+預測IC!I22</f>
        <v>7.5837288709564618E-2</v>
      </c>
      <c r="J22" s="7">
        <f>I22+預測IC!J22</f>
        <v>-2.8416214027064887E-2</v>
      </c>
      <c r="K22" s="7">
        <f>J22+預測IC!K22</f>
        <v>0.12487055662744441</v>
      </c>
      <c r="L22" s="7">
        <f>K22+預測IC!L22</f>
        <v>-4.6312802798456801E-2</v>
      </c>
      <c r="M22" s="7">
        <f>L22+預測IC!M22</f>
        <v>-0.12041286156902935</v>
      </c>
      <c r="N22" s="7">
        <f>M22+預測IC!N22</f>
        <v>-0.25369328059227586</v>
      </c>
      <c r="O22" s="7">
        <f>N22+預測IC!O22</f>
        <v>-0.32013561275723001</v>
      </c>
      <c r="P22" s="7">
        <f>O22+預測IC!P22</f>
        <v>-0.27727712423824014</v>
      </c>
      <c r="Q22" s="7">
        <f>P22+預測IC!Q22</f>
        <v>-5.0023040518831774E-4</v>
      </c>
      <c r="R22" s="7">
        <f>Q22+預測IC!R22</f>
        <v>6.6198062201143285E-2</v>
      </c>
      <c r="S22" s="7">
        <f>R22+預測IC!S22</f>
        <v>2.6963918663964137E-2</v>
      </c>
      <c r="T22" s="7">
        <f>S22+預測IC!T22</f>
        <v>-7.7885048492665768E-2</v>
      </c>
      <c r="U22" s="7">
        <f>T22+預測IC!U22</f>
        <v>3.2704974909838438E-2</v>
      </c>
      <c r="V22" s="7">
        <f>U22+預測IC!V22</f>
        <v>-2.4319159724451228E-2</v>
      </c>
      <c r="W22" s="7">
        <f>V22+預測IC!W22</f>
        <v>-0.37051264502369985</v>
      </c>
      <c r="X22" s="7">
        <f>W22+預測IC!X22</f>
        <v>-0.11331029381020286</v>
      </c>
      <c r="Y22" s="7">
        <f>X22+預測IC!Y22</f>
        <v>-0.16124862598997114</v>
      </c>
      <c r="Z22" s="7">
        <f>Y22+預測IC!Z22</f>
        <v>-0.13738250419961473</v>
      </c>
      <c r="AA22" s="7">
        <f>Z22+預測IC!AA22</f>
        <v>-1.9261889829731829E-2</v>
      </c>
      <c r="AB22" s="7">
        <f>AA22+預測IC!AB22</f>
        <v>-5.7535944251303102E-2</v>
      </c>
      <c r="AC22" s="7">
        <f>AB22+預測IC!AC22</f>
        <v>1.6884436589124287E-2</v>
      </c>
      <c r="AD22" s="7">
        <f>AC22+預測IC!AD22</f>
        <v>3.3116478167629464E-3</v>
      </c>
      <c r="AE22" s="7">
        <f>AD22+預測IC!AE22</f>
        <v>-8.1836038140944201E-2</v>
      </c>
      <c r="AF22" s="7">
        <f>AE22+預測IC!AF22</f>
        <v>-0.51175280618955621</v>
      </c>
      <c r="AG22" s="7">
        <f>AF22+預測IC!AG22</f>
        <v>-0.50094070562271387</v>
      </c>
      <c r="AH22" s="7">
        <f>AG22+預測IC!AH22</f>
        <v>-0.50142965161673592</v>
      </c>
      <c r="AI22" s="7">
        <f>AH22+預測IC!AI22</f>
        <v>-0.56882255262792203</v>
      </c>
      <c r="AJ22" s="7">
        <f>AI22+預測IC!AJ22</f>
        <v>-0.581904094265279</v>
      </c>
      <c r="AK22" s="7">
        <f>AJ22+預測IC!AK22</f>
        <v>-0.50332832556036478</v>
      </c>
      <c r="AL22" s="7">
        <f>AK22+預測IC!AL22</f>
        <v>-0.50447305178411161</v>
      </c>
      <c r="AM22" s="7">
        <f>AL22+預測IC!AM22</f>
        <v>-0.44809929742048399</v>
      </c>
      <c r="AN22" s="7">
        <f>AM22+預測IC!AN22</f>
        <v>-0.41283517504997147</v>
      </c>
      <c r="AO22" s="7">
        <f>AN22+預測IC!AO22</f>
        <v>-0.48755254844367707</v>
      </c>
      <c r="AP22" s="7">
        <f>AO22+預測IC!AP22</f>
        <v>-0.4250161945556844</v>
      </c>
      <c r="AQ22" s="7">
        <f>AP22+預測IC!AQ22</f>
        <v>-0.50444231203427758</v>
      </c>
      <c r="AR22" s="7">
        <f>AQ22+預測IC!AR22</f>
        <v>-0.43651782433067421</v>
      </c>
      <c r="AS22" s="7">
        <f>AR22+預測IC!AS22</f>
        <v>-0.51036152701650783</v>
      </c>
      <c r="AT22" s="7">
        <f>AS22+預測IC!AT22</f>
        <v>-0.53549788885653415</v>
      </c>
      <c r="AU22" s="7">
        <f>AT22+預測IC!AU22</f>
        <v>-0.50199743694566423</v>
      </c>
      <c r="AV22" s="7">
        <f>AU22+預測IC!AV22</f>
        <v>-0.56181061362154416</v>
      </c>
      <c r="AW22" s="7">
        <f>AV22+預測IC!AW22</f>
        <v>-0.5919600028285531</v>
      </c>
      <c r="AX22" s="7">
        <f>AW22+預測IC!AX22</f>
        <v>-0.58208481682285917</v>
      </c>
      <c r="AY22" s="7">
        <f>AX22+預測IC!AY22</f>
        <v>-0.68054109295222265</v>
      </c>
      <c r="AZ22" s="7">
        <f>AY22+預測IC!AZ22</f>
        <v>-0.83544487127337475</v>
      </c>
      <c r="BA22" s="7">
        <f>AZ22+預測IC!BA22</f>
        <v>-0.88104329644083668</v>
      </c>
      <c r="BB22" s="7">
        <f>BA22+預測IC!BB22</f>
        <v>-0.51149271314434885</v>
      </c>
      <c r="BC22" s="7">
        <f>BB22+預測IC!BC22</f>
        <v>-0.31586667779383126</v>
      </c>
      <c r="BD22" s="7">
        <f>BC22+預測IC!BD22</f>
        <v>-0.33804085925965943</v>
      </c>
      <c r="BE22" s="7">
        <f>BD22+預測IC!BE22</f>
        <v>-0.40652389612776019</v>
      </c>
      <c r="BF22" s="7">
        <f>BE22+預測IC!BF22</f>
        <v>-0.46140990988256647</v>
      </c>
      <c r="BG22" s="7">
        <f>BF22+預測IC!BG22</f>
        <v>-0.55758843901220434</v>
      </c>
      <c r="BH22" s="7">
        <f>BG22+預測IC!BH22</f>
        <v>-0.56558185107575465</v>
      </c>
      <c r="BI22" s="7">
        <f>BH22+預測IC!BI22</f>
        <v>-0.45449313166584765</v>
      </c>
      <c r="BJ22" s="7">
        <f>BI22+預測IC!BJ22</f>
        <v>-0.39949671651512675</v>
      </c>
      <c r="BK22" s="7">
        <f>BJ22+預測IC!BK22</f>
        <v>-0.35118147546346246</v>
      </c>
      <c r="BL22" s="7">
        <f>BK22+預測IC!BL22</f>
        <v>-0.33331759332918115</v>
      </c>
      <c r="BM22" s="7">
        <f>BL22+預測IC!BM22</f>
        <v>-0.45425722865675677</v>
      </c>
      <c r="BN22" s="7">
        <f>BM22+預測IC!BN22</f>
        <v>-0.53719512785707924</v>
      </c>
      <c r="BO22" s="7">
        <f>BN22+預測IC!BO22</f>
        <v>-0.49884506489323643</v>
      </c>
      <c r="BP22" s="7">
        <f>BO22+預測IC!BP22</f>
        <v>-0.42400951473813009</v>
      </c>
      <c r="BQ22" s="7">
        <f>BP22+預測IC!BQ22</f>
        <v>-0.39617941733981749</v>
      </c>
      <c r="BR22" s="7">
        <f>BQ22+預測IC!BR22</f>
        <v>-0.28961263537212728</v>
      </c>
      <c r="BS22" s="7">
        <f>BR22+預測IC!BS22</f>
        <v>-0.30598541774892646</v>
      </c>
      <c r="BT22" s="7">
        <f>BS22+預測IC!BT22</f>
        <v>-0.39471161208170991</v>
      </c>
      <c r="BU22" s="7">
        <f>BT22+預測IC!BU22</f>
        <v>-0.1817628459436996</v>
      </c>
      <c r="BV22" s="7">
        <f>BU22+預測IC!BV22</f>
        <v>-2.3218873546090701E-2</v>
      </c>
      <c r="BW22" s="7">
        <f>BV22+預測IC!BW22</f>
        <v>-0.197887371473698</v>
      </c>
      <c r="BX22" s="7">
        <f>BW22+預測IC!BX22</f>
        <v>-0.16124992578172564</v>
      </c>
      <c r="BY22" s="7">
        <f>BX22+預測IC!BY22</f>
        <v>-0.12889705026122628</v>
      </c>
      <c r="BZ22" s="7">
        <f>BY22+預測IC!BZ22</f>
        <v>-8.1639314398334106E-2</v>
      </c>
      <c r="CA22" s="7">
        <f>BZ22+預測IC!CA22</f>
        <v>6.2439421635921283E-2</v>
      </c>
      <c r="CB22" s="7">
        <f>CA22+預測IC!CB22</f>
        <v>0.31717867735078253</v>
      </c>
      <c r="CC22" s="7">
        <f>CB22+預測IC!CC22</f>
        <v>0.19207468203074962</v>
      </c>
      <c r="CD22" s="7">
        <f>CC22+預測IC!CD22</f>
        <v>0.28759322489574568</v>
      </c>
      <c r="CE22" s="7">
        <f>CD22+預測IC!CE22</f>
        <v>0.3544333705325633</v>
      </c>
      <c r="CF22" s="7">
        <f>CE22+預測IC!CF22</f>
        <v>0.45520372756662808</v>
      </c>
      <c r="CG22" s="7">
        <f>CF22+預測IC!CG22</f>
        <v>0.89900454262103824</v>
      </c>
      <c r="CH22" s="7">
        <f>CG22+預測IC!CH22</f>
        <v>1.0149233139004865</v>
      </c>
      <c r="CI22" s="7">
        <f>CH22+預測IC!CI22</f>
        <v>0.78447414686230232</v>
      </c>
      <c r="CJ22" s="7">
        <f>CI22+預測IC!CJ22</f>
        <v>0.88785365195186505</v>
      </c>
      <c r="CK22" s="7">
        <f>CJ22+預測IC!CK22</f>
        <v>0.92401699455654751</v>
      </c>
      <c r="CL22" s="7">
        <f>CK22+預測IC!CL22</f>
        <v>0.68336519593150669</v>
      </c>
      <c r="CM22" s="7">
        <f>CL22+預測IC!CM22</f>
        <v>0.72980647490620443</v>
      </c>
      <c r="CN22" s="7">
        <f>CM22+預測IC!CN22</f>
        <v>0.57700255809599721</v>
      </c>
      <c r="CO22" s="7">
        <f>CN22+預測IC!CO22</f>
        <v>0.76228831600122404</v>
      </c>
      <c r="CP22" s="7">
        <f>CO22+預測IC!CP22</f>
        <v>0.50287975903182147</v>
      </c>
      <c r="CQ22" s="7">
        <f>CP22+預測IC!CQ22</f>
        <v>0.51521353835748607</v>
      </c>
      <c r="CR22" s="7">
        <f>CQ22+預測IC!CR22</f>
        <v>0.35336311705609408</v>
      </c>
      <c r="CS22" s="7">
        <f>CR22+預測IC!CS22</f>
        <v>0.37780270388812676</v>
      </c>
      <c r="CT22" s="7">
        <f>CS22+預測IC!CT22</f>
        <v>0.31957018253214142</v>
      </c>
      <c r="CU22" s="7">
        <f>CT22+預測IC!CU22</f>
        <v>0.4398018944962393</v>
      </c>
      <c r="CV22" s="7">
        <f>CU22+預測IC!CV22</f>
        <v>0.32756819928918512</v>
      </c>
      <c r="CW22" s="7">
        <f>CV22+預測IC!CW22</f>
        <v>0.2911169459630199</v>
      </c>
      <c r="CX22" s="7">
        <f>CW22+預測IC!CX22</f>
        <v>0.33840239922181026</v>
      </c>
      <c r="CY22" s="7">
        <f>CX22+預測IC!CY22</f>
        <v>0.34639122499531938</v>
      </c>
      <c r="CZ22" s="7">
        <f>CY22+預測IC!CZ22</f>
        <v>8.3470740396080267E-2</v>
      </c>
      <c r="DA22" s="7">
        <f>CZ22+預測IC!DA22</f>
        <v>8.7462494278004371E-2</v>
      </c>
      <c r="DB22" s="7">
        <f>DA22+預測IC!DB22</f>
        <v>0.14584600110649648</v>
      </c>
      <c r="DC22" s="7">
        <f>DB22+預測IC!DC22</f>
        <v>4.6787653871868951E-3</v>
      </c>
      <c r="DD22" s="7">
        <f>DC22+預測IC!DD22</f>
        <v>-0.1432153371856166</v>
      </c>
      <c r="DE22" s="7">
        <f>DD22+預測IC!DE22</f>
        <v>-0.1254588336836838</v>
      </c>
      <c r="DF22" s="7">
        <f>DE22+預測IC!DF22</f>
        <v>-0.51512646737780732</v>
      </c>
      <c r="DG22" s="7">
        <f>DF22+預測IC!DG22</f>
        <v>-0.54711151045869499</v>
      </c>
      <c r="DH22" s="7">
        <f>DG22+預測IC!DH22</f>
        <v>-0.56105685664219895</v>
      </c>
      <c r="DI22" s="7">
        <f>DH22+預測IC!DI22</f>
        <v>-0.64216240048246909</v>
      </c>
      <c r="DJ22" s="7">
        <f>DI22+預測IC!DJ22</f>
        <v>-0.68493932260714796</v>
      </c>
      <c r="DK22" s="7">
        <f>DJ22+預測IC!DK22</f>
        <v>-0.86407403642998803</v>
      </c>
      <c r="DL22" s="7">
        <f>DK22+預測IC!DL22</f>
        <v>-0.86728736717312671</v>
      </c>
      <c r="DM22" s="7">
        <f>DL22+預測IC!DM22</f>
        <v>-0.80382131613509322</v>
      </c>
      <c r="DN22" s="7">
        <f>DM22+預測IC!DN22</f>
        <v>-0.88699502321265211</v>
      </c>
      <c r="DO22" s="7">
        <f>DN22+預測IC!DO22</f>
        <v>-0.81127920715774593</v>
      </c>
      <c r="DP22" s="7">
        <f>DO22+預測IC!DP22</f>
        <v>-0.7061801473572672</v>
      </c>
      <c r="DQ22" s="7">
        <f>DP22+預測IC!DQ22</f>
        <v>-0.65432994551964585</v>
      </c>
      <c r="DR22" s="7">
        <f>DQ22+預測IC!DR22</f>
        <v>-0.58309364584651024</v>
      </c>
      <c r="DS22" s="7">
        <f>DR22+預測IC!DS22</f>
        <v>-0.54674738359697439</v>
      </c>
      <c r="DT22" s="7">
        <f>DS22+預測IC!DT22</f>
        <v>-0.48839037460020907</v>
      </c>
      <c r="DU22" s="7">
        <f>DT22+預測IC!DU22</f>
        <v>-0.4308949837633701</v>
      </c>
      <c r="DV22" s="7">
        <f>DU22+預測IC!DV22</f>
        <v>-0.55660010144154803</v>
      </c>
      <c r="DW22" s="7">
        <f>DV22+預測IC!DW22</f>
        <v>-0.47821037773455088</v>
      </c>
      <c r="DX22" s="7">
        <f>DW22+預測IC!DX22</f>
        <v>-0.31385825369301168</v>
      </c>
      <c r="DY22" s="7">
        <f>DX22+預測IC!DY22</f>
        <v>3.8961186714708274E-3</v>
      </c>
      <c r="DZ22" s="7">
        <f>DY22+預測IC!DZ22</f>
        <v>-0.16173012755428479</v>
      </c>
      <c r="EA22" s="7">
        <f>DZ22+預測IC!EA22</f>
        <v>-0.3020862895549784</v>
      </c>
      <c r="EB22" s="7">
        <f>EA22+預測IC!EB22</f>
        <v>-0.15915921350265091</v>
      </c>
      <c r="EC22" s="7">
        <f>EB22+預測IC!EC22</f>
        <v>-0.18758802528070184</v>
      </c>
      <c r="ED22" s="7">
        <f>EC22+預測IC!ED22</f>
        <v>-0.11017445822309438</v>
      </c>
      <c r="EE22" s="7">
        <f>ED22+預測IC!EE22</f>
        <v>-6.2537798838395497E-2</v>
      </c>
      <c r="EF22" s="7">
        <f>EE22+預測IC!EF22</f>
        <v>-2.7747552466223145E-2</v>
      </c>
    </row>
    <row r="23" spans="1:136" x14ac:dyDescent="0.3">
      <c r="A23" s="1">
        <v>2</v>
      </c>
      <c r="B23" s="1" t="s">
        <v>161</v>
      </c>
      <c r="C23" s="7">
        <v>-3.4987009286289193E-2</v>
      </c>
      <c r="D23" s="7">
        <f>C23+預測IC!D23</f>
        <v>0.21910561816517207</v>
      </c>
      <c r="E23" s="7">
        <f>D23+預測IC!E23</f>
        <v>0.30004679073584428</v>
      </c>
      <c r="F23" s="7">
        <f>E23+預測IC!F23</f>
        <v>0.44171169978774599</v>
      </c>
      <c r="G23" s="7">
        <f>F23+預測IC!G23</f>
        <v>0.49393587363424435</v>
      </c>
      <c r="H23" s="7">
        <f>G23+預測IC!H23</f>
        <v>0.29021756575526925</v>
      </c>
      <c r="I23" s="7">
        <f>H23+預測IC!I23</f>
        <v>0.14206553715497525</v>
      </c>
      <c r="J23" s="7">
        <f>I23+預測IC!J23</f>
        <v>2.7188031224530146E-2</v>
      </c>
      <c r="K23" s="7">
        <f>J23+預測IC!K23</f>
        <v>0.23167750769676373</v>
      </c>
      <c r="L23" s="7">
        <f>K23+預測IC!L23</f>
        <v>0.17763397792116511</v>
      </c>
      <c r="M23" s="7">
        <f>L23+預測IC!M23</f>
        <v>-8.081593843747728E-2</v>
      </c>
      <c r="N23" s="7">
        <f>M23+預測IC!N23</f>
        <v>-0.23723517607349007</v>
      </c>
      <c r="O23" s="7">
        <f>N23+預測IC!O23</f>
        <v>-0.36013488338065847</v>
      </c>
      <c r="P23" s="7">
        <f>O23+預測IC!P23</f>
        <v>-0.34945137862091169</v>
      </c>
      <c r="Q23" s="7">
        <f>P23+預測IC!Q23</f>
        <v>-0.40901939552143218</v>
      </c>
      <c r="R23" s="7">
        <f>Q23+預測IC!R23</f>
        <v>-0.34619741755167049</v>
      </c>
      <c r="S23" s="7">
        <f>R23+預測IC!S23</f>
        <v>-0.41877008200173277</v>
      </c>
      <c r="T23" s="7">
        <f>S23+預測IC!T23</f>
        <v>-0.50344625777046148</v>
      </c>
      <c r="U23" s="7">
        <f>T23+預測IC!U23</f>
        <v>-0.4096888353296671</v>
      </c>
      <c r="V23" s="7">
        <f>U23+預測IC!V23</f>
        <v>-0.34633182435060106</v>
      </c>
      <c r="W23" s="7">
        <f>V23+預測IC!W23</f>
        <v>-0.8502511555359118</v>
      </c>
      <c r="X23" s="7">
        <f>W23+預測IC!X23</f>
        <v>-0.65569469407826753</v>
      </c>
      <c r="Y23" s="7">
        <f>X23+預測IC!Y23</f>
        <v>-0.66328345750694573</v>
      </c>
      <c r="Z23" s="7">
        <f>Y23+預測IC!Z23</f>
        <v>-0.62223149098669439</v>
      </c>
      <c r="AA23" s="7">
        <f>Z23+預測IC!AA23</f>
        <v>-0.47058215914064827</v>
      </c>
      <c r="AB23" s="7">
        <f>AA23+預測IC!AB23</f>
        <v>-0.51833110435980378</v>
      </c>
      <c r="AC23" s="7">
        <f>AB23+預測IC!AC23</f>
        <v>-0.44198476621296579</v>
      </c>
      <c r="AD23" s="7">
        <f>AC23+預測IC!AD23</f>
        <v>-0.51361363429863982</v>
      </c>
      <c r="AE23" s="7">
        <f>AD23+預測IC!AE23</f>
        <v>-0.73532687012028886</v>
      </c>
      <c r="AF23" s="7">
        <f>AE23+預測IC!AF23</f>
        <v>-1.0599861957605001</v>
      </c>
      <c r="AG23" s="7">
        <f>AF23+預測IC!AG23</f>
        <v>-1.2058800887001722</v>
      </c>
      <c r="AH23" s="7">
        <f>AG23+預測IC!AH23</f>
        <v>-1.2431595790708418</v>
      </c>
      <c r="AI23" s="7">
        <f>AH23+預測IC!AI23</f>
        <v>-1.3186097488103041</v>
      </c>
      <c r="AJ23" s="7">
        <f>AI23+預測IC!AJ23</f>
        <v>-1.3421971891043283</v>
      </c>
      <c r="AK23" s="7">
        <f>AJ23+預測IC!AK23</f>
        <v>-1.2509979648290686</v>
      </c>
      <c r="AL23" s="7">
        <f>AK23+預測IC!AL23</f>
        <v>-1.3023082760115554</v>
      </c>
      <c r="AM23" s="7">
        <f>AL23+預測IC!AM23</f>
        <v>-1.3227788193136414</v>
      </c>
      <c r="AN23" s="7">
        <f>AM23+預測IC!AN23</f>
        <v>-1.1951492205004568</v>
      </c>
      <c r="AO23" s="7">
        <f>AN23+預測IC!AO23</f>
        <v>-1.1898122683090326</v>
      </c>
      <c r="AP23" s="7">
        <f>AO23+預測IC!AP23</f>
        <v>-1.1929333676613383</v>
      </c>
      <c r="AQ23" s="7">
        <f>AP23+預測IC!AQ23</f>
        <v>-1.2823583599209489</v>
      </c>
      <c r="AR23" s="7">
        <f>AQ23+預測IC!AR23</f>
        <v>-1.1362221955815819</v>
      </c>
      <c r="AS23" s="7">
        <f>AR23+預測IC!AS23</f>
        <v>-1.2178858163621522</v>
      </c>
      <c r="AT23" s="7">
        <f>AS23+預測IC!AT23</f>
        <v>-1.2593135381758018</v>
      </c>
      <c r="AU23" s="7">
        <f>AT23+預測IC!AU23</f>
        <v>-1.2261680120472975</v>
      </c>
      <c r="AV23" s="7">
        <f>AU23+預測IC!AV23</f>
        <v>-1.2538070062446716</v>
      </c>
      <c r="AW23" s="7">
        <f>AV23+預測IC!AW23</f>
        <v>-1.3058339160830743</v>
      </c>
      <c r="AX23" s="7">
        <f>AW23+預測IC!AX23</f>
        <v>-1.2910211370745335</v>
      </c>
      <c r="AY23" s="7">
        <f>AX23+預測IC!AY23</f>
        <v>-1.3491607371813235</v>
      </c>
      <c r="AZ23" s="7">
        <f>AY23+預測IC!AZ23</f>
        <v>-1.4129143545823837</v>
      </c>
      <c r="BA23" s="7">
        <f>AZ23+預測IC!BA23</f>
        <v>-1.4032675745022829</v>
      </c>
      <c r="BB23" s="7">
        <f>BA23+預測IC!BB23</f>
        <v>-0.83644104845484257</v>
      </c>
      <c r="BC23" s="7">
        <f>BB23+預測IC!BC23</f>
        <v>-0.58357186655490301</v>
      </c>
      <c r="BD23" s="7">
        <f>BC23+預測IC!BD23</f>
        <v>-0.48874098520845266</v>
      </c>
      <c r="BE23" s="7">
        <f>BD23+預測IC!BE23</f>
        <v>-0.57527337999845563</v>
      </c>
      <c r="BF23" s="7">
        <f>BE23+預測IC!BF23</f>
        <v>-0.63528632362028081</v>
      </c>
      <c r="BG23" s="7">
        <f>BF23+預測IC!BG23</f>
        <v>-0.68019499831454744</v>
      </c>
      <c r="BH23" s="7">
        <f>BG23+預測IC!BH23</f>
        <v>-0.62659813437955714</v>
      </c>
      <c r="BI23" s="7">
        <f>BH23+預測IC!BI23</f>
        <v>-0.43548605505635807</v>
      </c>
      <c r="BJ23" s="7">
        <f>BI23+預測IC!BJ23</f>
        <v>-0.33148273978843118</v>
      </c>
      <c r="BK23" s="7">
        <f>BJ23+預測IC!BK23</f>
        <v>-0.283633416487243</v>
      </c>
      <c r="BL23" s="7">
        <f>BK23+預測IC!BL23</f>
        <v>-0.33706563643191595</v>
      </c>
      <c r="BM23" s="7">
        <f>BL23+預測IC!BM23</f>
        <v>-0.52121344368978462</v>
      </c>
      <c r="BN23" s="7">
        <f>BM23+預測IC!BN23</f>
        <v>-0.55966668093005778</v>
      </c>
      <c r="BO23" s="7">
        <f>BN23+預測IC!BO23</f>
        <v>-0.49785120096219132</v>
      </c>
      <c r="BP23" s="7">
        <f>BO23+預測IC!BP23</f>
        <v>-0.39958480175073485</v>
      </c>
      <c r="BQ23" s="7">
        <f>BP23+預測IC!BQ23</f>
        <v>-0.32753690031546867</v>
      </c>
      <c r="BR23" s="7">
        <f>BQ23+預測IC!BR23</f>
        <v>-0.22471431013511797</v>
      </c>
      <c r="BS23" s="7">
        <f>BR23+預測IC!BS23</f>
        <v>-0.29798969879302978</v>
      </c>
      <c r="BT23" s="7">
        <f>BS23+預測IC!BT23</f>
        <v>-0.51617637492593382</v>
      </c>
      <c r="BU23" s="7">
        <f>BT23+預測IC!BU23</f>
        <v>-0.31048863907998792</v>
      </c>
      <c r="BV23" s="7">
        <f>BU23+預測IC!BV23</f>
        <v>-0.19702107071979941</v>
      </c>
      <c r="BW23" s="7">
        <f>BV23+預測IC!BW23</f>
        <v>-0.39917340399549062</v>
      </c>
      <c r="BX23" s="7">
        <f>BW23+預測IC!BX23</f>
        <v>-0.40738652372274375</v>
      </c>
      <c r="BY23" s="7">
        <f>BX23+預測IC!BY23</f>
        <v>-0.36744707484661343</v>
      </c>
      <c r="BZ23" s="7">
        <f>BY23+預測IC!BZ23</f>
        <v>-0.35977731241476857</v>
      </c>
      <c r="CA23" s="7">
        <f>BZ23+預測IC!CA23</f>
        <v>-0.15340459002728166</v>
      </c>
      <c r="CB23" s="7">
        <f>CA23+預測IC!CB23</f>
        <v>0.16276217173146837</v>
      </c>
      <c r="CC23" s="7">
        <f>CB23+預測IC!CC23</f>
        <v>7.8217557015693023E-2</v>
      </c>
      <c r="CD23" s="7">
        <f>CC23+預測IC!CD23</f>
        <v>0.21945950117724203</v>
      </c>
      <c r="CE23" s="7">
        <f>CD23+預測IC!CE23</f>
        <v>0.27906180301495948</v>
      </c>
      <c r="CF23" s="7">
        <f>CE23+預測IC!CF23</f>
        <v>0.29522263844504126</v>
      </c>
      <c r="CG23" s="7">
        <f>CF23+預測IC!CG23</f>
        <v>0.58812657656277845</v>
      </c>
      <c r="CH23" s="7">
        <f>CG23+預測IC!CH23</f>
        <v>0.76832302548420683</v>
      </c>
      <c r="CI23" s="7">
        <f>CH23+預測IC!CI23</f>
        <v>0.70920055157068296</v>
      </c>
      <c r="CJ23" s="7">
        <f>CI23+預測IC!CJ23</f>
        <v>0.72907591912109349</v>
      </c>
      <c r="CK23" s="7">
        <f>CJ23+預測IC!CK23</f>
        <v>0.82519291384905502</v>
      </c>
      <c r="CL23" s="7">
        <f>CK23+預測IC!CL23</f>
        <v>0.41653190118163663</v>
      </c>
      <c r="CM23" s="7">
        <f>CL23+預測IC!CM23</f>
        <v>0.42350691019485776</v>
      </c>
      <c r="CN23" s="7">
        <f>CM23+預測IC!CN23</f>
        <v>0.14640264823878957</v>
      </c>
      <c r="CO23" s="7">
        <f>CN23+預測IC!CO23</f>
        <v>0.41485362514193869</v>
      </c>
      <c r="CP23" s="7">
        <f>CO23+預測IC!CP23</f>
        <v>0.10349288197918199</v>
      </c>
      <c r="CQ23" s="7">
        <f>CP23+預測IC!CQ23</f>
        <v>0.11267662647898788</v>
      </c>
      <c r="CR23" s="7">
        <f>CQ23+預測IC!CR23</f>
        <v>0.10107882265790927</v>
      </c>
      <c r="CS23" s="7">
        <f>CR23+預測IC!CS23</f>
        <v>0.17009419351481442</v>
      </c>
      <c r="CT23" s="7">
        <f>CS23+預測IC!CT23</f>
        <v>0.12443165180356056</v>
      </c>
      <c r="CU23" s="7">
        <f>CT23+預測IC!CU23</f>
        <v>0.14548824751684761</v>
      </c>
      <c r="CV23" s="7">
        <f>CU23+預測IC!CV23</f>
        <v>0.16773338500565327</v>
      </c>
      <c r="CW23" s="7">
        <f>CV23+預測IC!CW23</f>
        <v>6.6832053203234668E-2</v>
      </c>
      <c r="CX23" s="7">
        <f>CW23+預測IC!CX23</f>
        <v>2.2577973653699637E-2</v>
      </c>
      <c r="CY23" s="7">
        <f>CX23+預測IC!CY23</f>
        <v>5.3144290032113711E-4</v>
      </c>
      <c r="CZ23" s="7">
        <f>CY23+預測IC!CZ23</f>
        <v>-0.18146735095703007</v>
      </c>
      <c r="DA23" s="7">
        <f>CZ23+預測IC!DA23</f>
        <v>-0.15048521473111967</v>
      </c>
      <c r="DB23" s="7">
        <f>DA23+預測IC!DB23</f>
        <v>-0.13453005786412325</v>
      </c>
      <c r="DC23" s="7">
        <f>DB23+預測IC!DC23</f>
        <v>-0.29247895718237638</v>
      </c>
      <c r="DD23" s="7">
        <f>DC23+預測IC!DD23</f>
        <v>-0.50589000158937303</v>
      </c>
      <c r="DE23" s="7">
        <f>DD23+預測IC!DE23</f>
        <v>-0.44580405407920143</v>
      </c>
      <c r="DF23" s="7">
        <f>DE23+預測IC!DF23</f>
        <v>-0.85459897464012169</v>
      </c>
      <c r="DG23" s="7">
        <f>DF23+預測IC!DG23</f>
        <v>-0.8928689865148387</v>
      </c>
      <c r="DH23" s="7">
        <f>DG23+預測IC!DH23</f>
        <v>-0.94828243382358113</v>
      </c>
      <c r="DI23" s="7">
        <f>DH23+預測IC!DI23</f>
        <v>-1.1331951473716864</v>
      </c>
      <c r="DJ23" s="7">
        <f>DI23+預測IC!DJ23</f>
        <v>-1.0993705710762902</v>
      </c>
      <c r="DK23" s="7">
        <f>DJ23+預測IC!DK23</f>
        <v>-1.3772037876351333</v>
      </c>
      <c r="DL23" s="7">
        <f>DK23+預測IC!DL23</f>
        <v>-1.3509611355305089</v>
      </c>
      <c r="DM23" s="7">
        <f>DL23+預測IC!DM23</f>
        <v>-1.331463830611143</v>
      </c>
      <c r="DN23" s="7">
        <f>DM23+預測IC!DN23</f>
        <v>-1.4496685850385127</v>
      </c>
      <c r="DO23" s="7">
        <f>DN23+預測IC!DO23</f>
        <v>-1.3256001430507838</v>
      </c>
      <c r="DP23" s="7">
        <f>DO23+預測IC!DP23</f>
        <v>-1.2871957472127855</v>
      </c>
      <c r="DQ23" s="7">
        <f>DP23+預測IC!DQ23</f>
        <v>-1.1660637059553278</v>
      </c>
      <c r="DR23" s="7">
        <f>DQ23+預測IC!DR23</f>
        <v>-1.0636379107203267</v>
      </c>
      <c r="DS23" s="7">
        <f>DR23+預測IC!DS23</f>
        <v>-0.94706191905338721</v>
      </c>
      <c r="DT23" s="7">
        <f>DS23+預測IC!DT23</f>
        <v>-0.82310669585718832</v>
      </c>
      <c r="DU23" s="7">
        <f>DT23+預測IC!DU23</f>
        <v>-0.85739388111218573</v>
      </c>
      <c r="DV23" s="7">
        <f>DU23+預測IC!DV23</f>
        <v>-1.1336654894416254</v>
      </c>
      <c r="DW23" s="7">
        <f>DV23+預測IC!DW23</f>
        <v>-0.99243725685878681</v>
      </c>
      <c r="DX23" s="7">
        <f>DW23+預測IC!DX23</f>
        <v>-0.82143446989033231</v>
      </c>
      <c r="DY23" s="7">
        <f>DX23+預測IC!DY23</f>
        <v>-0.55321254051820845</v>
      </c>
      <c r="DZ23" s="7">
        <f>DY23+預測IC!DZ23</f>
        <v>-0.68254555606992728</v>
      </c>
      <c r="EA23" s="7">
        <f>DZ23+預測IC!EA23</f>
        <v>-0.65378677629352233</v>
      </c>
      <c r="EB23" s="7">
        <f>EA23+預測IC!EB23</f>
        <v>-0.5155612811703203</v>
      </c>
      <c r="EC23" s="7">
        <f>EB23+預測IC!EC23</f>
        <v>-0.63876622412598505</v>
      </c>
      <c r="ED23" s="7">
        <f>EC23+預測IC!ED23</f>
        <v>-0.54734031950620399</v>
      </c>
      <c r="EE23" s="7">
        <f>ED23+預測IC!EE23</f>
        <v>-0.4781282435212113</v>
      </c>
      <c r="EF23" s="7">
        <f>EE23+預測IC!EF23</f>
        <v>-0.43034596492955163</v>
      </c>
    </row>
    <row r="24" spans="1:136" x14ac:dyDescent="0.3">
      <c r="A24" s="1">
        <v>1</v>
      </c>
      <c r="B24" s="1" t="s">
        <v>162</v>
      </c>
      <c r="C24" s="7">
        <v>0.162993136931085</v>
      </c>
      <c r="D24" s="7">
        <f>C24+預測IC!D24</f>
        <v>0.26360304983031357</v>
      </c>
      <c r="E24" s="7">
        <f>D24+預測IC!E24</f>
        <v>0.19220271966101665</v>
      </c>
      <c r="F24" s="7">
        <f>E24+預測IC!F24</f>
        <v>0.41936226629776546</v>
      </c>
      <c r="G24" s="7">
        <f>F24+預測IC!G24</f>
        <v>0.19360224324019307</v>
      </c>
      <c r="H24" s="7">
        <f>G24+預測IC!H24</f>
        <v>-5.3084485250376734E-2</v>
      </c>
      <c r="I24" s="7">
        <f>H24+預測IC!I24</f>
        <v>-5.0972552047233236E-2</v>
      </c>
      <c r="J24" s="7">
        <f>I24+預測IC!J24</f>
        <v>-0.16643535026125572</v>
      </c>
      <c r="K24" s="7">
        <f>J24+預測IC!K24</f>
        <v>-0.14492007190629561</v>
      </c>
      <c r="L24" s="7">
        <f>K24+預測IC!L24</f>
        <v>-0.24054332241497772</v>
      </c>
      <c r="M24" s="7">
        <f>L24+預測IC!M24</f>
        <v>-0.38736266131448621</v>
      </c>
      <c r="N24" s="7">
        <f>M24+預測IC!N24</f>
        <v>-0.53149311371491947</v>
      </c>
      <c r="O24" s="7">
        <f>N24+預測IC!O24</f>
        <v>-0.77577097710310294</v>
      </c>
      <c r="P24" s="7">
        <f>O24+預測IC!P24</f>
        <v>-0.69803449124904571</v>
      </c>
      <c r="Q24" s="7">
        <f>P24+預測IC!Q24</f>
        <v>-0.75899945289575199</v>
      </c>
      <c r="R24" s="7">
        <f>Q24+預測IC!R24</f>
        <v>-0.78682227678084016</v>
      </c>
      <c r="S24" s="7">
        <f>R24+預測IC!S24</f>
        <v>-0.79787673698828876</v>
      </c>
      <c r="T24" s="7">
        <f>S24+預測IC!T24</f>
        <v>-1.0856933405077767</v>
      </c>
      <c r="U24" s="7">
        <f>T24+預測IC!U24</f>
        <v>-0.9371746662838587</v>
      </c>
      <c r="V24" s="7">
        <f>U24+預測IC!V24</f>
        <v>-0.82063434956700787</v>
      </c>
      <c r="W24" s="7">
        <f>V24+預測IC!W24</f>
        <v>-1.4635678781726673</v>
      </c>
      <c r="X24" s="7">
        <f>W24+預測IC!X24</f>
        <v>-1.4644667546376846</v>
      </c>
      <c r="Y24" s="7">
        <f>X24+預測IC!Y24</f>
        <v>-1.4938655942181172</v>
      </c>
      <c r="Z24" s="7">
        <f>Y24+預測IC!Z24</f>
        <v>-1.5182601429676934</v>
      </c>
      <c r="AA24" s="7">
        <f>Z24+預測IC!AA24</f>
        <v>-1.423900560153899</v>
      </c>
      <c r="AB24" s="7">
        <f>AA24+預測IC!AB24</f>
        <v>-1.6081519828226774</v>
      </c>
      <c r="AC24" s="7">
        <f>AB24+預測IC!AC24</f>
        <v>-1.4827716020467123</v>
      </c>
      <c r="AD24" s="7">
        <f>AC24+預測IC!AD24</f>
        <v>-1.5839469013034353</v>
      </c>
      <c r="AE24" s="7">
        <f>AD24+預測IC!AE24</f>
        <v>-1.7592157163107773</v>
      </c>
      <c r="AF24" s="7">
        <f>AE24+預測IC!AF24</f>
        <v>-2.2546051291149394</v>
      </c>
      <c r="AG24" s="7">
        <f>AF24+預測IC!AG24</f>
        <v>-2.6346605216977355</v>
      </c>
      <c r="AH24" s="7">
        <f>AG24+預測IC!AH24</f>
        <v>-2.5660467222363379</v>
      </c>
      <c r="AI24" s="7">
        <f>AH24+預測IC!AI24</f>
        <v>-2.7179583970197352</v>
      </c>
      <c r="AJ24" s="7">
        <f>AI24+預測IC!AJ24</f>
        <v>-2.8033935988105991</v>
      </c>
      <c r="AK24" s="7">
        <f>AJ24+預測IC!AK24</f>
        <v>-2.6902144350349748</v>
      </c>
      <c r="AL24" s="7">
        <f>AK24+預測IC!AL24</f>
        <v>-2.7976688613407164</v>
      </c>
      <c r="AM24" s="7">
        <f>AL24+預測IC!AM24</f>
        <v>-2.7827023160065925</v>
      </c>
      <c r="AN24" s="7">
        <f>AM24+預測IC!AN24</f>
        <v>-2.6197605741498933</v>
      </c>
      <c r="AO24" s="7">
        <f>AN24+預測IC!AO24</f>
        <v>-2.6858506859788833</v>
      </c>
      <c r="AP24" s="7">
        <f>AO24+預測IC!AP24</f>
        <v>-2.6629989704897867</v>
      </c>
      <c r="AQ24" s="7">
        <f>AP24+預測IC!AQ24</f>
        <v>-2.7100759433240325</v>
      </c>
      <c r="AR24" s="7">
        <f>AQ24+預測IC!AR24</f>
        <v>-2.539242537153207</v>
      </c>
      <c r="AS24" s="7">
        <f>AR24+預測IC!AS24</f>
        <v>-2.5425293108598299</v>
      </c>
      <c r="AT24" s="7">
        <f>AS24+預測IC!AT24</f>
        <v>-2.5120701033751214</v>
      </c>
      <c r="AU24" s="7">
        <f>AT24+預測IC!AU24</f>
        <v>-2.4679747835098969</v>
      </c>
      <c r="AV24" s="7">
        <f>AU24+預測IC!AV24</f>
        <v>-2.5551267356967928</v>
      </c>
      <c r="AW24" s="7">
        <f>AV24+預測IC!AW24</f>
        <v>-2.5501391941857539</v>
      </c>
      <c r="AX24" s="7">
        <f>AW24+預測IC!AX24</f>
        <v>-2.6616305311019692</v>
      </c>
      <c r="AY24" s="7">
        <f>AX24+預測IC!AY24</f>
        <v>-2.9290662757884394</v>
      </c>
      <c r="AZ24" s="7">
        <f>AY24+預測IC!AZ24</f>
        <v>-2.891199202188774</v>
      </c>
      <c r="BA24" s="7">
        <f>AZ24+預測IC!BA24</f>
        <v>-2.9449939342734073</v>
      </c>
      <c r="BB24" s="7">
        <f>BA24+預測IC!BB24</f>
        <v>-2.2542174028927353</v>
      </c>
      <c r="BC24" s="7">
        <f>BB24+預測IC!BC24</f>
        <v>-2.2585842725071186</v>
      </c>
      <c r="BD24" s="7">
        <f>BC24+預測IC!BD24</f>
        <v>-2.0729890532606832</v>
      </c>
      <c r="BE24" s="7">
        <f>BD24+預測IC!BE24</f>
        <v>-2.1771201761113677</v>
      </c>
      <c r="BF24" s="7">
        <f>BE24+預測IC!BF24</f>
        <v>-2.2773518814927742</v>
      </c>
      <c r="BG24" s="7">
        <f>BF24+預測IC!BG24</f>
        <v>-2.4539754171720913</v>
      </c>
      <c r="BH24" s="7">
        <f>BG24+預測IC!BH24</f>
        <v>-2.4444059661559407</v>
      </c>
      <c r="BI24" s="7">
        <f>BH24+預測IC!BI24</f>
        <v>-2.2207768600858935</v>
      </c>
      <c r="BJ24" s="7">
        <f>BI24+預測IC!BJ24</f>
        <v>-2.2174285443310091</v>
      </c>
      <c r="BK24" s="7">
        <f>BJ24+預測IC!BK24</f>
        <v>-2.1826008971582351</v>
      </c>
      <c r="BL24" s="7">
        <f>BK24+預測IC!BL24</f>
        <v>-2.2134995086774092</v>
      </c>
      <c r="BM24" s="7">
        <f>BL24+預測IC!BM24</f>
        <v>-2.5904158662370533</v>
      </c>
      <c r="BN24" s="7">
        <f>BM24+預測IC!BN24</f>
        <v>-2.699329126553601</v>
      </c>
      <c r="BO24" s="7">
        <f>BN24+預測IC!BO24</f>
        <v>-2.7049535481120675</v>
      </c>
      <c r="BP24" s="7">
        <f>BO24+預測IC!BP24</f>
        <v>-2.5816023669827457</v>
      </c>
      <c r="BQ24" s="7">
        <f>BP24+預測IC!BQ24</f>
        <v>-2.6457720003128609</v>
      </c>
      <c r="BR24" s="7">
        <f>BQ24+預測IC!BR24</f>
        <v>-2.5468511111276193</v>
      </c>
      <c r="BS24" s="7">
        <f>BR24+預測IC!BS24</f>
        <v>-2.5481358286120761</v>
      </c>
      <c r="BT24" s="7">
        <f>BS24+預測IC!BT24</f>
        <v>-2.8248548447522843</v>
      </c>
      <c r="BU24" s="7">
        <f>BT24+預測IC!BU24</f>
        <v>-2.5965282131923435</v>
      </c>
      <c r="BV24" s="7">
        <f>BU24+預測IC!BV24</f>
        <v>-2.4887997593043605</v>
      </c>
      <c r="BW24" s="7">
        <f>BV24+預測IC!BW24</f>
        <v>-2.5506356429399535</v>
      </c>
      <c r="BX24" s="7">
        <f>BW24+預測IC!BX24</f>
        <v>-2.6835956986504113</v>
      </c>
      <c r="BY24" s="7">
        <f>BX24+預測IC!BY24</f>
        <v>-2.9739325735958282</v>
      </c>
      <c r="BZ24" s="7">
        <f>BY24+預測IC!BZ24</f>
        <v>-2.7150396747458312</v>
      </c>
      <c r="CA24" s="7">
        <f>BZ24+預測IC!CA24</f>
        <v>-2.6150147590568804</v>
      </c>
      <c r="CB24" s="7">
        <f>CA24+預測IC!CB24</f>
        <v>-1.9753166254223653</v>
      </c>
      <c r="CC24" s="7">
        <f>CB24+預測IC!CC24</f>
        <v>-2.157786505309927</v>
      </c>
      <c r="CD24" s="7">
        <f>CC24+預測IC!CD24</f>
        <v>-2.1278329794399107</v>
      </c>
      <c r="CE24" s="7">
        <f>CD24+預測IC!CE24</f>
        <v>-1.962268105448796</v>
      </c>
      <c r="CF24" s="7">
        <f>CE24+預測IC!CF24</f>
        <v>-2.0062327394455277</v>
      </c>
      <c r="CG24" s="7">
        <f>CF24+預測IC!CG24</f>
        <v>-1.7689549045856026</v>
      </c>
      <c r="CH24" s="7">
        <f>CG24+預測IC!CH24</f>
        <v>-1.4146776077430996</v>
      </c>
      <c r="CI24" s="7">
        <f>CH24+預測IC!CI24</f>
        <v>-1.4731857649761384</v>
      </c>
      <c r="CJ24" s="7">
        <f>CI24+預測IC!CJ24</f>
        <v>-1.486295250395558</v>
      </c>
      <c r="CK24" s="7">
        <f>CJ24+預測IC!CK24</f>
        <v>-1.3927651710798614</v>
      </c>
      <c r="CL24" s="7">
        <f>CK24+預測IC!CL24</f>
        <v>-1.2510098377073207</v>
      </c>
      <c r="CM24" s="7">
        <f>CL24+預測IC!CM24</f>
        <v>-1.2063212993833887</v>
      </c>
      <c r="CN24" s="7">
        <f>CM24+預測IC!CN24</f>
        <v>-1.815998496650463</v>
      </c>
      <c r="CO24" s="7">
        <f>CN24+預測IC!CO24</f>
        <v>-1.2435888869157878</v>
      </c>
      <c r="CP24" s="7">
        <f>CO24+預測IC!CP24</f>
        <v>-1.4039330917306299</v>
      </c>
      <c r="CQ24" s="7">
        <f>CP24+預測IC!CQ24</f>
        <v>-1.5186202655939267</v>
      </c>
      <c r="CR24" s="7">
        <f>CQ24+預測IC!CR24</f>
        <v>-1.5797051038334835</v>
      </c>
      <c r="CS24" s="7">
        <f>CR24+預測IC!CS24</f>
        <v>-1.6065600263545921</v>
      </c>
      <c r="CT24" s="7">
        <f>CS24+預測IC!CT24</f>
        <v>-1.702979034501988</v>
      </c>
      <c r="CU24" s="7">
        <f>CT24+預測IC!CU24</f>
        <v>-1.6302276868452779</v>
      </c>
      <c r="CV24" s="7">
        <f>CU24+預測IC!CV24</f>
        <v>-1.6452917343846531</v>
      </c>
      <c r="CW24" s="7">
        <f>CV24+預測IC!CW24</f>
        <v>-1.8204089004566606</v>
      </c>
      <c r="CX24" s="7">
        <f>CW24+預測IC!CX24</f>
        <v>-1.7676436416133936</v>
      </c>
      <c r="CY24" s="7">
        <f>CX24+預測IC!CY24</f>
        <v>-1.6875767369765746</v>
      </c>
      <c r="CZ24" s="7">
        <f>CY24+預測IC!CZ24</f>
        <v>-1.7997833654211419</v>
      </c>
      <c r="DA24" s="7">
        <f>CZ24+預測IC!DA24</f>
        <v>-1.8242945695838968</v>
      </c>
      <c r="DB24" s="7">
        <f>DA24+預測IC!DB24</f>
        <v>-1.6288338970712424</v>
      </c>
      <c r="DC24" s="7">
        <f>DB24+預測IC!DC24</f>
        <v>-1.9115636757997605</v>
      </c>
      <c r="DD24" s="7">
        <f>DC24+預測IC!DD24</f>
        <v>-2.0649450565388667</v>
      </c>
      <c r="DE24" s="7">
        <f>DD24+預測IC!DE24</f>
        <v>-2.1965306478343996</v>
      </c>
      <c r="DF24" s="7">
        <f>DE24+預測IC!DF24</f>
        <v>-2.7221156539788973</v>
      </c>
      <c r="DG24" s="7">
        <f>DF24+預測IC!DG24</f>
        <v>-2.7812214881032413</v>
      </c>
      <c r="DH24" s="7">
        <f>DG24+預測IC!DH24</f>
        <v>-2.7820680131686077</v>
      </c>
      <c r="DI24" s="7">
        <f>DH24+預測IC!DI24</f>
        <v>-3.2051668128969468</v>
      </c>
      <c r="DJ24" s="7">
        <f>DI24+預測IC!DJ24</f>
        <v>-3.2262482840547984</v>
      </c>
      <c r="DK24" s="7">
        <f>DJ24+預測IC!DK24</f>
        <v>-3.5657574946852422</v>
      </c>
      <c r="DL24" s="7">
        <f>DK24+預測IC!DL24</f>
        <v>-3.5043969814698253</v>
      </c>
      <c r="DM24" s="7">
        <f>DL24+預測IC!DM24</f>
        <v>-3.3629574542429506</v>
      </c>
      <c r="DN24" s="7">
        <f>DM24+預測IC!DN24</f>
        <v>-3.5119907100724324</v>
      </c>
      <c r="DO24" s="7">
        <f>DN24+預測IC!DO24</f>
        <v>-3.3963787550489521</v>
      </c>
      <c r="DP24" s="7">
        <f>DO24+預測IC!DP24</f>
        <v>-3.2520481126685961</v>
      </c>
      <c r="DQ24" s="7">
        <f>DP24+預測IC!DQ24</f>
        <v>-3.2015619221896707</v>
      </c>
      <c r="DR24" s="7">
        <f>DQ24+預測IC!DR24</f>
        <v>-3.1781701909161417</v>
      </c>
      <c r="DS24" s="7">
        <f>DR24+預測IC!DS24</f>
        <v>-3.1108076452021969</v>
      </c>
      <c r="DT24" s="7">
        <f>DS24+預測IC!DT24</f>
        <v>-3.0724447790320673</v>
      </c>
      <c r="DU24" s="7">
        <f>DT24+預測IC!DU24</f>
        <v>-3.0248061917583096</v>
      </c>
      <c r="DV24" s="7">
        <f>DU24+預測IC!DV24</f>
        <v>-3.1830308904021241</v>
      </c>
      <c r="DW24" s="7">
        <f>DV24+預測IC!DW24</f>
        <v>-3.0741738005107937</v>
      </c>
      <c r="DX24" s="7">
        <f>DW24+預測IC!DX24</f>
        <v>-2.9004364700627145</v>
      </c>
      <c r="DY24" s="7">
        <f>DX24+預測IC!DY24</f>
        <v>-2.8683699343327631</v>
      </c>
      <c r="DZ24" s="7">
        <f>DY24+預測IC!DZ24</f>
        <v>-2.8194652700739633</v>
      </c>
      <c r="EA24" s="7">
        <f>DZ24+預測IC!EA24</f>
        <v>-2.7645450862324608</v>
      </c>
      <c r="EB24" s="7">
        <f>EA24+預測IC!EB24</f>
        <v>-2.6553163138596543</v>
      </c>
      <c r="EC24" s="7">
        <f>EB24+預測IC!EC24</f>
        <v>-2.9119676938231809</v>
      </c>
      <c r="ED24" s="7">
        <f>EC24+預測IC!ED24</f>
        <v>-2.8557948485248188</v>
      </c>
      <c r="EE24" s="7">
        <f>ED24+預測IC!EE24</f>
        <v>-2.748314191290401</v>
      </c>
      <c r="EF24" s="7">
        <f>EE24+預測IC!EF24</f>
        <v>-2.8155908683343696</v>
      </c>
    </row>
    <row r="25" spans="1:136" s="5" customFormat="1" x14ac:dyDescent="0.3">
      <c r="A25" s="13" t="s">
        <v>146</v>
      </c>
      <c r="B25" s="13" t="s">
        <v>147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745D-C1A9-4176-8878-65FA23218B9A}">
  <dimension ref="A1:EG25"/>
  <sheetViews>
    <sheetView tabSelected="1" topLeftCell="DC23" zoomScale="80" workbookViewId="0">
      <selection activeCell="EB42" sqref="EB42"/>
    </sheetView>
  </sheetViews>
  <sheetFormatPr defaultRowHeight="15" x14ac:dyDescent="0.3"/>
  <sheetData>
    <row r="1" spans="1:137" x14ac:dyDescent="0.3">
      <c r="A1" t="s">
        <v>148</v>
      </c>
    </row>
    <row r="2" spans="1:13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143</v>
      </c>
    </row>
    <row r="3" spans="1:137" x14ac:dyDescent="0.3">
      <c r="B3" s="1" t="s">
        <v>135</v>
      </c>
      <c r="C3" s="7">
        <v>4.0547288954257972E-2</v>
      </c>
      <c r="D3" s="7">
        <v>1.474617514759302E-2</v>
      </c>
      <c r="E3" s="7">
        <v>-5.1652342081069953E-2</v>
      </c>
      <c r="F3" s="7">
        <v>-5.4286114871501923E-2</v>
      </c>
      <c r="G3" s="7">
        <v>-5.7552006095647812E-2</v>
      </c>
      <c r="H3" s="7">
        <v>-7.6259449124336243E-2</v>
      </c>
      <c r="I3" s="7">
        <v>-0.107886478304863</v>
      </c>
      <c r="J3" s="7">
        <v>1.373711228370667E-2</v>
      </c>
      <c r="K3" s="7">
        <v>-5.9229228645563133E-2</v>
      </c>
      <c r="L3" s="7">
        <v>-0.1078036949038506</v>
      </c>
      <c r="M3" s="7">
        <v>2.4141319096088409E-2</v>
      </c>
      <c r="N3" s="7">
        <v>-0.1346741318702698</v>
      </c>
      <c r="O3" s="7">
        <v>-7.92685616761446E-3</v>
      </c>
      <c r="P3" s="7">
        <v>-7.5651742517948151E-2</v>
      </c>
      <c r="Q3" s="7">
        <v>-8.6447760462760925E-2</v>
      </c>
      <c r="R3" s="7">
        <v>-3.0133344698697329E-3</v>
      </c>
      <c r="S3" s="7">
        <v>-4.0853243321180337E-2</v>
      </c>
      <c r="T3" s="7">
        <v>-3.2101776450872421E-2</v>
      </c>
      <c r="U3" s="7">
        <v>-0.10543976724147799</v>
      </c>
      <c r="V3" s="7">
        <v>-4.5746464282274253E-2</v>
      </c>
      <c r="W3" s="7">
        <v>-6.8120560608804226E-3</v>
      </c>
      <c r="X3" s="7">
        <v>9.7701430320739746E-2</v>
      </c>
      <c r="Y3" s="7">
        <v>6.1205495148897171E-2</v>
      </c>
      <c r="Z3" s="7">
        <v>1.6075653955340389E-2</v>
      </c>
      <c r="AA3" s="7">
        <v>-1.270355191081762E-2</v>
      </c>
      <c r="AB3" s="7">
        <v>-1.026225462555885E-2</v>
      </c>
      <c r="AC3" s="7">
        <v>2.934014052152634E-2</v>
      </c>
      <c r="AD3" s="7">
        <v>-5.8081243187189102E-3</v>
      </c>
      <c r="AE3" s="7">
        <v>1.1994774453341959E-2</v>
      </c>
      <c r="AF3" s="7">
        <v>3.9971381425857537E-2</v>
      </c>
      <c r="AG3" s="7">
        <v>-1.210324652493E-2</v>
      </c>
      <c r="AH3" s="7">
        <v>2.2090664133429531E-2</v>
      </c>
      <c r="AI3" s="7">
        <v>2.1936081349849701E-2</v>
      </c>
      <c r="AJ3" s="7">
        <v>2.584474720060825E-2</v>
      </c>
      <c r="AK3" s="7">
        <v>-2.3109074681997299E-3</v>
      </c>
      <c r="AL3" s="7">
        <v>-2.0252099260687832E-2</v>
      </c>
      <c r="AM3" s="7">
        <v>2.2393656894564629E-2</v>
      </c>
      <c r="AN3" s="7">
        <v>-3.5141657572239642E-3</v>
      </c>
      <c r="AO3" s="7">
        <v>-2.9745671898126599E-2</v>
      </c>
      <c r="AP3" s="7">
        <v>-2.683783695101738E-2</v>
      </c>
      <c r="AQ3" s="7">
        <v>-2.169711887836456E-2</v>
      </c>
      <c r="AR3" s="7">
        <v>2.3448716849088669E-2</v>
      </c>
      <c r="AS3" s="7">
        <v>1.5802856534719471E-2</v>
      </c>
      <c r="AT3" s="7">
        <v>6.6039755940437317E-2</v>
      </c>
      <c r="AU3" s="7">
        <v>6.2266789376735687E-2</v>
      </c>
      <c r="AV3" s="7">
        <v>5.7940512895584113E-2</v>
      </c>
      <c r="AW3" s="7">
        <v>0.1063941121101379</v>
      </c>
      <c r="AX3" s="7">
        <v>-5.7518132962286472E-3</v>
      </c>
      <c r="AY3" s="7">
        <v>3.4562649670988321E-3</v>
      </c>
      <c r="AZ3" s="7">
        <v>8.6036309599876404E-2</v>
      </c>
      <c r="BA3" s="7">
        <v>0.10234846919775011</v>
      </c>
      <c r="BB3" s="7">
        <v>6.3502728939056396E-2</v>
      </c>
      <c r="BC3" s="7">
        <v>4.844263568520546E-2</v>
      </c>
      <c r="BD3" s="7">
        <v>7.7497914433479309E-2</v>
      </c>
      <c r="BE3" s="7">
        <v>2.7031764388084412E-2</v>
      </c>
      <c r="BF3" s="7">
        <v>2.1175272762775421E-2</v>
      </c>
      <c r="BG3" s="7">
        <v>-1.226798165589571E-2</v>
      </c>
      <c r="BH3" s="7">
        <v>5.1240973174571991E-2</v>
      </c>
      <c r="BI3" s="7">
        <v>5.5158428847789757E-2</v>
      </c>
      <c r="BJ3" s="7">
        <v>8.664897084236145E-2</v>
      </c>
      <c r="BK3" s="7">
        <v>8.1092678010463715E-2</v>
      </c>
      <c r="BL3" s="7">
        <v>5.7930886745452881E-2</v>
      </c>
      <c r="BM3" s="7">
        <v>1.4249543659389021E-2</v>
      </c>
      <c r="BN3" s="7">
        <v>-4.6854224056005478E-3</v>
      </c>
      <c r="BO3" s="7">
        <v>4.5861139893531799E-2</v>
      </c>
      <c r="BP3" s="7">
        <v>8.6037963628768921E-2</v>
      </c>
      <c r="BQ3" s="7">
        <v>0.144142210483551</v>
      </c>
      <c r="BR3" s="7">
        <v>3.7985831499099731E-2</v>
      </c>
      <c r="BS3" s="7">
        <v>8.1880234181880951E-2</v>
      </c>
      <c r="BT3" s="7">
        <v>4.3688308447599411E-2</v>
      </c>
      <c r="BU3" s="7">
        <v>0.10545723885297779</v>
      </c>
      <c r="BV3" s="7">
        <v>0.1175376549363136</v>
      </c>
      <c r="BW3" s="7">
        <v>9.2942401766777039E-2</v>
      </c>
      <c r="BX3" s="7">
        <v>3.5637497901916497E-2</v>
      </c>
      <c r="BY3" s="7">
        <v>4.2925089597702033E-2</v>
      </c>
      <c r="BZ3" s="7">
        <v>9.8455093801021576E-2</v>
      </c>
      <c r="CA3" s="7">
        <v>1.8217885866761211E-2</v>
      </c>
      <c r="CB3" s="7">
        <v>1.9438756629824638E-2</v>
      </c>
      <c r="CC3" s="7">
        <v>-5.0573386251926422E-3</v>
      </c>
      <c r="CD3" s="7">
        <v>-5.7951014488935471E-2</v>
      </c>
      <c r="CE3" s="7">
        <v>-1.193848438560963E-2</v>
      </c>
      <c r="CF3" s="7">
        <v>6.4156758598983288E-3</v>
      </c>
      <c r="CG3" s="7">
        <v>5.6247138418257236E-3</v>
      </c>
      <c r="CH3" s="7">
        <v>5.8184977620840073E-2</v>
      </c>
      <c r="CI3" s="7">
        <v>1.276898570358753E-2</v>
      </c>
      <c r="CJ3" s="7">
        <v>-8.0891326069831848E-2</v>
      </c>
      <c r="CK3" s="7">
        <v>7.3738843202590942E-2</v>
      </c>
      <c r="CL3" s="7">
        <v>6.7692369222640991E-2</v>
      </c>
      <c r="CM3" s="7">
        <v>-1.829254254698753E-2</v>
      </c>
      <c r="CN3" s="7">
        <v>4.6888105571269989E-3</v>
      </c>
      <c r="CO3" s="7">
        <v>-1.2873713858425621E-2</v>
      </c>
      <c r="CP3" s="7">
        <v>-5.2108332514762878E-2</v>
      </c>
      <c r="CQ3" s="7">
        <v>-7.2693914175033569E-2</v>
      </c>
      <c r="CR3" s="7">
        <v>-6.0804408043622971E-2</v>
      </c>
      <c r="CS3" s="7">
        <v>1.5148262493312361E-2</v>
      </c>
      <c r="CT3" s="7">
        <v>-6.339031457901001E-2</v>
      </c>
      <c r="CU3" s="7">
        <v>-6.1079829931259162E-2</v>
      </c>
      <c r="CV3" s="7">
        <v>-2.170033194124699E-2</v>
      </c>
      <c r="CW3" s="7">
        <v>-6.0720678418874741E-2</v>
      </c>
      <c r="CX3" s="7">
        <v>-4.0655191987752907E-2</v>
      </c>
      <c r="CY3" s="7">
        <v>-4.5480586588382721E-2</v>
      </c>
      <c r="CZ3" s="7">
        <v>-6.9138072431087494E-2</v>
      </c>
      <c r="DA3" s="7">
        <v>-8.9778468012809753E-2</v>
      </c>
      <c r="DB3" s="7">
        <v>-6.527487188577652E-2</v>
      </c>
      <c r="DC3" s="7">
        <v>-1.3747443445026869E-2</v>
      </c>
      <c r="DD3" s="7">
        <v>-5.9340178966522217E-2</v>
      </c>
      <c r="DE3" s="7">
        <v>-2.9697688296437259E-3</v>
      </c>
      <c r="DF3" s="7">
        <v>2.9266869649291039E-2</v>
      </c>
      <c r="DG3" s="7">
        <v>-2.4713881313800808E-2</v>
      </c>
      <c r="DH3" s="7">
        <v>-3.5376153886318207E-2</v>
      </c>
      <c r="DI3" s="7">
        <v>-2.7640743181109428E-2</v>
      </c>
      <c r="DJ3" s="7">
        <v>-5.7575446553528309E-3</v>
      </c>
      <c r="DK3" s="7">
        <v>-4.8771854490041733E-2</v>
      </c>
      <c r="DL3" s="7">
        <v>-1.13038681447506E-2</v>
      </c>
      <c r="DM3" s="7">
        <v>-4.967803880572319E-2</v>
      </c>
      <c r="DN3" s="7">
        <v>-1.280778273940086E-2</v>
      </c>
      <c r="DO3" s="7">
        <v>-1.587224006652832E-2</v>
      </c>
      <c r="DP3" s="7">
        <v>-7.589586079120636E-3</v>
      </c>
      <c r="DQ3" s="7">
        <v>4.0078632533550262E-2</v>
      </c>
      <c r="DR3" s="7">
        <v>-1.5922309830784801E-2</v>
      </c>
      <c r="DS3" s="7">
        <v>2.3432238027453419E-2</v>
      </c>
      <c r="DT3" s="7">
        <v>-5.3663063794374473E-2</v>
      </c>
      <c r="DU3" s="7">
        <v>-4.4161681085824973E-2</v>
      </c>
      <c r="DV3" s="7">
        <v>-2.3813089355826381E-2</v>
      </c>
      <c r="DW3" s="7">
        <v>2.5176366791129109E-2</v>
      </c>
      <c r="DX3" s="7">
        <v>-3.2621368765830987E-2</v>
      </c>
      <c r="DY3" s="7">
        <v>1.3060665689408779E-2</v>
      </c>
      <c r="DZ3" s="7">
        <v>-4.7912493348121643E-2</v>
      </c>
      <c r="EA3" s="7">
        <v>1.4760352671146389E-2</v>
      </c>
      <c r="EB3" s="7">
        <v>-2.9227724298834801E-2</v>
      </c>
      <c r="EC3" s="7">
        <v>-3.5695001482963562E-2</v>
      </c>
      <c r="ED3" s="7">
        <v>-5.2812475711107247E-2</v>
      </c>
      <c r="EE3" s="7">
        <v>-1.3054582290351391E-2</v>
      </c>
      <c r="EF3" s="7">
        <v>-6.9071874022483826E-2</v>
      </c>
      <c r="EG3" s="1"/>
    </row>
    <row r="4" spans="1:137" x14ac:dyDescent="0.3">
      <c r="B4" s="1" t="s">
        <v>136</v>
      </c>
      <c r="C4" s="7">
        <v>-1.8580827862024311E-2</v>
      </c>
      <c r="D4" s="7">
        <v>-4.8252779990434647E-2</v>
      </c>
      <c r="E4" s="7">
        <v>7.8275678679347038E-3</v>
      </c>
      <c r="F4" s="7">
        <v>-2.6776634156703949E-2</v>
      </c>
      <c r="G4" s="7">
        <v>1.6258874908089641E-2</v>
      </c>
      <c r="H4" s="7">
        <v>-8.7667405605316162E-3</v>
      </c>
      <c r="I4" s="7">
        <v>-7.0548905059695244E-3</v>
      </c>
      <c r="J4" s="7">
        <v>-3.2917611300945282E-2</v>
      </c>
      <c r="K4" s="7">
        <v>7.3888557963073254E-3</v>
      </c>
      <c r="L4" s="7">
        <v>3.5096999257802963E-2</v>
      </c>
      <c r="M4" s="7">
        <v>-1.934842579066753E-2</v>
      </c>
      <c r="N4" s="7">
        <v>-1.2498205527663229E-2</v>
      </c>
      <c r="O4" s="7">
        <v>-6.7216232419013977E-2</v>
      </c>
      <c r="P4" s="7">
        <v>-2.768821083009243E-2</v>
      </c>
      <c r="Q4" s="7">
        <v>-5.9864789247512817E-2</v>
      </c>
      <c r="R4" s="7">
        <v>-7.7407129108905792E-2</v>
      </c>
      <c r="S4" s="7">
        <v>-8.372652530670166E-2</v>
      </c>
      <c r="T4" s="7">
        <v>-5.9324655681848533E-2</v>
      </c>
      <c r="U4" s="7">
        <v>-2.3863557726144791E-3</v>
      </c>
      <c r="V4" s="7">
        <v>4.6488689258694649E-3</v>
      </c>
      <c r="W4" s="7">
        <v>-7.4044972658157349E-2</v>
      </c>
      <c r="X4" s="7">
        <v>-9.8803862929344177E-2</v>
      </c>
      <c r="Y4" s="7">
        <v>-9.1002114117145538E-2</v>
      </c>
      <c r="Z4" s="7">
        <v>-6.800408661365509E-2</v>
      </c>
      <c r="AA4" s="7">
        <v>-8.6181230843067169E-2</v>
      </c>
      <c r="AB4" s="7">
        <v>-8.889392763376236E-2</v>
      </c>
      <c r="AC4" s="7">
        <v>-1.6588440164923671E-2</v>
      </c>
      <c r="AD4" s="7">
        <v>6.3448823988437653E-2</v>
      </c>
      <c r="AE4" s="7">
        <v>-5.9580553323030472E-2</v>
      </c>
      <c r="AF4" s="7">
        <v>1.096150139346719E-3</v>
      </c>
      <c r="AG4" s="7">
        <v>2.8850741684436802E-2</v>
      </c>
      <c r="AH4" s="7">
        <v>2.907080203294754E-2</v>
      </c>
      <c r="AI4" s="7">
        <v>-1.015707012265921E-2</v>
      </c>
      <c r="AJ4" s="7">
        <v>4.4545106589794159E-2</v>
      </c>
      <c r="AK4" s="7">
        <v>-1.327527966350317E-2</v>
      </c>
      <c r="AL4" s="7">
        <v>1.4735002070665359E-2</v>
      </c>
      <c r="AM4" s="7">
        <v>5.2847121842205516E-3</v>
      </c>
      <c r="AN4" s="7">
        <v>4.7137059271335602E-2</v>
      </c>
      <c r="AO4" s="7">
        <v>7.4655739590525627E-3</v>
      </c>
      <c r="AP4" s="7">
        <v>4.6993391588330269E-3</v>
      </c>
      <c r="AQ4" s="7">
        <v>2.0851189270615581E-2</v>
      </c>
      <c r="AR4" s="7">
        <v>5.4104723036289222E-2</v>
      </c>
      <c r="AS4" s="7">
        <v>-5.646181758493185E-3</v>
      </c>
      <c r="AT4" s="7">
        <v>4.0453299880027771E-3</v>
      </c>
      <c r="AU4" s="7">
        <v>2.0628450438380241E-2</v>
      </c>
      <c r="AV4" s="7">
        <v>2.111388556659222E-2</v>
      </c>
      <c r="AW4" s="7">
        <v>-4.1878089308738708E-2</v>
      </c>
      <c r="AX4" s="7">
        <v>1.5781458467245098E-2</v>
      </c>
      <c r="AY4" s="7">
        <v>-2.299829013645649E-2</v>
      </c>
      <c r="AZ4" s="7">
        <v>5.878029391169548E-3</v>
      </c>
      <c r="BA4" s="7">
        <v>-2.1811418235301971E-2</v>
      </c>
      <c r="BB4" s="7">
        <v>-7.6676465570926666E-2</v>
      </c>
      <c r="BC4" s="7">
        <v>1.004549115896225E-2</v>
      </c>
      <c r="BD4" s="7">
        <v>-4.7882307320833213E-2</v>
      </c>
      <c r="BE4" s="7">
        <v>-6.8554230034351349E-2</v>
      </c>
      <c r="BF4" s="7">
        <v>-8.2745306193828583E-2</v>
      </c>
      <c r="BG4" s="7">
        <v>-0.1204242408275604</v>
      </c>
      <c r="BH4" s="7">
        <v>-0.10103762894868849</v>
      </c>
      <c r="BI4" s="7">
        <v>-3.9490096271038062E-2</v>
      </c>
      <c r="BJ4" s="7">
        <v>-6.4256303012371063E-2</v>
      </c>
      <c r="BK4" s="7">
        <v>-0.14447127282619479</v>
      </c>
      <c r="BL4" s="7">
        <v>-0.1120113208889961</v>
      </c>
      <c r="BM4" s="7">
        <v>-3.4826010465621948E-2</v>
      </c>
      <c r="BN4" s="7">
        <v>-8.5986465215682983E-2</v>
      </c>
      <c r="BO4" s="7">
        <v>-7.0973977446556091E-2</v>
      </c>
      <c r="BP4" s="7">
        <v>-3.4846525639295578E-2</v>
      </c>
      <c r="BQ4" s="7">
        <v>-2.0351750776171681E-2</v>
      </c>
      <c r="BR4" s="7">
        <v>-2.315560914576054E-2</v>
      </c>
      <c r="BS4" s="7">
        <v>-3.2191596925258643E-2</v>
      </c>
      <c r="BT4" s="7">
        <v>-6.8826571106910706E-2</v>
      </c>
      <c r="BU4" s="7">
        <v>-9.2764981091022491E-2</v>
      </c>
      <c r="BV4" s="7">
        <v>-8.1678107380867004E-2</v>
      </c>
      <c r="BW4" s="7">
        <v>-6.8563610315322876E-2</v>
      </c>
      <c r="BX4" s="7">
        <v>-1.983198523521423E-2</v>
      </c>
      <c r="BY4" s="7">
        <v>-6.1186797916889191E-2</v>
      </c>
      <c r="BZ4" s="7">
        <v>-7.0581048727035522E-2</v>
      </c>
      <c r="CA4" s="7">
        <v>-7.2609454393386841E-2</v>
      </c>
      <c r="CB4" s="7">
        <v>-8.8862821459770203E-2</v>
      </c>
      <c r="CC4" s="7">
        <v>-6.5672166645526886E-2</v>
      </c>
      <c r="CD4" s="7">
        <v>-7.0492014288902283E-2</v>
      </c>
      <c r="CE4" s="7">
        <v>-8.9266888797283173E-2</v>
      </c>
      <c r="CF4" s="7">
        <v>-1.9554028287529949E-2</v>
      </c>
      <c r="CG4" s="7">
        <v>-3.8807325065135963E-2</v>
      </c>
      <c r="CH4" s="7">
        <v>-2.6853706687688831E-2</v>
      </c>
      <c r="CI4" s="7">
        <v>-2.3996761068701741E-2</v>
      </c>
      <c r="CJ4" s="7">
        <v>-6.9834161549806586E-3</v>
      </c>
      <c r="CK4" s="7">
        <v>-1.185638178139925E-2</v>
      </c>
      <c r="CL4" s="7">
        <v>-1.1220706626772881E-2</v>
      </c>
      <c r="CM4" s="7">
        <v>-1.975167170166969E-2</v>
      </c>
      <c r="CN4" s="7">
        <v>-1.7389096319675449E-2</v>
      </c>
      <c r="CO4" s="7">
        <v>9.1980240540578961E-4</v>
      </c>
      <c r="CP4" s="7">
        <v>-2.7678526937961578E-2</v>
      </c>
      <c r="CQ4" s="7">
        <v>-2.722612768411636E-2</v>
      </c>
      <c r="CR4" s="7">
        <v>-3.4191105514764793E-2</v>
      </c>
      <c r="CS4" s="7">
        <v>-3.7506073713302612E-2</v>
      </c>
      <c r="CT4" s="7">
        <v>-4.9283858388662338E-2</v>
      </c>
      <c r="CU4" s="7">
        <v>-2.3866469040513039E-2</v>
      </c>
      <c r="CV4" s="7">
        <v>-2.7314594481140379E-3</v>
      </c>
      <c r="CW4" s="7">
        <v>2.5829777121543881E-2</v>
      </c>
      <c r="CX4" s="7">
        <v>-7.7818602323532104E-2</v>
      </c>
      <c r="CY4" s="7">
        <v>-1.714335381984711E-2</v>
      </c>
      <c r="CZ4" s="7">
        <v>6.4833508804440498E-3</v>
      </c>
      <c r="DA4" s="7">
        <v>2.1121479570865631E-2</v>
      </c>
      <c r="DB4" s="7">
        <v>1.6250079497694969E-3</v>
      </c>
      <c r="DC4" s="7">
        <v>1.4495826326310629E-2</v>
      </c>
      <c r="DD4" s="7">
        <v>3.7542592734098428E-2</v>
      </c>
      <c r="DE4" s="7">
        <v>-4.7325566411018372E-2</v>
      </c>
      <c r="DF4" s="7">
        <v>3.3347133547067642E-2</v>
      </c>
      <c r="DG4" s="7">
        <v>-1.8042853102087971E-2</v>
      </c>
      <c r="DH4" s="7">
        <v>-1.2872833758592611E-2</v>
      </c>
      <c r="DI4" s="7">
        <v>2.5734813883900639E-2</v>
      </c>
      <c r="DJ4" s="7">
        <v>1.416372787207365E-2</v>
      </c>
      <c r="DK4" s="7">
        <v>-3.316790983080864E-2</v>
      </c>
      <c r="DL4" s="7">
        <v>-2.1062262356281281E-2</v>
      </c>
      <c r="DM4" s="7">
        <v>1.4148561283946041E-2</v>
      </c>
      <c r="DN4" s="7">
        <v>-1.9859654828906059E-2</v>
      </c>
      <c r="DO4" s="7">
        <v>-3.856055811047554E-2</v>
      </c>
      <c r="DP4" s="7">
        <v>5.259593203663826E-2</v>
      </c>
      <c r="DQ4" s="7">
        <v>5.0834372639656067E-2</v>
      </c>
      <c r="DR4" s="7">
        <v>3.4424390643835068E-2</v>
      </c>
      <c r="DS4" s="7">
        <v>2.6739172637462619E-2</v>
      </c>
      <c r="DT4" s="7">
        <v>-2.2692034021019939E-2</v>
      </c>
      <c r="DU4" s="7">
        <v>2.356254868209362E-2</v>
      </c>
      <c r="DV4" s="7">
        <v>1.1204046197235581E-2</v>
      </c>
      <c r="DW4" s="7">
        <v>9.7593218088150024E-3</v>
      </c>
      <c r="DX4" s="7">
        <v>-1.200891844928265E-2</v>
      </c>
      <c r="DY4" s="7">
        <v>-1.29100177437067E-2</v>
      </c>
      <c r="DZ4" s="7">
        <v>1.4516728930175299E-2</v>
      </c>
      <c r="EA4" s="7">
        <v>2.0058911293745041E-2</v>
      </c>
      <c r="EB4" s="7">
        <v>5.2505847066640847E-2</v>
      </c>
      <c r="EC4" s="7">
        <v>3.2138381153345108E-2</v>
      </c>
      <c r="ED4" s="7">
        <v>-9.5858694985508919E-3</v>
      </c>
      <c r="EE4" s="7">
        <v>1.6591379418969151E-2</v>
      </c>
      <c r="EF4" s="7">
        <v>2.4656090885400769E-2</v>
      </c>
      <c r="EG4" s="1"/>
    </row>
    <row r="5" spans="1:137" x14ac:dyDescent="0.3">
      <c r="B5" s="1" t="s">
        <v>137</v>
      </c>
      <c r="C5" s="7">
        <v>-1.9821943715214729E-2</v>
      </c>
      <c r="D5" s="7">
        <v>-2.4067563936114311E-2</v>
      </c>
      <c r="E5" s="7">
        <v>-7.5782481580972672E-3</v>
      </c>
      <c r="F5" s="7">
        <v>3.8560427725315087E-2</v>
      </c>
      <c r="G5" s="7">
        <v>-7.0930332876741886E-3</v>
      </c>
      <c r="H5" s="7">
        <v>-2.8790984302759171E-2</v>
      </c>
      <c r="I5" s="7">
        <v>-5.0696283578872681E-2</v>
      </c>
      <c r="J5" s="7">
        <v>-1.75021740142256E-3</v>
      </c>
      <c r="K5" s="7">
        <v>-4.8410315066576004E-3</v>
      </c>
      <c r="L5" s="7">
        <v>-2.5085138157010078E-2</v>
      </c>
      <c r="M5" s="7">
        <v>3.4981705248355872E-2</v>
      </c>
      <c r="N5" s="7">
        <v>7.1464717388153076E-2</v>
      </c>
      <c r="O5" s="7">
        <v>4.9568243324756622E-2</v>
      </c>
      <c r="P5" s="7">
        <v>9.211605042219162E-2</v>
      </c>
      <c r="Q5" s="7">
        <v>7.458747923374176E-2</v>
      </c>
      <c r="R5" s="7">
        <v>3.6225240677595139E-2</v>
      </c>
      <c r="S5" s="7">
        <v>6.8880669772624969E-2</v>
      </c>
      <c r="T5" s="7">
        <v>5.0580024719238281E-2</v>
      </c>
      <c r="U5" s="7">
        <v>5.0022769719362259E-2</v>
      </c>
      <c r="V5" s="7">
        <v>6.5072879195213318E-2</v>
      </c>
      <c r="W5" s="7">
        <v>8.2305394113063812E-2</v>
      </c>
      <c r="X5" s="7">
        <v>4.979049414396286E-2</v>
      </c>
      <c r="Y5" s="7">
        <v>0.16213490068912509</v>
      </c>
      <c r="Z5" s="7">
        <v>4.9829393625259399E-2</v>
      </c>
      <c r="AA5" s="7">
        <v>-9.6141993999481201E-3</v>
      </c>
      <c r="AB5" s="7">
        <v>-9.4462800770998001E-3</v>
      </c>
      <c r="AC5" s="7">
        <v>-1.5571466647088529E-2</v>
      </c>
      <c r="AD5" s="7">
        <v>-5.6024580262601384E-3</v>
      </c>
      <c r="AE5" s="7">
        <v>2.4225909262895581E-2</v>
      </c>
      <c r="AF5" s="7">
        <v>6.4355872571468353E-2</v>
      </c>
      <c r="AG5" s="7">
        <v>6.0781430453062057E-2</v>
      </c>
      <c r="AH5" s="7">
        <v>2.877256274223328E-2</v>
      </c>
      <c r="AI5" s="7">
        <v>4.2393732815980911E-2</v>
      </c>
      <c r="AJ5" s="7">
        <v>1.3549104332923889E-2</v>
      </c>
      <c r="AK5" s="7">
        <v>0.104340173304081</v>
      </c>
      <c r="AL5" s="7">
        <v>2.3477694019675251E-2</v>
      </c>
      <c r="AM5" s="7">
        <v>4.9679871648550027E-2</v>
      </c>
      <c r="AN5" s="7">
        <v>-1.9429741427302361E-2</v>
      </c>
      <c r="AO5" s="7">
        <v>-9.9202198907732964E-3</v>
      </c>
      <c r="AP5" s="7">
        <v>1.375884562730789E-2</v>
      </c>
      <c r="AQ5" s="7">
        <v>-4.9647921696305266E-3</v>
      </c>
      <c r="AR5" s="7">
        <v>-1.355784293264151E-2</v>
      </c>
      <c r="AS5" s="7">
        <v>-2.6926254853606221E-2</v>
      </c>
      <c r="AT5" s="7">
        <v>-7.0274341851472846E-3</v>
      </c>
      <c r="AU5" s="7">
        <v>9.5545966178178787E-3</v>
      </c>
      <c r="AV5" s="7">
        <v>3.9484385401010513E-2</v>
      </c>
      <c r="AW5" s="7">
        <v>1.0149263776838779E-2</v>
      </c>
      <c r="AX5" s="7">
        <v>2.7402361854910851E-2</v>
      </c>
      <c r="AY5" s="7">
        <v>3.636043518781662E-2</v>
      </c>
      <c r="AZ5" s="7">
        <v>-1.262158527970314E-2</v>
      </c>
      <c r="BA5" s="7">
        <v>5.0261570140719414E-3</v>
      </c>
      <c r="BB5" s="7">
        <v>3.7919752299785607E-2</v>
      </c>
      <c r="BC5" s="7">
        <v>5.3017329424619668E-2</v>
      </c>
      <c r="BD5" s="7">
        <v>-5.6791070848703377E-2</v>
      </c>
      <c r="BE5" s="7">
        <v>-1.0663941502571109E-2</v>
      </c>
      <c r="BF5" s="7">
        <v>-4.5907318592071533E-2</v>
      </c>
      <c r="BG5" s="7">
        <v>-4.1811093688011169E-2</v>
      </c>
      <c r="BH5" s="7">
        <v>-8.6124790832400322E-3</v>
      </c>
      <c r="BI5" s="7">
        <v>5.799414124339819E-3</v>
      </c>
      <c r="BJ5" s="7">
        <v>-1.243619527667761E-2</v>
      </c>
      <c r="BK5" s="7">
        <v>2.8031732887029651E-2</v>
      </c>
      <c r="BL5" s="7">
        <v>1.237457524985075E-2</v>
      </c>
      <c r="BM5" s="7">
        <v>3.3071968704462051E-2</v>
      </c>
      <c r="BN5" s="7">
        <v>5.3148314356803887E-2</v>
      </c>
      <c r="BO5" s="7">
        <v>-2.6408641133457422E-4</v>
      </c>
      <c r="BP5" s="7">
        <v>2.5249753147363659E-2</v>
      </c>
      <c r="BQ5" s="7">
        <v>1.6997437924146649E-2</v>
      </c>
      <c r="BR5" s="7">
        <v>3.9869185537099838E-2</v>
      </c>
      <c r="BS5" s="7">
        <v>1.4649398624897E-2</v>
      </c>
      <c r="BT5" s="7">
        <v>-1.352826133370399E-3</v>
      </c>
      <c r="BU5" s="7">
        <v>-1.624243147671223E-2</v>
      </c>
      <c r="BV5" s="7">
        <v>-1.9686918705701831E-2</v>
      </c>
      <c r="BW5" s="7">
        <v>1.865353994071484E-2</v>
      </c>
      <c r="BX5" s="7">
        <v>1.243885513395071E-2</v>
      </c>
      <c r="BY5" s="7">
        <v>1.172025687992573E-2</v>
      </c>
      <c r="BZ5" s="7">
        <v>2.6449056342244152E-2</v>
      </c>
      <c r="CA5" s="7">
        <v>2.04578060656786E-2</v>
      </c>
      <c r="CB5" s="7">
        <v>-1.0790687054395681E-2</v>
      </c>
      <c r="CC5" s="7">
        <v>2.7279853820800781E-2</v>
      </c>
      <c r="CD5" s="7">
        <v>-2.825878094881773E-3</v>
      </c>
      <c r="CE5" s="7">
        <v>-3.9107587188482278E-2</v>
      </c>
      <c r="CF5" s="7">
        <v>2.643934823572636E-2</v>
      </c>
      <c r="CG5" s="7">
        <v>-1.353815849870443E-2</v>
      </c>
      <c r="CH5" s="7">
        <v>3.3741135150194168E-2</v>
      </c>
      <c r="CI5" s="7">
        <v>-1.802918687462807E-2</v>
      </c>
      <c r="CJ5" s="7">
        <v>7.7282674610614777E-3</v>
      </c>
      <c r="CK5" s="7">
        <v>4.5171476900577552E-2</v>
      </c>
      <c r="CL5" s="7">
        <v>-1.4336470048874621E-3</v>
      </c>
      <c r="CM5" s="7">
        <v>-4.3408293277025223E-2</v>
      </c>
      <c r="CN5" s="7">
        <v>-4.8494711518287659E-2</v>
      </c>
      <c r="CO5" s="7">
        <v>-3.4412361681461327E-2</v>
      </c>
      <c r="CP5" s="7">
        <v>-3.1831637024879463E-2</v>
      </c>
      <c r="CQ5" s="7">
        <v>-2.954593114554882E-2</v>
      </c>
      <c r="CR5" s="7">
        <v>-4.6193767338991172E-2</v>
      </c>
      <c r="CS5" s="7">
        <v>-2.2423639893531799E-2</v>
      </c>
      <c r="CT5" s="7">
        <v>2.7818739414215091E-2</v>
      </c>
      <c r="CU5" s="7">
        <v>3.4685932099819183E-2</v>
      </c>
      <c r="CV5" s="7">
        <v>2.074115909636021E-2</v>
      </c>
      <c r="CW5" s="7">
        <v>3.9250623434782028E-2</v>
      </c>
      <c r="CX5" s="7">
        <v>2.3623250424861911E-2</v>
      </c>
      <c r="CY5" s="7">
        <v>2.0947696641087529E-2</v>
      </c>
      <c r="CZ5" s="7">
        <v>2.7976941782981162E-3</v>
      </c>
      <c r="DA5" s="7">
        <v>3.1392037868499763E-2</v>
      </c>
      <c r="DB5" s="7">
        <v>2.502433024346828E-3</v>
      </c>
      <c r="DC5" s="7">
        <v>4.6531397849321372E-2</v>
      </c>
      <c r="DD5" s="7">
        <v>3.7525448948144913E-2</v>
      </c>
      <c r="DE5" s="7">
        <v>6.0277972370386117E-2</v>
      </c>
      <c r="DF5" s="7">
        <v>-1.6737030819058418E-2</v>
      </c>
      <c r="DG5" s="7">
        <v>-9.5816031098365784E-3</v>
      </c>
      <c r="DH5" s="7">
        <v>2.3357640951871868E-2</v>
      </c>
      <c r="DI5" s="7">
        <v>-4.1918892413377762E-2</v>
      </c>
      <c r="DJ5" s="7">
        <v>-1.131146331317723E-3</v>
      </c>
      <c r="DK5" s="7">
        <v>4.1163764894008643E-2</v>
      </c>
      <c r="DL5" s="7">
        <v>2.8391024097800251E-2</v>
      </c>
      <c r="DM5" s="7">
        <v>-2.8915755450725559E-2</v>
      </c>
      <c r="DN5" s="7">
        <v>-1.6116663813591E-2</v>
      </c>
      <c r="DO5" s="7">
        <v>-4.4103553518652916E-3</v>
      </c>
      <c r="DP5" s="7">
        <v>-2.803636156022549E-2</v>
      </c>
      <c r="DQ5" s="7">
        <v>3.730235388502479E-3</v>
      </c>
      <c r="DR5" s="7">
        <v>4.8961839638650417E-3</v>
      </c>
      <c r="DS5" s="7">
        <v>1.518423017114401E-2</v>
      </c>
      <c r="DT5" s="7">
        <v>-2.709389291703701E-2</v>
      </c>
      <c r="DU5" s="7">
        <v>2.157741412520409E-2</v>
      </c>
      <c r="DV5" s="7">
        <v>-1.6142900567501779E-3</v>
      </c>
      <c r="DW5" s="7">
        <v>-4.1363826021552086E-3</v>
      </c>
      <c r="DX5" s="7">
        <v>-4.4376425445079803E-2</v>
      </c>
      <c r="DY5" s="7">
        <v>-3.3609867095947273E-2</v>
      </c>
      <c r="DZ5" s="7">
        <v>-4.8759568482637412E-2</v>
      </c>
      <c r="EA5" s="7">
        <v>5.7486207224428654E-3</v>
      </c>
      <c r="EB5" s="7">
        <v>5.8685941621661186E-3</v>
      </c>
      <c r="EC5" s="7">
        <v>4.229099303483963E-2</v>
      </c>
      <c r="ED5" s="7">
        <v>2.5345668196678162E-2</v>
      </c>
      <c r="EE5" s="7">
        <v>7.0743728429079056E-3</v>
      </c>
      <c r="EF5" s="7">
        <v>3.71592678129673E-2</v>
      </c>
      <c r="EG5" s="1"/>
    </row>
    <row r="6" spans="1:137" x14ac:dyDescent="0.3">
      <c r="A6" s="10" t="s">
        <v>138</v>
      </c>
      <c r="B6" s="11"/>
      <c r="C6" s="7">
        <f t="array" ref="C6">MATCH(MAX(ABS(C3:C5)), ABS(C3:C5), 0)</f>
        <v>1</v>
      </c>
      <c r="D6" s="7">
        <f t="array" ref="D6">MATCH(MAX(ABS(D3:D5)), ABS(D3:D5), 0)</f>
        <v>2</v>
      </c>
      <c r="E6" s="7">
        <f t="array" ref="E6">MATCH(MAX(ABS(E3:E5)), ABS(E3:E5), 0)</f>
        <v>1</v>
      </c>
      <c r="F6" s="7">
        <f t="array" ref="F6">MATCH(MAX(ABS(F3:F5)), ABS(F3:F5), 0)</f>
        <v>1</v>
      </c>
      <c r="G6" s="7">
        <f t="array" ref="G6">MATCH(MAX(ABS(G3:G5)), ABS(G3:G5), 0)</f>
        <v>1</v>
      </c>
      <c r="H6" s="7">
        <f t="array" ref="H6">MATCH(MAX(ABS(H3:H5)), ABS(H3:H5), 0)</f>
        <v>1</v>
      </c>
      <c r="I6" s="7">
        <f t="array" ref="I6">MATCH(MAX(ABS(I3:I5)), ABS(I3:I5), 0)</f>
        <v>1</v>
      </c>
      <c r="J6" s="7">
        <f t="array" ref="J6">MATCH(MAX(ABS(J3:J5)), ABS(J3:J5), 0)</f>
        <v>2</v>
      </c>
      <c r="K6" s="7">
        <f t="array" ref="K6">MATCH(MAX(ABS(K3:K5)), ABS(K3:K5), 0)</f>
        <v>1</v>
      </c>
      <c r="L6" s="7">
        <f t="array" ref="L6">MATCH(MAX(ABS(L3:L5)), ABS(L3:L5), 0)</f>
        <v>1</v>
      </c>
      <c r="M6" s="7">
        <f t="array" ref="M6">MATCH(MAX(ABS(M3:M5)), ABS(M3:M5), 0)</f>
        <v>3</v>
      </c>
      <c r="N6" s="7">
        <f t="array" ref="N6">MATCH(MAX(ABS(N3:N5)), ABS(N3:N5), 0)</f>
        <v>1</v>
      </c>
      <c r="O6" s="7">
        <f t="array" ref="O6">MATCH(MAX(ABS(O3:O5)), ABS(O3:O5), 0)</f>
        <v>2</v>
      </c>
      <c r="P6" s="7">
        <f t="array" ref="P6">MATCH(MAX(ABS(P3:P5)), ABS(P3:P5), 0)</f>
        <v>3</v>
      </c>
      <c r="Q6" s="7">
        <f t="array" ref="Q6">MATCH(MAX(ABS(Q3:Q5)), ABS(Q3:Q5), 0)</f>
        <v>1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2</v>
      </c>
      <c r="U6" s="7">
        <f t="array" ref="U6">MATCH(MAX(ABS(U3:U5)), ABS(U3:U5), 0)</f>
        <v>1</v>
      </c>
      <c r="V6" s="7">
        <f t="array" ref="V6">MATCH(MAX(ABS(V3:V5)), ABS(V3:V5), 0)</f>
        <v>3</v>
      </c>
      <c r="W6" s="7">
        <f t="array" ref="W6">MATCH(MAX(ABS(W3:W5)), ABS(W3:W5), 0)</f>
        <v>3</v>
      </c>
      <c r="X6" s="7">
        <f t="array" ref="X6">MATCH(MAX(ABS(X3:X5)), ABS(X3:X5), 0)</f>
        <v>2</v>
      </c>
      <c r="Y6" s="7">
        <f t="array" ref="Y6">MATCH(MAX(ABS(Y3:Y5)), ABS(Y3:Y5), 0)</f>
        <v>3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2</v>
      </c>
      <c r="AC6" s="7">
        <f t="array" ref="AC6">MATCH(MAX(ABS(AC3:AC5)), ABS(AC3:AC5), 0)</f>
        <v>1</v>
      </c>
      <c r="AD6" s="7">
        <f t="array" ref="AD6">MATCH(MAX(ABS(AD3:AD5)), ABS(AD3:AD5), 0)</f>
        <v>2</v>
      </c>
      <c r="AE6" s="7">
        <f t="array" ref="AE6">MATCH(MAX(ABS(AE3:AE5)), ABS(AE3:AE5), 0)</f>
        <v>2</v>
      </c>
      <c r="AF6" s="7">
        <f t="array" ref="AF6">MATCH(MAX(ABS(AF3:AF5)), ABS(AF3:AF5), 0)</f>
        <v>3</v>
      </c>
      <c r="AG6" s="7">
        <f t="array" ref="AG6">MATCH(MAX(ABS(AG3:AG5)), ABS(AG3:AG5), 0)</f>
        <v>3</v>
      </c>
      <c r="AH6" s="7">
        <f t="array" ref="AH6">MATCH(MAX(ABS(AH3:AH5)), ABS(AH3:AH5), 0)</f>
        <v>2</v>
      </c>
      <c r="AI6" s="7">
        <f t="array" ref="AI6">MATCH(MAX(ABS(AI3:AI5)), ABS(AI3:AI5), 0)</f>
        <v>3</v>
      </c>
      <c r="AJ6" s="7">
        <f t="array" ref="AJ6">MATCH(MAX(ABS(AJ3:AJ5)), ABS(AJ3:AJ5), 0)</f>
        <v>2</v>
      </c>
      <c r="AK6" s="7">
        <f t="array" ref="AK6">MATCH(MAX(ABS(AK3:AK5)), ABS(AK3:AK5), 0)</f>
        <v>3</v>
      </c>
      <c r="AL6" s="7">
        <f t="array" ref="AL6">MATCH(MAX(ABS(AL3:AL5)), ABS(AL3:AL5), 0)</f>
        <v>3</v>
      </c>
      <c r="AM6" s="7">
        <f t="array" ref="AM6">MATCH(MAX(ABS(AM3:AM5)), ABS(AM3:AM5), 0)</f>
        <v>3</v>
      </c>
      <c r="AN6" s="7">
        <f t="array" ref="AN6">MATCH(MAX(ABS(AN3:AN5)), ABS(AN3:AN5), 0)</f>
        <v>2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2</v>
      </c>
      <c r="AS6" s="7">
        <f t="array" ref="AS6">MATCH(MAX(ABS(AS3:AS5)), ABS(AS3:AS5), 0)</f>
        <v>3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3</v>
      </c>
      <c r="AY6" s="7">
        <f t="array" ref="AY6">MATCH(MAX(ABS(AY3:AY5)), ABS(AY3:AY5), 0)</f>
        <v>3</v>
      </c>
      <c r="AZ6" s="7">
        <f t="array" ref="AZ6">MATCH(MAX(ABS(AZ3:AZ5)), ABS(AZ3:AZ5), 0)</f>
        <v>1</v>
      </c>
      <c r="BA6" s="7">
        <f t="array" ref="BA6">MATCH(MAX(ABS(BA3:BA5)), ABS(BA3:BA5), 0)</f>
        <v>1</v>
      </c>
      <c r="BB6" s="7">
        <f t="array" ref="BB6">MATCH(MAX(ABS(BB3:BB5)), ABS(BB3:BB5), 0)</f>
        <v>2</v>
      </c>
      <c r="BC6" s="7">
        <f t="array" ref="BC6">MATCH(MAX(ABS(BC3:BC5)), ABS(BC3:BC5), 0)</f>
        <v>3</v>
      </c>
      <c r="BD6" s="7">
        <f t="array" ref="BD6">MATCH(MAX(ABS(BD3:BD5)), ABS(BD3:BD5), 0)</f>
        <v>1</v>
      </c>
      <c r="BE6" s="7">
        <f t="array" ref="BE6">MATCH(MAX(ABS(BE3:BE5)), ABS(BE3:BE5), 0)</f>
        <v>2</v>
      </c>
      <c r="BF6" s="7">
        <f t="array" ref="BF6">MATCH(MAX(ABS(BF3:BF5)), ABS(BF3:BF5), 0)</f>
        <v>2</v>
      </c>
      <c r="BG6" s="7">
        <f t="array" ref="BG6">MATCH(MAX(ABS(BG3:BG5)), ABS(BG3:BG5), 0)</f>
        <v>2</v>
      </c>
      <c r="BH6" s="7">
        <f t="array" ref="BH6">MATCH(MAX(ABS(BH3:BH5)), ABS(BH3:BH5), 0)</f>
        <v>2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2</v>
      </c>
      <c r="BL6" s="7">
        <f t="array" ref="BL6">MATCH(MAX(ABS(BL3:BL5)), ABS(BL3:BL5), 0)</f>
        <v>2</v>
      </c>
      <c r="BM6" s="7">
        <f t="array" ref="BM6">MATCH(MAX(ABS(BM3:BM5)), ABS(BM3:BM5), 0)</f>
        <v>2</v>
      </c>
      <c r="BN6" s="7">
        <f t="array" ref="BN6">MATCH(MAX(ABS(BN3:BN5)), ABS(BN3:BN5), 0)</f>
        <v>2</v>
      </c>
      <c r="BO6" s="7">
        <f t="array" ref="BO6">MATCH(MAX(ABS(BO3:BO5)), ABS(BO3:BO5), 0)</f>
        <v>2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3</v>
      </c>
      <c r="BS6" s="7">
        <f t="array" ref="BS6">MATCH(MAX(ABS(BS3:BS5)), ABS(BS3:BS5), 0)</f>
        <v>1</v>
      </c>
      <c r="BT6" s="7">
        <f t="array" ref="BT6">MATCH(MAX(ABS(BT3:BT5)), ABS(BT3:BT5), 0)</f>
        <v>2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2</v>
      </c>
      <c r="BZ6" s="7">
        <f t="array" ref="BZ6">MATCH(MAX(ABS(BZ3:BZ5)), ABS(BZ3:BZ5), 0)</f>
        <v>1</v>
      </c>
      <c r="CA6" s="7">
        <f t="array" ref="CA6">MATCH(MAX(ABS(CA3:CA5)), ABS(CA3:CA5), 0)</f>
        <v>2</v>
      </c>
      <c r="CB6" s="7">
        <f t="array" ref="CB6">MATCH(MAX(ABS(CB3:CB5)), ABS(CB3:CB5), 0)</f>
        <v>2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3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2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3</v>
      </c>
      <c r="CN6" s="7">
        <f t="array" ref="CN6">MATCH(MAX(ABS(CN3:CN5)), ABS(CN3:CN5), 0)</f>
        <v>3</v>
      </c>
      <c r="CO6" s="7">
        <f t="array" ref="CO6">MATCH(MAX(ABS(CO3:CO5)), ABS(CO3:CO5), 0)</f>
        <v>3</v>
      </c>
      <c r="CP6" s="7">
        <f t="array" ref="CP6">MATCH(MAX(ABS(CP3:CP5)), ABS(CP3:CP5), 0)</f>
        <v>1</v>
      </c>
      <c r="CQ6" s="7">
        <f t="array" ref="CQ6">MATCH(MAX(ABS(CQ3:CQ5)), ABS(CQ3:CQ5), 0)</f>
        <v>1</v>
      </c>
      <c r="CR6" s="7">
        <f t="array" ref="CR6">MATCH(MAX(ABS(CR3:CR5)), ABS(CR3:CR5), 0)</f>
        <v>1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2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3</v>
      </c>
      <c r="DD6" s="7">
        <f t="array" ref="DD6">MATCH(MAX(ABS(DD3:DD5)), ABS(DD3:DD5), 0)</f>
        <v>1</v>
      </c>
      <c r="DE6" s="7">
        <f t="array" ref="DE6">MATCH(MAX(ABS(DE3:DE5)), ABS(DE3:DE5), 0)</f>
        <v>3</v>
      </c>
      <c r="DF6" s="7">
        <f t="array" ref="DF6">MATCH(MAX(ABS(DF3:DF5)), ABS(DF3:DF5), 0)</f>
        <v>2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3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3</v>
      </c>
      <c r="DM6" s="7">
        <f t="array" ref="DM6">MATCH(MAX(ABS(DM3:DM5)), ABS(DM3:DM5), 0)</f>
        <v>1</v>
      </c>
      <c r="DN6" s="7">
        <f t="array" ref="DN6">MATCH(MAX(ABS(DN3:DN5)), ABS(DN3:DN5), 0)</f>
        <v>2</v>
      </c>
      <c r="DO6" s="7">
        <f t="array" ref="DO6">MATCH(MAX(ABS(DO3:DO5)), ABS(DO3:DO5), 0)</f>
        <v>2</v>
      </c>
      <c r="DP6" s="7">
        <f t="array" ref="DP6">MATCH(MAX(ABS(DP3:DP5)), ABS(DP3:DP5), 0)</f>
        <v>2</v>
      </c>
      <c r="DQ6" s="7">
        <f t="array" ref="DQ6">MATCH(MAX(ABS(DQ3:DQ5)), ABS(DQ3:DQ5), 0)</f>
        <v>2</v>
      </c>
      <c r="DR6" s="7">
        <f t="array" ref="DR6">MATCH(MAX(ABS(DR3:DR5)), ABS(DR3:DR5), 0)</f>
        <v>2</v>
      </c>
      <c r="DS6" s="7">
        <f t="array" ref="DS6">MATCH(MAX(ABS(DS3:DS5)), ABS(DS3:DS5), 0)</f>
        <v>2</v>
      </c>
      <c r="DT6" s="7">
        <f t="array" ref="DT6">MATCH(MAX(ABS(DT3:DT5)), ABS(DT3:DT5), 0)</f>
        <v>1</v>
      </c>
      <c r="DU6" s="7">
        <f t="array" ref="DU6">MATCH(MAX(ABS(DU3:DU5)), ABS(DU3:DU5), 0)</f>
        <v>1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2</v>
      </c>
      <c r="EC6" s="7">
        <f t="array" ref="EC6">MATCH(MAX(ABS(EC3:EC5)), ABS(EC3:EC5), 0)</f>
        <v>3</v>
      </c>
      <c r="ED6" s="7">
        <f t="array" ref="ED6">MATCH(MAX(ABS(ED3:ED5)), ABS(ED3:ED5), 0)</f>
        <v>1</v>
      </c>
      <c r="EE6" s="7">
        <f t="array" ref="EE6">MATCH(MAX(ABS(EE3:EE5)), ABS(EE3:EE5), 0)</f>
        <v>2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7" x14ac:dyDescent="0.3">
      <c r="C7" s="7" t="str">
        <f t="shared" ref="C7:BN7" si="0">IF(C6=1,"bm",IF(C6=2,"size",IF(C6=3,"mom")))</f>
        <v>bm</v>
      </c>
      <c r="D7" s="7" t="str">
        <f t="shared" si="0"/>
        <v>size</v>
      </c>
      <c r="E7" s="7" t="str">
        <f t="shared" si="0"/>
        <v>bm</v>
      </c>
      <c r="F7" s="7" t="str">
        <f t="shared" si="0"/>
        <v>bm</v>
      </c>
      <c r="G7" s="7" t="str">
        <f t="shared" si="0"/>
        <v>bm</v>
      </c>
      <c r="H7" s="7" t="str">
        <f t="shared" si="0"/>
        <v>bm</v>
      </c>
      <c r="I7" s="7" t="str">
        <f t="shared" si="0"/>
        <v>bm</v>
      </c>
      <c r="J7" s="7" t="str">
        <f t="shared" si="0"/>
        <v>size</v>
      </c>
      <c r="K7" s="7" t="str">
        <f t="shared" si="0"/>
        <v>bm</v>
      </c>
      <c r="L7" s="7" t="str">
        <f t="shared" si="0"/>
        <v>bm</v>
      </c>
      <c r="M7" s="7" t="str">
        <f t="shared" si="0"/>
        <v>mom</v>
      </c>
      <c r="N7" s="7" t="str">
        <f t="shared" si="0"/>
        <v>bm</v>
      </c>
      <c r="O7" s="7" t="str">
        <f t="shared" si="0"/>
        <v>size</v>
      </c>
      <c r="P7" s="7" t="str">
        <f t="shared" si="0"/>
        <v>mom</v>
      </c>
      <c r="Q7" s="7" t="str">
        <f t="shared" si="0"/>
        <v>bm</v>
      </c>
      <c r="R7" s="7" t="str">
        <f t="shared" si="0"/>
        <v>size</v>
      </c>
      <c r="S7" s="7" t="str">
        <f t="shared" si="0"/>
        <v>size</v>
      </c>
      <c r="T7" s="7" t="str">
        <f t="shared" si="0"/>
        <v>size</v>
      </c>
      <c r="U7" s="7" t="str">
        <f t="shared" si="0"/>
        <v>bm</v>
      </c>
      <c r="V7" s="7" t="str">
        <f t="shared" si="0"/>
        <v>mom</v>
      </c>
      <c r="W7" s="7" t="str">
        <f t="shared" si="0"/>
        <v>mom</v>
      </c>
      <c r="X7" s="7" t="str">
        <f t="shared" si="0"/>
        <v>size</v>
      </c>
      <c r="Y7" s="7" t="str">
        <f t="shared" si="0"/>
        <v>mom</v>
      </c>
      <c r="Z7" s="7" t="str">
        <f t="shared" si="0"/>
        <v>size</v>
      </c>
      <c r="AA7" s="7" t="str">
        <f t="shared" si="0"/>
        <v>size</v>
      </c>
      <c r="AB7" s="7" t="str">
        <f t="shared" si="0"/>
        <v>size</v>
      </c>
      <c r="AC7" s="7" t="str">
        <f t="shared" si="0"/>
        <v>bm</v>
      </c>
      <c r="AD7" s="7" t="str">
        <f t="shared" si="0"/>
        <v>size</v>
      </c>
      <c r="AE7" s="7" t="str">
        <f t="shared" si="0"/>
        <v>size</v>
      </c>
      <c r="AF7" s="7" t="str">
        <f t="shared" si="0"/>
        <v>mom</v>
      </c>
      <c r="AG7" s="7" t="str">
        <f t="shared" si="0"/>
        <v>mom</v>
      </c>
      <c r="AH7" s="7" t="str">
        <f t="shared" si="0"/>
        <v>size</v>
      </c>
      <c r="AI7" s="7" t="str">
        <f t="shared" si="0"/>
        <v>mom</v>
      </c>
      <c r="AJ7" s="7" t="str">
        <f t="shared" si="0"/>
        <v>size</v>
      </c>
      <c r="AK7" s="7" t="str">
        <f t="shared" si="0"/>
        <v>mom</v>
      </c>
      <c r="AL7" s="7" t="str">
        <f t="shared" si="0"/>
        <v>mom</v>
      </c>
      <c r="AM7" s="7" t="str">
        <f t="shared" si="0"/>
        <v>mom</v>
      </c>
      <c r="AN7" s="7" t="str">
        <f t="shared" si="0"/>
        <v>size</v>
      </c>
      <c r="AO7" s="7" t="str">
        <f t="shared" si="0"/>
        <v>bm</v>
      </c>
      <c r="AP7" s="7" t="str">
        <f t="shared" si="0"/>
        <v>bm</v>
      </c>
      <c r="AQ7" s="7" t="str">
        <f t="shared" si="0"/>
        <v>bm</v>
      </c>
      <c r="AR7" s="7" t="str">
        <f t="shared" si="0"/>
        <v>size</v>
      </c>
      <c r="AS7" s="7" t="str">
        <f t="shared" si="0"/>
        <v>mom</v>
      </c>
      <c r="AT7" s="7" t="str">
        <f t="shared" si="0"/>
        <v>bm</v>
      </c>
      <c r="AU7" s="7" t="str">
        <f t="shared" si="0"/>
        <v>bm</v>
      </c>
      <c r="AV7" s="7" t="str">
        <f t="shared" si="0"/>
        <v>bm</v>
      </c>
      <c r="AW7" s="7" t="str">
        <f t="shared" si="0"/>
        <v>bm</v>
      </c>
      <c r="AX7" s="7" t="str">
        <f t="shared" si="0"/>
        <v>mom</v>
      </c>
      <c r="AY7" s="7" t="str">
        <f t="shared" si="0"/>
        <v>mom</v>
      </c>
      <c r="AZ7" s="7" t="str">
        <f t="shared" si="0"/>
        <v>bm</v>
      </c>
      <c r="BA7" s="7" t="str">
        <f t="shared" si="0"/>
        <v>bm</v>
      </c>
      <c r="BB7" s="7" t="str">
        <f t="shared" si="0"/>
        <v>size</v>
      </c>
      <c r="BC7" s="7" t="str">
        <f t="shared" si="0"/>
        <v>mom</v>
      </c>
      <c r="BD7" s="7" t="str">
        <f t="shared" si="0"/>
        <v>bm</v>
      </c>
      <c r="BE7" s="7" t="str">
        <f t="shared" si="0"/>
        <v>size</v>
      </c>
      <c r="BF7" s="7" t="str">
        <f t="shared" si="0"/>
        <v>size</v>
      </c>
      <c r="BG7" s="7" t="str">
        <f t="shared" si="0"/>
        <v>size</v>
      </c>
      <c r="BH7" s="7" t="str">
        <f t="shared" si="0"/>
        <v>size</v>
      </c>
      <c r="BI7" s="7" t="str">
        <f t="shared" si="0"/>
        <v>bm</v>
      </c>
      <c r="BJ7" s="7" t="str">
        <f t="shared" si="0"/>
        <v>bm</v>
      </c>
      <c r="BK7" s="7" t="str">
        <f t="shared" si="0"/>
        <v>size</v>
      </c>
      <c r="BL7" s="7" t="str">
        <f t="shared" si="0"/>
        <v>size</v>
      </c>
      <c r="BM7" s="7" t="str">
        <f t="shared" si="0"/>
        <v>size</v>
      </c>
      <c r="BN7" s="7" t="str">
        <f t="shared" si="0"/>
        <v>size</v>
      </c>
      <c r="BO7" s="7" t="str">
        <f t="shared" ref="BO7:DZ7" si="1">IF(BO6=1,"bm",IF(BO6=2,"size",IF(BO6=3,"mom")))</f>
        <v>size</v>
      </c>
      <c r="BP7" s="7" t="str">
        <f t="shared" si="1"/>
        <v>bm</v>
      </c>
      <c r="BQ7" s="7" t="str">
        <f t="shared" si="1"/>
        <v>bm</v>
      </c>
      <c r="BR7" s="7" t="str">
        <f t="shared" si="1"/>
        <v>mom</v>
      </c>
      <c r="BS7" s="7" t="str">
        <f t="shared" si="1"/>
        <v>bm</v>
      </c>
      <c r="BT7" s="7" t="str">
        <f t="shared" si="1"/>
        <v>size</v>
      </c>
      <c r="BU7" s="7" t="str">
        <f t="shared" si="1"/>
        <v>bm</v>
      </c>
      <c r="BV7" s="7" t="str">
        <f t="shared" si="1"/>
        <v>bm</v>
      </c>
      <c r="BW7" s="7" t="str">
        <f t="shared" si="1"/>
        <v>bm</v>
      </c>
      <c r="BX7" s="7" t="str">
        <f t="shared" si="1"/>
        <v>bm</v>
      </c>
      <c r="BY7" s="7" t="str">
        <f t="shared" si="1"/>
        <v>size</v>
      </c>
      <c r="BZ7" s="7" t="str">
        <f t="shared" si="1"/>
        <v>bm</v>
      </c>
      <c r="CA7" s="7" t="str">
        <f t="shared" si="1"/>
        <v>size</v>
      </c>
      <c r="CB7" s="7" t="str">
        <f t="shared" si="1"/>
        <v>size</v>
      </c>
      <c r="CC7" s="7" t="str">
        <f t="shared" si="1"/>
        <v>size</v>
      </c>
      <c r="CD7" s="7" t="str">
        <f t="shared" si="1"/>
        <v>size</v>
      </c>
      <c r="CE7" s="7" t="str">
        <f t="shared" si="1"/>
        <v>size</v>
      </c>
      <c r="CF7" s="7" t="str">
        <f t="shared" si="1"/>
        <v>mom</v>
      </c>
      <c r="CG7" s="7" t="str">
        <f t="shared" si="1"/>
        <v>size</v>
      </c>
      <c r="CH7" s="7" t="str">
        <f t="shared" si="1"/>
        <v>bm</v>
      </c>
      <c r="CI7" s="7" t="str">
        <f t="shared" si="1"/>
        <v>size</v>
      </c>
      <c r="CJ7" s="7" t="str">
        <f t="shared" si="1"/>
        <v>bm</v>
      </c>
      <c r="CK7" s="7" t="str">
        <f t="shared" si="1"/>
        <v>bm</v>
      </c>
      <c r="CL7" s="7" t="str">
        <f t="shared" si="1"/>
        <v>bm</v>
      </c>
      <c r="CM7" s="7" t="str">
        <f t="shared" si="1"/>
        <v>mom</v>
      </c>
      <c r="CN7" s="7" t="str">
        <f t="shared" si="1"/>
        <v>mom</v>
      </c>
      <c r="CO7" s="7" t="str">
        <f t="shared" si="1"/>
        <v>mom</v>
      </c>
      <c r="CP7" s="7" t="str">
        <f t="shared" si="1"/>
        <v>bm</v>
      </c>
      <c r="CQ7" s="7" t="str">
        <f t="shared" si="1"/>
        <v>bm</v>
      </c>
      <c r="CR7" s="7" t="str">
        <f t="shared" si="1"/>
        <v>bm</v>
      </c>
      <c r="CS7" s="7" t="str">
        <f t="shared" si="1"/>
        <v>size</v>
      </c>
      <c r="CT7" s="7" t="str">
        <f t="shared" si="1"/>
        <v>bm</v>
      </c>
      <c r="CU7" s="7" t="str">
        <f t="shared" si="1"/>
        <v>bm</v>
      </c>
      <c r="CV7" s="7" t="str">
        <f t="shared" si="1"/>
        <v>bm</v>
      </c>
      <c r="CW7" s="7" t="str">
        <f t="shared" si="1"/>
        <v>bm</v>
      </c>
      <c r="CX7" s="7" t="str">
        <f t="shared" si="1"/>
        <v>size</v>
      </c>
      <c r="CY7" s="7" t="str">
        <f t="shared" si="1"/>
        <v>bm</v>
      </c>
      <c r="CZ7" s="7" t="str">
        <f t="shared" si="1"/>
        <v>bm</v>
      </c>
      <c r="DA7" s="7" t="str">
        <f t="shared" si="1"/>
        <v>bm</v>
      </c>
      <c r="DB7" s="7" t="str">
        <f t="shared" si="1"/>
        <v>bm</v>
      </c>
      <c r="DC7" s="7" t="str">
        <f t="shared" si="1"/>
        <v>mom</v>
      </c>
      <c r="DD7" s="7" t="str">
        <f t="shared" si="1"/>
        <v>bm</v>
      </c>
      <c r="DE7" s="7" t="str">
        <f t="shared" si="1"/>
        <v>mom</v>
      </c>
      <c r="DF7" s="7" t="str">
        <f t="shared" si="1"/>
        <v>size</v>
      </c>
      <c r="DG7" s="7" t="str">
        <f t="shared" si="1"/>
        <v>bm</v>
      </c>
      <c r="DH7" s="7" t="str">
        <f t="shared" si="1"/>
        <v>bm</v>
      </c>
      <c r="DI7" s="7" t="str">
        <f t="shared" si="1"/>
        <v>mom</v>
      </c>
      <c r="DJ7" s="7" t="str">
        <f t="shared" si="1"/>
        <v>size</v>
      </c>
      <c r="DK7" s="7" t="str">
        <f t="shared" si="1"/>
        <v>bm</v>
      </c>
      <c r="DL7" s="7" t="str">
        <f t="shared" si="1"/>
        <v>mom</v>
      </c>
      <c r="DM7" s="7" t="str">
        <f t="shared" si="1"/>
        <v>bm</v>
      </c>
      <c r="DN7" s="7" t="str">
        <f t="shared" si="1"/>
        <v>size</v>
      </c>
      <c r="DO7" s="7" t="str">
        <f t="shared" si="1"/>
        <v>size</v>
      </c>
      <c r="DP7" s="7" t="str">
        <f t="shared" si="1"/>
        <v>size</v>
      </c>
      <c r="DQ7" s="7" t="str">
        <f t="shared" si="1"/>
        <v>size</v>
      </c>
      <c r="DR7" s="7" t="str">
        <f t="shared" si="1"/>
        <v>size</v>
      </c>
      <c r="DS7" s="7" t="str">
        <f t="shared" si="1"/>
        <v>size</v>
      </c>
      <c r="DT7" s="7" t="str">
        <f t="shared" si="1"/>
        <v>bm</v>
      </c>
      <c r="DU7" s="7" t="str">
        <f t="shared" si="1"/>
        <v>bm</v>
      </c>
      <c r="DV7" s="7" t="str">
        <f t="shared" si="1"/>
        <v>bm</v>
      </c>
      <c r="DW7" s="7" t="str">
        <f t="shared" si="1"/>
        <v>bm</v>
      </c>
      <c r="DX7" s="7" t="str">
        <f t="shared" si="1"/>
        <v>mom</v>
      </c>
      <c r="DY7" s="7" t="str">
        <f t="shared" si="1"/>
        <v>mom</v>
      </c>
      <c r="DZ7" s="7" t="str">
        <f t="shared" si="1"/>
        <v>mom</v>
      </c>
      <c r="EA7" s="7" t="str">
        <f t="shared" ref="EA7:EG7" si="2">IF(EA6=1,"bm",IF(EA6=2,"size",IF(EA6=3,"mom")))</f>
        <v>size</v>
      </c>
      <c r="EB7" s="7" t="str">
        <f t="shared" si="2"/>
        <v>size</v>
      </c>
      <c r="EC7" s="7" t="str">
        <f t="shared" si="2"/>
        <v>mom</v>
      </c>
      <c r="ED7" s="7" t="str">
        <f t="shared" si="2"/>
        <v>bm</v>
      </c>
      <c r="EE7" s="7" t="str">
        <f t="shared" si="2"/>
        <v>size</v>
      </c>
      <c r="EF7" s="7" t="str">
        <f t="shared" si="2"/>
        <v>bm</v>
      </c>
      <c r="EG7" s="1" t="str">
        <f t="shared" si="2"/>
        <v>bm</v>
      </c>
    </row>
    <row r="8" spans="1:137" x14ac:dyDescent="0.3">
      <c r="C8" s="7">
        <f t="shared" ref="C8:BN8" si="3">IF(C6=1,C3,IF(C6=2,C4,IF(C6=3,C5)))</f>
        <v>4.0547288954257972E-2</v>
      </c>
      <c r="D8" s="7">
        <f t="shared" si="3"/>
        <v>-4.8252779990434647E-2</v>
      </c>
      <c r="E8" s="7">
        <f t="shared" si="3"/>
        <v>-5.1652342081069953E-2</v>
      </c>
      <c r="F8" s="7">
        <f t="shared" si="3"/>
        <v>-5.4286114871501923E-2</v>
      </c>
      <c r="G8" s="7">
        <f t="shared" si="3"/>
        <v>-5.7552006095647812E-2</v>
      </c>
      <c r="H8" s="7">
        <f t="shared" si="3"/>
        <v>-7.6259449124336243E-2</v>
      </c>
      <c r="I8" s="7">
        <f t="shared" si="3"/>
        <v>-0.107886478304863</v>
      </c>
      <c r="J8" s="7">
        <f t="shared" si="3"/>
        <v>-3.2917611300945282E-2</v>
      </c>
      <c r="K8" s="7">
        <f t="shared" si="3"/>
        <v>-5.9229228645563133E-2</v>
      </c>
      <c r="L8" s="7">
        <f t="shared" si="3"/>
        <v>-0.1078036949038506</v>
      </c>
      <c r="M8" s="7">
        <f t="shared" si="3"/>
        <v>3.4981705248355872E-2</v>
      </c>
      <c r="N8" s="7">
        <f t="shared" si="3"/>
        <v>-0.1346741318702698</v>
      </c>
      <c r="O8" s="7">
        <f t="shared" si="3"/>
        <v>-6.7216232419013977E-2</v>
      </c>
      <c r="P8" s="7">
        <f t="shared" si="3"/>
        <v>9.211605042219162E-2</v>
      </c>
      <c r="Q8" s="7">
        <f t="shared" si="3"/>
        <v>-8.6447760462760925E-2</v>
      </c>
      <c r="R8" s="7">
        <f t="shared" si="3"/>
        <v>-7.7407129108905792E-2</v>
      </c>
      <c r="S8" s="7">
        <f t="shared" si="3"/>
        <v>-8.372652530670166E-2</v>
      </c>
      <c r="T8" s="7">
        <f t="shared" si="3"/>
        <v>-5.9324655681848533E-2</v>
      </c>
      <c r="U8" s="7">
        <f t="shared" si="3"/>
        <v>-0.10543976724147799</v>
      </c>
      <c r="V8" s="7">
        <f t="shared" si="3"/>
        <v>6.5072879195213318E-2</v>
      </c>
      <c r="W8" s="7">
        <f t="shared" si="3"/>
        <v>8.2305394113063812E-2</v>
      </c>
      <c r="X8" s="7">
        <f t="shared" si="3"/>
        <v>-9.8803862929344177E-2</v>
      </c>
      <c r="Y8" s="7">
        <f t="shared" si="3"/>
        <v>0.16213490068912509</v>
      </c>
      <c r="Z8" s="7">
        <f t="shared" si="3"/>
        <v>-6.800408661365509E-2</v>
      </c>
      <c r="AA8" s="7">
        <f t="shared" si="3"/>
        <v>-8.6181230843067169E-2</v>
      </c>
      <c r="AB8" s="7">
        <f t="shared" si="3"/>
        <v>-8.889392763376236E-2</v>
      </c>
      <c r="AC8" s="7">
        <f t="shared" si="3"/>
        <v>2.934014052152634E-2</v>
      </c>
      <c r="AD8" s="7">
        <f t="shared" si="3"/>
        <v>6.3448823988437653E-2</v>
      </c>
      <c r="AE8" s="7">
        <f t="shared" si="3"/>
        <v>-5.9580553323030472E-2</v>
      </c>
      <c r="AF8" s="7">
        <f t="shared" si="3"/>
        <v>6.4355872571468353E-2</v>
      </c>
      <c r="AG8" s="7">
        <f t="shared" si="3"/>
        <v>6.0781430453062057E-2</v>
      </c>
      <c r="AH8" s="7">
        <f t="shared" si="3"/>
        <v>2.907080203294754E-2</v>
      </c>
      <c r="AI8" s="7">
        <f t="shared" si="3"/>
        <v>4.2393732815980911E-2</v>
      </c>
      <c r="AJ8" s="7">
        <f t="shared" si="3"/>
        <v>4.4545106589794159E-2</v>
      </c>
      <c r="AK8" s="7">
        <f t="shared" si="3"/>
        <v>0.104340173304081</v>
      </c>
      <c r="AL8" s="7">
        <f t="shared" si="3"/>
        <v>2.3477694019675251E-2</v>
      </c>
      <c r="AM8" s="7">
        <f t="shared" si="3"/>
        <v>4.9679871648550027E-2</v>
      </c>
      <c r="AN8" s="7">
        <f t="shared" si="3"/>
        <v>4.7137059271335602E-2</v>
      </c>
      <c r="AO8" s="7">
        <f t="shared" si="3"/>
        <v>-2.9745671898126599E-2</v>
      </c>
      <c r="AP8" s="7">
        <f t="shared" si="3"/>
        <v>-2.683783695101738E-2</v>
      </c>
      <c r="AQ8" s="7">
        <f t="shared" si="3"/>
        <v>-2.169711887836456E-2</v>
      </c>
      <c r="AR8" s="7">
        <f t="shared" si="3"/>
        <v>5.4104723036289222E-2</v>
      </c>
      <c r="AS8" s="7">
        <f t="shared" si="3"/>
        <v>-2.6926254853606221E-2</v>
      </c>
      <c r="AT8" s="7">
        <f t="shared" si="3"/>
        <v>6.6039755940437317E-2</v>
      </c>
      <c r="AU8" s="7">
        <f t="shared" si="3"/>
        <v>6.2266789376735687E-2</v>
      </c>
      <c r="AV8" s="7">
        <f t="shared" si="3"/>
        <v>5.7940512895584113E-2</v>
      </c>
      <c r="AW8" s="7">
        <f t="shared" si="3"/>
        <v>0.1063941121101379</v>
      </c>
      <c r="AX8" s="7">
        <f t="shared" si="3"/>
        <v>2.7402361854910851E-2</v>
      </c>
      <c r="AY8" s="7">
        <f t="shared" si="3"/>
        <v>3.636043518781662E-2</v>
      </c>
      <c r="AZ8" s="7">
        <f t="shared" si="3"/>
        <v>8.6036309599876404E-2</v>
      </c>
      <c r="BA8" s="7">
        <f t="shared" si="3"/>
        <v>0.10234846919775011</v>
      </c>
      <c r="BB8" s="7">
        <f t="shared" si="3"/>
        <v>-7.6676465570926666E-2</v>
      </c>
      <c r="BC8" s="7">
        <f t="shared" si="3"/>
        <v>5.3017329424619668E-2</v>
      </c>
      <c r="BD8" s="7">
        <f t="shared" si="3"/>
        <v>7.7497914433479309E-2</v>
      </c>
      <c r="BE8" s="7">
        <f t="shared" si="3"/>
        <v>-6.8554230034351349E-2</v>
      </c>
      <c r="BF8" s="7">
        <f t="shared" si="3"/>
        <v>-8.2745306193828583E-2</v>
      </c>
      <c r="BG8" s="7">
        <f t="shared" si="3"/>
        <v>-0.1204242408275604</v>
      </c>
      <c r="BH8" s="7">
        <f t="shared" si="3"/>
        <v>-0.10103762894868849</v>
      </c>
      <c r="BI8" s="7">
        <f t="shared" si="3"/>
        <v>5.5158428847789757E-2</v>
      </c>
      <c r="BJ8" s="7">
        <f t="shared" si="3"/>
        <v>8.664897084236145E-2</v>
      </c>
      <c r="BK8" s="7">
        <f t="shared" si="3"/>
        <v>-0.14447127282619479</v>
      </c>
      <c r="BL8" s="7">
        <f t="shared" si="3"/>
        <v>-0.1120113208889961</v>
      </c>
      <c r="BM8" s="7">
        <f t="shared" si="3"/>
        <v>-3.4826010465621948E-2</v>
      </c>
      <c r="BN8" s="7">
        <f t="shared" si="3"/>
        <v>-8.5986465215682983E-2</v>
      </c>
      <c r="BO8" s="7">
        <f t="shared" ref="BO8:DZ8" si="4">IF(BO6=1,BO3,IF(BO6=2,BO4,IF(BO6=3,BO5)))</f>
        <v>-7.0973977446556091E-2</v>
      </c>
      <c r="BP8" s="7">
        <f t="shared" si="4"/>
        <v>8.6037963628768921E-2</v>
      </c>
      <c r="BQ8" s="7">
        <f t="shared" si="4"/>
        <v>0.144142210483551</v>
      </c>
      <c r="BR8" s="7">
        <f t="shared" si="4"/>
        <v>3.9869185537099838E-2</v>
      </c>
      <c r="BS8" s="7">
        <f t="shared" si="4"/>
        <v>8.1880234181880951E-2</v>
      </c>
      <c r="BT8" s="7">
        <f t="shared" si="4"/>
        <v>-6.8826571106910706E-2</v>
      </c>
      <c r="BU8" s="7">
        <f t="shared" si="4"/>
        <v>0.10545723885297779</v>
      </c>
      <c r="BV8" s="7">
        <f t="shared" si="4"/>
        <v>0.1175376549363136</v>
      </c>
      <c r="BW8" s="7">
        <f t="shared" si="4"/>
        <v>9.2942401766777039E-2</v>
      </c>
      <c r="BX8" s="7">
        <f t="shared" si="4"/>
        <v>3.5637497901916497E-2</v>
      </c>
      <c r="BY8" s="7">
        <f t="shared" si="4"/>
        <v>-6.1186797916889191E-2</v>
      </c>
      <c r="BZ8" s="7">
        <f t="shared" si="4"/>
        <v>9.8455093801021576E-2</v>
      </c>
      <c r="CA8" s="7">
        <f t="shared" si="4"/>
        <v>-7.2609454393386841E-2</v>
      </c>
      <c r="CB8" s="7">
        <f t="shared" si="4"/>
        <v>-8.8862821459770203E-2</v>
      </c>
      <c r="CC8" s="7">
        <f t="shared" si="4"/>
        <v>-6.5672166645526886E-2</v>
      </c>
      <c r="CD8" s="7">
        <f t="shared" si="4"/>
        <v>-7.0492014288902283E-2</v>
      </c>
      <c r="CE8" s="7">
        <f t="shared" si="4"/>
        <v>-8.9266888797283173E-2</v>
      </c>
      <c r="CF8" s="7">
        <f t="shared" si="4"/>
        <v>2.643934823572636E-2</v>
      </c>
      <c r="CG8" s="7">
        <f t="shared" si="4"/>
        <v>-3.8807325065135963E-2</v>
      </c>
      <c r="CH8" s="7">
        <f t="shared" si="4"/>
        <v>5.8184977620840073E-2</v>
      </c>
      <c r="CI8" s="7">
        <f t="shared" si="4"/>
        <v>-2.3996761068701741E-2</v>
      </c>
      <c r="CJ8" s="7">
        <f t="shared" si="4"/>
        <v>-8.0891326069831848E-2</v>
      </c>
      <c r="CK8" s="7">
        <f t="shared" si="4"/>
        <v>7.3738843202590942E-2</v>
      </c>
      <c r="CL8" s="7">
        <f t="shared" si="4"/>
        <v>6.7692369222640991E-2</v>
      </c>
      <c r="CM8" s="7">
        <f t="shared" si="4"/>
        <v>-4.3408293277025223E-2</v>
      </c>
      <c r="CN8" s="7">
        <f t="shared" si="4"/>
        <v>-4.8494711518287659E-2</v>
      </c>
      <c r="CO8" s="7">
        <f t="shared" si="4"/>
        <v>-3.4412361681461327E-2</v>
      </c>
      <c r="CP8" s="7">
        <f t="shared" si="4"/>
        <v>-5.2108332514762878E-2</v>
      </c>
      <c r="CQ8" s="7">
        <f t="shared" si="4"/>
        <v>-7.2693914175033569E-2</v>
      </c>
      <c r="CR8" s="7">
        <f t="shared" si="4"/>
        <v>-6.0804408043622971E-2</v>
      </c>
      <c r="CS8" s="7">
        <f t="shared" si="4"/>
        <v>-3.7506073713302612E-2</v>
      </c>
      <c r="CT8" s="7">
        <f t="shared" si="4"/>
        <v>-6.339031457901001E-2</v>
      </c>
      <c r="CU8" s="7">
        <f t="shared" si="4"/>
        <v>-6.1079829931259162E-2</v>
      </c>
      <c r="CV8" s="7">
        <f t="shared" si="4"/>
        <v>-2.170033194124699E-2</v>
      </c>
      <c r="CW8" s="7">
        <f t="shared" si="4"/>
        <v>-6.0720678418874741E-2</v>
      </c>
      <c r="CX8" s="7">
        <f t="shared" si="4"/>
        <v>-7.7818602323532104E-2</v>
      </c>
      <c r="CY8" s="7">
        <f t="shared" si="4"/>
        <v>-4.5480586588382721E-2</v>
      </c>
      <c r="CZ8" s="7">
        <f t="shared" si="4"/>
        <v>-6.9138072431087494E-2</v>
      </c>
      <c r="DA8" s="7">
        <f t="shared" si="4"/>
        <v>-8.9778468012809753E-2</v>
      </c>
      <c r="DB8" s="7">
        <f t="shared" si="4"/>
        <v>-6.527487188577652E-2</v>
      </c>
      <c r="DC8" s="7">
        <f t="shared" si="4"/>
        <v>4.6531397849321372E-2</v>
      </c>
      <c r="DD8" s="7">
        <f t="shared" si="4"/>
        <v>-5.9340178966522217E-2</v>
      </c>
      <c r="DE8" s="7">
        <f t="shared" si="4"/>
        <v>6.0277972370386117E-2</v>
      </c>
      <c r="DF8" s="7">
        <f t="shared" si="4"/>
        <v>3.3347133547067642E-2</v>
      </c>
      <c r="DG8" s="7">
        <f t="shared" si="4"/>
        <v>-2.4713881313800808E-2</v>
      </c>
      <c r="DH8" s="7">
        <f t="shared" si="4"/>
        <v>-3.5376153886318207E-2</v>
      </c>
      <c r="DI8" s="7">
        <f t="shared" si="4"/>
        <v>-4.1918892413377762E-2</v>
      </c>
      <c r="DJ8" s="7">
        <f t="shared" si="4"/>
        <v>1.416372787207365E-2</v>
      </c>
      <c r="DK8" s="7">
        <f t="shared" si="4"/>
        <v>-4.8771854490041733E-2</v>
      </c>
      <c r="DL8" s="7">
        <f t="shared" si="4"/>
        <v>2.8391024097800251E-2</v>
      </c>
      <c r="DM8" s="7">
        <f t="shared" si="4"/>
        <v>-4.967803880572319E-2</v>
      </c>
      <c r="DN8" s="7">
        <f t="shared" si="4"/>
        <v>-1.9859654828906059E-2</v>
      </c>
      <c r="DO8" s="7">
        <f t="shared" si="4"/>
        <v>-3.856055811047554E-2</v>
      </c>
      <c r="DP8" s="7">
        <f t="shared" si="4"/>
        <v>5.259593203663826E-2</v>
      </c>
      <c r="DQ8" s="7">
        <f t="shared" si="4"/>
        <v>5.0834372639656067E-2</v>
      </c>
      <c r="DR8" s="7">
        <f t="shared" si="4"/>
        <v>3.4424390643835068E-2</v>
      </c>
      <c r="DS8" s="7">
        <f t="shared" si="4"/>
        <v>2.6739172637462619E-2</v>
      </c>
      <c r="DT8" s="7">
        <f t="shared" si="4"/>
        <v>-5.3663063794374473E-2</v>
      </c>
      <c r="DU8" s="7">
        <f t="shared" si="4"/>
        <v>-4.4161681085824973E-2</v>
      </c>
      <c r="DV8" s="7">
        <f t="shared" si="4"/>
        <v>-2.3813089355826381E-2</v>
      </c>
      <c r="DW8" s="7">
        <f t="shared" si="4"/>
        <v>2.5176366791129109E-2</v>
      </c>
      <c r="DX8" s="7">
        <f t="shared" si="4"/>
        <v>-4.4376425445079803E-2</v>
      </c>
      <c r="DY8" s="7">
        <f t="shared" si="4"/>
        <v>-3.3609867095947273E-2</v>
      </c>
      <c r="DZ8" s="7">
        <f t="shared" si="4"/>
        <v>-4.8759568482637412E-2</v>
      </c>
      <c r="EA8" s="7">
        <f t="shared" ref="EA8:EG8" si="5">IF(EA6=1,EA3,IF(EA6=2,EA4,IF(EA6=3,EA5)))</f>
        <v>2.0058911293745041E-2</v>
      </c>
      <c r="EB8" s="7">
        <f t="shared" si="5"/>
        <v>5.2505847066640847E-2</v>
      </c>
      <c r="EC8" s="7">
        <f t="shared" si="5"/>
        <v>4.229099303483963E-2</v>
      </c>
      <c r="ED8" s="7">
        <f t="shared" si="5"/>
        <v>-5.2812475711107247E-2</v>
      </c>
      <c r="EE8" s="7">
        <f t="shared" si="5"/>
        <v>1.6591379418969151E-2</v>
      </c>
      <c r="EF8" s="7">
        <f t="shared" si="5"/>
        <v>-6.9071874022483826E-2</v>
      </c>
      <c r="EG8" s="1">
        <f t="shared" si="5"/>
        <v>0</v>
      </c>
    </row>
    <row r="10" spans="1:137" x14ac:dyDescent="0.3">
      <c r="A10" s="10" t="s">
        <v>139</v>
      </c>
      <c r="B10" s="11"/>
      <c r="C10" s="1" t="s">
        <v>140</v>
      </c>
      <c r="D10" s="2">
        <v>964</v>
      </c>
    </row>
    <row r="11" spans="1:137" x14ac:dyDescent="0.3">
      <c r="A11" s="1" t="s">
        <v>149</v>
      </c>
      <c r="B11" s="1" t="s">
        <v>141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  <c r="P11" s="1" t="s">
        <v>15</v>
      </c>
      <c r="Q11" s="1" t="s">
        <v>16</v>
      </c>
      <c r="R11" s="1" t="s">
        <v>17</v>
      </c>
      <c r="S11" s="1" t="s">
        <v>18</v>
      </c>
      <c r="T11" s="1" t="s">
        <v>19</v>
      </c>
      <c r="U11" s="1" t="s">
        <v>20</v>
      </c>
      <c r="V11" s="1" t="s">
        <v>21</v>
      </c>
      <c r="W11" s="1" t="s">
        <v>22</v>
      </c>
      <c r="X11" s="1" t="s">
        <v>23</v>
      </c>
      <c r="Y11" s="1" t="s">
        <v>24</v>
      </c>
      <c r="Z11" s="1" t="s">
        <v>25</v>
      </c>
      <c r="AA11" s="1" t="s">
        <v>26</v>
      </c>
      <c r="AB11" s="1" t="s">
        <v>27</v>
      </c>
      <c r="AC11" s="1" t="s">
        <v>28</v>
      </c>
      <c r="AD11" s="1" t="s">
        <v>29</v>
      </c>
      <c r="AE11" s="1" t="s">
        <v>30</v>
      </c>
      <c r="AF11" s="1" t="s">
        <v>31</v>
      </c>
      <c r="AG11" s="1" t="s">
        <v>32</v>
      </c>
      <c r="AH11" s="1" t="s">
        <v>33</v>
      </c>
      <c r="AI11" s="1" t="s">
        <v>34</v>
      </c>
      <c r="AJ11" s="1" t="s">
        <v>35</v>
      </c>
      <c r="AK11" s="1" t="s">
        <v>36</v>
      </c>
      <c r="AL11" s="1" t="s">
        <v>37</v>
      </c>
      <c r="AM11" s="1" t="s">
        <v>38</v>
      </c>
      <c r="AN11" s="1" t="s">
        <v>39</v>
      </c>
      <c r="AO11" s="1" t="s">
        <v>40</v>
      </c>
      <c r="AP11" s="1" t="s">
        <v>41</v>
      </c>
      <c r="AQ11" s="1" t="s">
        <v>42</v>
      </c>
      <c r="AR11" s="1" t="s">
        <v>43</v>
      </c>
      <c r="AS11" s="1" t="s">
        <v>44</v>
      </c>
      <c r="AT11" s="1" t="s">
        <v>45</v>
      </c>
      <c r="AU11" s="1" t="s">
        <v>46</v>
      </c>
      <c r="AV11" s="1" t="s">
        <v>47</v>
      </c>
      <c r="AW11" s="1" t="s">
        <v>48</v>
      </c>
      <c r="AX11" s="1" t="s">
        <v>49</v>
      </c>
      <c r="AY11" s="1" t="s">
        <v>50</v>
      </c>
      <c r="AZ11" s="1" t="s">
        <v>51</v>
      </c>
      <c r="BA11" s="1" t="s">
        <v>52</v>
      </c>
      <c r="BB11" s="1" t="s">
        <v>53</v>
      </c>
      <c r="BC11" s="1" t="s">
        <v>54</v>
      </c>
      <c r="BD11" s="1" t="s">
        <v>55</v>
      </c>
      <c r="BE11" s="1" t="s">
        <v>56</v>
      </c>
      <c r="BF11" s="1" t="s">
        <v>57</v>
      </c>
      <c r="BG11" s="1" t="s">
        <v>58</v>
      </c>
      <c r="BH11" s="1" t="s">
        <v>59</v>
      </c>
      <c r="BI11" s="1" t="s">
        <v>60</v>
      </c>
      <c r="BJ11" s="1" t="s">
        <v>61</v>
      </c>
      <c r="BK11" s="1" t="s">
        <v>62</v>
      </c>
      <c r="BL11" s="1" t="s">
        <v>63</v>
      </c>
      <c r="BM11" s="1" t="s">
        <v>64</v>
      </c>
      <c r="BN11" s="1" t="s">
        <v>65</v>
      </c>
      <c r="BO11" s="1" t="s">
        <v>66</v>
      </c>
      <c r="BP11" s="1" t="s">
        <v>67</v>
      </c>
      <c r="BQ11" s="1" t="s">
        <v>68</v>
      </c>
      <c r="BR11" s="1" t="s">
        <v>69</v>
      </c>
      <c r="BS11" s="1" t="s">
        <v>70</v>
      </c>
      <c r="BT11" s="1" t="s">
        <v>71</v>
      </c>
      <c r="BU11" s="1" t="s">
        <v>72</v>
      </c>
      <c r="BV11" s="1" t="s">
        <v>73</v>
      </c>
      <c r="BW11" s="1" t="s">
        <v>74</v>
      </c>
      <c r="BX11" s="1" t="s">
        <v>75</v>
      </c>
      <c r="BY11" s="1" t="s">
        <v>76</v>
      </c>
      <c r="BZ11" s="1" t="s">
        <v>77</v>
      </c>
      <c r="CA11" s="1" t="s">
        <v>78</v>
      </c>
      <c r="CB11" s="1" t="s">
        <v>79</v>
      </c>
      <c r="CC11" s="1" t="s">
        <v>80</v>
      </c>
      <c r="CD11" s="1" t="s">
        <v>81</v>
      </c>
      <c r="CE11" s="1" t="s">
        <v>82</v>
      </c>
      <c r="CF11" s="1" t="s">
        <v>83</v>
      </c>
      <c r="CG11" s="1" t="s">
        <v>84</v>
      </c>
      <c r="CH11" s="1" t="s">
        <v>85</v>
      </c>
      <c r="CI11" s="1" t="s">
        <v>86</v>
      </c>
      <c r="CJ11" s="1" t="s">
        <v>87</v>
      </c>
      <c r="CK11" s="1" t="s">
        <v>88</v>
      </c>
      <c r="CL11" s="1" t="s">
        <v>89</v>
      </c>
      <c r="CM11" s="1" t="s">
        <v>90</v>
      </c>
      <c r="CN11" s="1" t="s">
        <v>91</v>
      </c>
      <c r="CO11" s="1" t="s">
        <v>92</v>
      </c>
      <c r="CP11" s="1" t="s">
        <v>93</v>
      </c>
      <c r="CQ11" s="1" t="s">
        <v>94</v>
      </c>
      <c r="CR11" s="1" t="s">
        <v>95</v>
      </c>
      <c r="CS11" s="1" t="s">
        <v>96</v>
      </c>
      <c r="CT11" s="1" t="s">
        <v>97</v>
      </c>
      <c r="CU11" s="1" t="s">
        <v>98</v>
      </c>
      <c r="CV11" s="1" t="s">
        <v>99</v>
      </c>
      <c r="CW11" s="1" t="s">
        <v>100</v>
      </c>
      <c r="CX11" s="1" t="s">
        <v>101</v>
      </c>
      <c r="CY11" s="1" t="s">
        <v>102</v>
      </c>
      <c r="CZ11" s="1" t="s">
        <v>103</v>
      </c>
      <c r="DA11" s="1" t="s">
        <v>104</v>
      </c>
      <c r="DB11" s="1" t="s">
        <v>105</v>
      </c>
      <c r="DC11" s="1" t="s">
        <v>106</v>
      </c>
      <c r="DD11" s="1" t="s">
        <v>107</v>
      </c>
      <c r="DE11" s="1" t="s">
        <v>108</v>
      </c>
      <c r="DF11" s="1" t="s">
        <v>109</v>
      </c>
      <c r="DG11" s="1" t="s">
        <v>110</v>
      </c>
      <c r="DH11" s="1" t="s">
        <v>111</v>
      </c>
      <c r="DI11" s="1" t="s">
        <v>112</v>
      </c>
      <c r="DJ11" s="1" t="s">
        <v>113</v>
      </c>
      <c r="DK11" s="1" t="s">
        <v>114</v>
      </c>
      <c r="DL11" s="1" t="s">
        <v>115</v>
      </c>
      <c r="DM11" s="1" t="s">
        <v>116</v>
      </c>
      <c r="DN11" s="1" t="s">
        <v>117</v>
      </c>
      <c r="DO11" s="1" t="s">
        <v>118</v>
      </c>
      <c r="DP11" s="1" t="s">
        <v>119</v>
      </c>
      <c r="DQ11" s="1" t="s">
        <v>120</v>
      </c>
      <c r="DR11" s="1" t="s">
        <v>121</v>
      </c>
      <c r="DS11" s="1" t="s">
        <v>122</v>
      </c>
      <c r="DT11" s="1" t="s">
        <v>123</v>
      </c>
      <c r="DU11" s="1" t="s">
        <v>124</v>
      </c>
      <c r="DV11" s="1" t="s">
        <v>125</v>
      </c>
      <c r="DW11" s="1" t="s">
        <v>126</v>
      </c>
      <c r="DX11" s="1" t="s">
        <v>127</v>
      </c>
      <c r="DY11" s="1" t="s">
        <v>128</v>
      </c>
      <c r="DZ11" s="1" t="s">
        <v>129</v>
      </c>
      <c r="EA11" s="1" t="s">
        <v>130</v>
      </c>
      <c r="EB11" s="1" t="s">
        <v>131</v>
      </c>
      <c r="EC11" s="1" t="s">
        <v>132</v>
      </c>
      <c r="ED11" s="1" t="s">
        <v>133</v>
      </c>
      <c r="EE11" s="1" t="s">
        <v>134</v>
      </c>
      <c r="EF11" s="1" t="s">
        <v>143</v>
      </c>
    </row>
    <row r="12" spans="1:137" x14ac:dyDescent="0.3">
      <c r="A12" s="1">
        <v>96</v>
      </c>
      <c r="B12" s="1" t="s">
        <v>150</v>
      </c>
      <c r="C12" s="7" cm="1">
        <f t="array" ref="C12">PRODUCT(1 + 預測IC!$C12:C12) - 1</f>
        <v>4.7013508994228737E-2</v>
      </c>
      <c r="D12" s="7" cm="1">
        <f t="array" ref="D12">PRODUCT(1 + 預測IC!$C12:D12) - 1</f>
        <v>0.16709405293260571</v>
      </c>
      <c r="E12" s="7" cm="1">
        <f t="array" ref="E12">PRODUCT(1 + 預測IC!$C12:E12) - 1</f>
        <v>0.17497663926298324</v>
      </c>
      <c r="F12" s="7" cm="1">
        <f t="array" ref="F12">PRODUCT(1 + 預測IC!$C12:F12) - 1</f>
        <v>0.19832204442637891</v>
      </c>
      <c r="G12" s="7" cm="1">
        <f t="array" ref="G12">PRODUCT(1 + 預測IC!$C12:G12) - 1</f>
        <v>0.18885009147394305</v>
      </c>
      <c r="H12" s="7" cm="1">
        <f t="array" ref="H12">PRODUCT(1 + 預測IC!$C12:H12) - 1</f>
        <v>0.17772318723264013</v>
      </c>
      <c r="I12" s="7" cm="1">
        <f t="array" ref="I12">PRODUCT(1 + 預測IC!$C12:I12) - 1</f>
        <v>0.13496719901768217</v>
      </c>
      <c r="J12" s="7" cm="1">
        <f t="array" ref="J12">PRODUCT(1 + 預測IC!$C12:J12) - 1</f>
        <v>0.10158994421074596</v>
      </c>
      <c r="K12" s="7" cm="1">
        <f t="array" ref="K12">PRODUCT(1 + 預測IC!$C12:K12) - 1</f>
        <v>0.11369465939794132</v>
      </c>
      <c r="L12" s="7" cm="1">
        <f t="array" ref="L12">PRODUCT(1 + 預測IC!$C12:L12) - 1</f>
        <v>0.1162307991569167</v>
      </c>
      <c r="M12" s="7" cm="1">
        <f t="array" ref="M12">PRODUCT(1 + 預測IC!$C12:M12) - 1</f>
        <v>0.14624532315342642</v>
      </c>
      <c r="N12" s="7" cm="1">
        <f t="array" ref="N12">PRODUCT(1 + 預測IC!$C12:N12) - 1</f>
        <v>8.6555620773158148E-2</v>
      </c>
      <c r="O12" s="7" cm="1">
        <f t="array" ref="O12">PRODUCT(1 + 預測IC!$C12:O12) - 1</f>
        <v>0.10528864269970883</v>
      </c>
      <c r="P12" s="7" cm="1">
        <f t="array" ref="P12">PRODUCT(1 + 預測IC!$C12:P12) - 1</f>
        <v>0.10500753673024343</v>
      </c>
      <c r="Q12" s="7" cm="1">
        <f t="array" ref="Q12">PRODUCT(1 + 預測IC!$C12:Q12) - 1</f>
        <v>0.14234881787094467</v>
      </c>
      <c r="R12" s="7" cm="1">
        <f t="array" ref="R12">PRODUCT(1 + 預測IC!$C12:R12) - 1</f>
        <v>0.14996015529804496</v>
      </c>
      <c r="S12" s="7" cm="1">
        <f t="array" ref="S12">PRODUCT(1 + 預測IC!$C12:S12) - 1</f>
        <v>0.13101755768248213</v>
      </c>
      <c r="T12" s="7" cm="1">
        <f t="array" ref="T12">PRODUCT(1 + 預測IC!$C12:T12) - 1</f>
        <v>0.12226370791147634</v>
      </c>
      <c r="U12" s="7" cm="1">
        <f t="array" ref="U12">PRODUCT(1 + 預測IC!$C12:U12) - 1</f>
        <v>0.14512110036928383</v>
      </c>
      <c r="V12" s="7" cm="1">
        <f t="array" ref="V12">PRODUCT(1 + 預測IC!$C12:V12) - 1</f>
        <v>0.15601229408271067</v>
      </c>
      <c r="W12" s="7" cm="1">
        <f t="array" ref="W12">PRODUCT(1 + 預測IC!$C12:W12) - 1</f>
        <v>0.12316112644957644</v>
      </c>
      <c r="X12" s="7" cm="1">
        <f t="array" ref="X12">PRODUCT(1 + 預測IC!$C12:X12) - 1</f>
        <v>0.15356946771618318</v>
      </c>
      <c r="Y12" s="7" cm="1">
        <f t="array" ref="Y12">PRODUCT(1 + 預測IC!$C12:Y12) - 1</f>
        <v>0.17733114557373031</v>
      </c>
      <c r="Z12" s="7" cm="1">
        <f t="array" ref="Z12">PRODUCT(1 + 預測IC!$C12:Z12) - 1</f>
        <v>0.18341312949790844</v>
      </c>
      <c r="AA12" s="7" cm="1">
        <f t="array" ref="AA12">PRODUCT(1 + 預測IC!$C12:AA12) - 1</f>
        <v>0.16978903174811566</v>
      </c>
      <c r="AB12" s="7" cm="1">
        <f t="array" ref="AB12">PRODUCT(1 + 預測IC!$C12:AB12) - 1</f>
        <v>0.16544745519363069</v>
      </c>
      <c r="AC12" s="7" cm="1">
        <f t="array" ref="AC12">PRODUCT(1 + 預測IC!$C12:AC12) - 1</f>
        <v>0.20637186761133219</v>
      </c>
      <c r="AD12" s="7" cm="1">
        <f t="array" ref="AD12">PRODUCT(1 + 預測IC!$C12:AD12) - 1</f>
        <v>0.19504132948223352</v>
      </c>
      <c r="AE12" s="7" cm="1">
        <f t="array" ref="AE12">PRODUCT(1 + 預測IC!$C12:AE12) - 1</f>
        <v>0.12535014840238112</v>
      </c>
      <c r="AF12" s="7" cm="1">
        <f t="array" ref="AF12">PRODUCT(1 + 預測IC!$C12:AF12) - 1</f>
        <v>6.6818320823825772E-2</v>
      </c>
      <c r="AG12" s="7" cm="1">
        <f t="array" ref="AG12">PRODUCT(1 + 預測IC!$C12:AG12) - 1</f>
        <v>6.2748483158237667E-2</v>
      </c>
      <c r="AH12" s="7" cm="1">
        <f t="array" ref="AH12">PRODUCT(1 + 預測IC!$C12:AH12) - 1</f>
        <v>4.032378989475216E-2</v>
      </c>
      <c r="AI12" s="7" cm="1">
        <f t="array" ref="AI12">PRODUCT(1 + 預測IC!$C12:AI12) - 1</f>
        <v>4.9472181427849815E-2</v>
      </c>
      <c r="AJ12" s="7" cm="1">
        <f t="array" ref="AJ12">PRODUCT(1 + 預測IC!$C12:AJ12) - 1</f>
        <v>2.7367922652913768E-2</v>
      </c>
      <c r="AK12" s="7" cm="1">
        <f t="array" ref="AK12">PRODUCT(1 + 預測IC!$C12:AK12) - 1</f>
        <v>1.0441657825541739E-2</v>
      </c>
      <c r="AL12" s="7" cm="1">
        <f t="array" ref="AL12">PRODUCT(1 + 預測IC!$C12:AL12) - 1</f>
        <v>-3.7857948486508364E-2</v>
      </c>
      <c r="AM12" s="7" cm="1">
        <f t="array" ref="AM12">PRODUCT(1 + 預測IC!$C12:AM12) - 1</f>
        <v>-2.1783679837051872E-2</v>
      </c>
      <c r="AN12" s="7" cm="1">
        <f t="array" ref="AN12">PRODUCT(1 + 預測IC!$C12:AN12) - 1</f>
        <v>-7.7672396500172214E-2</v>
      </c>
      <c r="AO12" s="7" cm="1">
        <f t="array" ref="AO12">PRODUCT(1 + 預測IC!$C12:AO12) - 1</f>
        <v>-7.9728073843150948E-2</v>
      </c>
      <c r="AP12" s="7" cm="1">
        <f t="array" ref="AP12">PRODUCT(1 + 預測IC!$C12:AP12) - 1</f>
        <v>-4.8698027743937833E-2</v>
      </c>
      <c r="AQ12" s="7" cm="1">
        <f t="array" ref="AQ12">PRODUCT(1 + 預測IC!$C12:AQ12) - 1</f>
        <v>-4.1447264625067759E-2</v>
      </c>
      <c r="AR12" s="7" cm="1">
        <f t="array" ref="AR12">PRODUCT(1 + 預測IC!$C12:AR12) - 1</f>
        <v>-3.42538745531622E-2</v>
      </c>
      <c r="AS12" s="7" cm="1">
        <f t="array" ref="AS12">PRODUCT(1 + 預測IC!$C12:AS12) - 1</f>
        <v>-5.3545882717221827E-2</v>
      </c>
      <c r="AT12" s="7" cm="1">
        <f t="array" ref="AT12">PRODUCT(1 + 預測IC!$C12:AT12) - 1</f>
        <v>-4.045178019443163E-2</v>
      </c>
      <c r="AU12" s="7" cm="1">
        <f t="array" ref="AU12">PRODUCT(1 + 預測IC!$C12:AU12) - 1</f>
        <v>-2.0580823622636579E-2</v>
      </c>
      <c r="AV12" s="7" cm="1">
        <f t="array" ref="AV12">PRODUCT(1 + 預測IC!$C12:AV12) - 1</f>
        <v>-6.1089683758506985E-2</v>
      </c>
      <c r="AW12" s="7" cm="1">
        <f t="array" ref="AW12">PRODUCT(1 + 預測IC!$C12:AW12) - 1</f>
        <v>-6.0506172574984585E-2</v>
      </c>
      <c r="AX12" s="7" cm="1">
        <f t="array" ref="AX12">PRODUCT(1 + 預測IC!$C12:AX12) - 1</f>
        <v>-0.10249779993403674</v>
      </c>
      <c r="AY12" s="7" cm="1">
        <f t="array" ref="AY12">PRODUCT(1 + 預測IC!$C12:AY12) - 1</f>
        <v>-8.6799300263015966E-2</v>
      </c>
      <c r="AZ12" s="7" cm="1">
        <f t="array" ref="AZ12">PRODUCT(1 + 預測IC!$C12:AZ12) - 1</f>
        <v>-8.8899685681067098E-2</v>
      </c>
      <c r="BA12" s="7" cm="1">
        <f t="array" ref="BA12">PRODUCT(1 + 預測IC!$C12:BA12) - 1</f>
        <v>-8.4400774205243723E-2</v>
      </c>
      <c r="BB12" s="7" cm="1">
        <f t="array" ref="BB12">PRODUCT(1 + 預測IC!$C12:BB12) - 1</f>
        <v>-7.9103671100816397E-2</v>
      </c>
      <c r="BC12" s="7" cm="1">
        <f t="array" ref="BC12">PRODUCT(1 + 預測IC!$C12:BC12) - 1</f>
        <v>-5.4524058227430894E-2</v>
      </c>
      <c r="BD12" s="7" cm="1">
        <f t="array" ref="BD12">PRODUCT(1 + 預測IC!$C12:BD12) - 1</f>
        <v>-4.1636694566137278E-2</v>
      </c>
      <c r="BE12" s="7" cm="1">
        <f t="array" ref="BE12">PRODUCT(1 + 預測IC!$C12:BE12) - 1</f>
        <v>-8.5336666861000832E-2</v>
      </c>
      <c r="BF12" s="7" cm="1">
        <f t="array" ref="BF12">PRODUCT(1 + 預測IC!$C12:BF12) - 1</f>
        <v>-0.1069236910192034</v>
      </c>
      <c r="BG12" s="7" cm="1">
        <f t="array" ref="BG12">PRODUCT(1 + 預測IC!$C12:BG12) - 1</f>
        <v>-9.7989303241704961E-2</v>
      </c>
      <c r="BH12" s="7" cm="1">
        <f t="array" ref="BH12">PRODUCT(1 + 預測IC!$C12:BH12) - 1</f>
        <v>-0.12046934487843319</v>
      </c>
      <c r="BI12" s="7" cm="1">
        <f t="array" ref="BI12">PRODUCT(1 + 預測IC!$C12:BI12) - 1</f>
        <v>-7.6474119430084309E-2</v>
      </c>
      <c r="BJ12" s="7" cm="1">
        <f t="array" ref="BJ12">PRODUCT(1 + 預測IC!$C12:BJ12) - 1</f>
        <v>-7.7209239861789181E-2</v>
      </c>
      <c r="BK12" s="7" cm="1">
        <f t="array" ref="BK12">PRODUCT(1 + 預測IC!$C12:BK12) - 1</f>
        <v>-9.5734866034164368E-2</v>
      </c>
      <c r="BL12" s="7" cm="1">
        <f t="array" ref="BL12">PRODUCT(1 + 預測IC!$C12:BL12) - 1</f>
        <v>-8.5733360239964806E-2</v>
      </c>
      <c r="BM12" s="7" cm="1">
        <f t="array" ref="BM12">PRODUCT(1 + 預測IC!$C12:BM12) - 1</f>
        <v>-0.11331852967322531</v>
      </c>
      <c r="BN12" s="7" cm="1">
        <f t="array" ref="BN12">PRODUCT(1 + 預測IC!$C12:BN12) - 1</f>
        <v>-0.1306110689284784</v>
      </c>
      <c r="BO12" s="7" cm="1">
        <f t="array" ref="BO12">PRODUCT(1 + 預測IC!$C12:BO12) - 1</f>
        <v>-0.11590642537775953</v>
      </c>
      <c r="BP12" s="7" cm="1">
        <f t="array" ref="BP12">PRODUCT(1 + 預測IC!$C12:BP12) - 1</f>
        <v>-0.12519735176196956</v>
      </c>
      <c r="BQ12" s="7" cm="1">
        <f t="array" ref="BQ12">PRODUCT(1 + 預測IC!$C12:BQ12) - 1</f>
        <v>-0.11304043839358902</v>
      </c>
      <c r="BR12" s="7" cm="1">
        <f t="array" ref="BR12">PRODUCT(1 + 預測IC!$C12:BR12) - 1</f>
        <v>-5.2111979617545989E-2</v>
      </c>
      <c r="BS12" s="7" cm="1">
        <f t="array" ref="BS12">PRODUCT(1 + 預測IC!$C12:BS12) - 1</f>
        <v>-3.4231689793517428E-2</v>
      </c>
      <c r="BT12" s="7" cm="1">
        <f t="array" ref="BT12">PRODUCT(1 + 預測IC!$C12:BT12) - 1</f>
        <v>-5.4791059484872617E-2</v>
      </c>
      <c r="BU12" s="7" cm="1">
        <f t="array" ref="BU12">PRODUCT(1 + 預測IC!$C12:BU12) - 1</f>
        <v>-4.6490690972766591E-2</v>
      </c>
      <c r="BV12" s="7" cm="1">
        <f t="array" ref="BV12">PRODUCT(1 + 預測IC!$C12:BV12) - 1</f>
        <v>-2.4500424742140425E-2</v>
      </c>
      <c r="BW12" s="7" cm="1">
        <f t="array" ref="BW12">PRODUCT(1 + 預測IC!$C12:BW12) - 1</f>
        <v>-5.3261828605042472E-2</v>
      </c>
      <c r="BX12" s="7" cm="1">
        <f t="array" ref="BX12">PRODUCT(1 + 預測IC!$C12:BX12) - 1</f>
        <v>-4.2395961236619151E-2</v>
      </c>
      <c r="BY12" s="7" cm="1">
        <f t="array" ref="BY12">PRODUCT(1 + 預測IC!$C12:BY12) - 1</f>
        <v>-8.6269534693104943E-2</v>
      </c>
      <c r="BZ12" s="7" cm="1">
        <f t="array" ref="BZ12">PRODUCT(1 + 預測IC!$C12:BZ12) - 1</f>
        <v>-4.4825511601718437E-2</v>
      </c>
      <c r="CA12" s="7" cm="1">
        <f t="array" ref="CA12">PRODUCT(1 + 預測IC!$C12:CA12) - 1</f>
        <v>-3.0898535000085214E-2</v>
      </c>
      <c r="CB12" s="7" cm="1">
        <f t="array" ref="CB12">PRODUCT(1 + 預測IC!$C12:CB12) - 1</f>
        <v>3.9337942678616011E-2</v>
      </c>
      <c r="CC12" s="7" cm="1">
        <f t="array" ref="CC12">PRODUCT(1 + 預測IC!$C12:CC12) - 1</f>
        <v>0.10748381095548498</v>
      </c>
      <c r="CD12" s="7" cm="1">
        <f t="array" ref="CD12">PRODUCT(1 + 預測IC!$C12:CD12) - 1</f>
        <v>0.15649937053740826</v>
      </c>
      <c r="CE12" s="7" cm="1">
        <f t="array" ref="CE12">PRODUCT(1 + 預測IC!$C12:CE12) - 1</f>
        <v>0.3346083840027414</v>
      </c>
      <c r="CF12" s="7" cm="1">
        <f t="array" ref="CF12">PRODUCT(1 + 預測IC!$C12:CF12) - 1</f>
        <v>0.34531364421942001</v>
      </c>
      <c r="CG12" s="7" cm="1">
        <f t="array" ref="CG12">PRODUCT(1 + 預測IC!$C12:CG12) - 1</f>
        <v>0.34572887325417545</v>
      </c>
      <c r="CH12" s="7" cm="1">
        <f t="array" ref="CH12">PRODUCT(1 + 預測IC!$C12:CH12) - 1</f>
        <v>0.43090997486431748</v>
      </c>
      <c r="CI12" s="7" cm="1">
        <f t="array" ref="CI12">PRODUCT(1 + 預測IC!$C12:CI12) - 1</f>
        <v>0.39607948249912295</v>
      </c>
      <c r="CJ12" s="7" cm="1">
        <f t="array" ref="CJ12">PRODUCT(1 + 預測IC!$C12:CJ12) - 1</f>
        <v>0.37451678292932944</v>
      </c>
      <c r="CK12" s="7" cm="1">
        <f t="array" ref="CK12">PRODUCT(1 + 預測IC!$C12:CK12) - 1</f>
        <v>0.39211491944441357</v>
      </c>
      <c r="CL12" s="7" cm="1">
        <f t="array" ref="CL12">PRODUCT(1 + 預測IC!$C12:CL12) - 1</f>
        <v>0.55640620760857673</v>
      </c>
      <c r="CM12" s="7" cm="1">
        <f t="array" ref="CM12">PRODUCT(1 + 預測IC!$C12:CM12) - 1</f>
        <v>0.59742366028811489</v>
      </c>
      <c r="CN12" s="7" cm="1">
        <f t="array" ref="CN12">PRODUCT(1 + 預測IC!$C12:CN12) - 1</f>
        <v>0.47208148689191898</v>
      </c>
      <c r="CO12" s="7" cm="1">
        <f t="array" ref="CO12">PRODUCT(1 + 預測IC!$C12:CO12) - 1</f>
        <v>0.50861823327475042</v>
      </c>
      <c r="CP12" s="7" cm="1">
        <f t="array" ref="CP12">PRODUCT(1 + 預測IC!$C12:CP12) - 1</f>
        <v>0.44027930353938505</v>
      </c>
      <c r="CQ12" s="7" cm="1">
        <f t="array" ref="CQ12">PRODUCT(1 + 預測IC!$C12:CQ12) - 1</f>
        <v>0.38760512812559922</v>
      </c>
      <c r="CR12" s="7" cm="1">
        <f t="array" ref="CR12">PRODUCT(1 + 預測IC!$C12:CR12) - 1</f>
        <v>0.38466634915447928</v>
      </c>
      <c r="CS12" s="7" cm="1">
        <f t="array" ref="CS12">PRODUCT(1 + 預測IC!$C12:CS12) - 1</f>
        <v>0.36457532445433594</v>
      </c>
      <c r="CT12" s="7" cm="1">
        <f t="array" ref="CT12">PRODUCT(1 + 預測IC!$C12:CT12) - 1</f>
        <v>0.36569978367850786</v>
      </c>
      <c r="CU12" s="7" cm="1">
        <f t="array" ref="CU12">PRODUCT(1 + 預測IC!$C12:CU12) - 1</f>
        <v>0.31704848290482324</v>
      </c>
      <c r="CV12" s="7" cm="1">
        <f t="array" ref="CV12">PRODUCT(1 + 預測IC!$C12:CV12) - 1</f>
        <v>0.30636376064454862</v>
      </c>
      <c r="CW12" s="7" cm="1">
        <f t="array" ref="CW12">PRODUCT(1 + 預測IC!$C12:CW12) - 1</f>
        <v>0.2991161528115085</v>
      </c>
      <c r="CX12" s="7" cm="1">
        <f t="array" ref="CX12">PRODUCT(1 + 預測IC!$C12:CX12) - 1</f>
        <v>0.35958670797502257</v>
      </c>
      <c r="CY12" s="7" cm="1">
        <f t="array" ref="CY12">PRODUCT(1 + 預測IC!$C12:CY12) - 1</f>
        <v>0.36772103668034783</v>
      </c>
      <c r="CZ12" s="7" cm="1">
        <f t="array" ref="CZ12">PRODUCT(1 + 預測IC!$C12:CZ12) - 1</f>
        <v>0.26132283408578916</v>
      </c>
      <c r="DA12" s="7" cm="1">
        <f t="array" ref="DA12">PRODUCT(1 + 預測IC!$C12:DA12) - 1</f>
        <v>0.25425465328055719</v>
      </c>
      <c r="DB12" s="7" cm="1">
        <f t="array" ref="DB12">PRODUCT(1 + 預測IC!$C12:DB12) - 1</f>
        <v>0.28307977813713769</v>
      </c>
      <c r="DC12" s="7" cm="1">
        <f t="array" ref="DC12">PRODUCT(1 + 預測IC!$C12:DC12) - 1</f>
        <v>0.27730416928088908</v>
      </c>
      <c r="DD12" s="7" cm="1">
        <f t="array" ref="DD12">PRODUCT(1 + 預測IC!$C12:DD12) - 1</f>
        <v>0.24551337383923522</v>
      </c>
      <c r="DE12" s="7" cm="1">
        <f t="array" ref="DE12">PRODUCT(1 + 預測IC!$C12:DE12) - 1</f>
        <v>0.21470230688295477</v>
      </c>
      <c r="DF12" s="7" cm="1">
        <f t="array" ref="DF12">PRODUCT(1 + 預測IC!$C12:DF12) - 1</f>
        <v>0.14730365769436649</v>
      </c>
      <c r="DG12" s="7" cm="1">
        <f t="array" ref="DG12">PRODUCT(1 + 預測IC!$C12:DG12) - 1</f>
        <v>0.14839096762687443</v>
      </c>
      <c r="DH12" s="7" cm="1">
        <f t="array" ref="DH12">PRODUCT(1 + 預測IC!$C12:DH12) - 1</f>
        <v>0.15278090107497788</v>
      </c>
      <c r="DI12" s="7" cm="1">
        <f t="array" ref="DI12">PRODUCT(1 + 預測IC!$C12:DI12) - 1</f>
        <v>0.11822138899262713</v>
      </c>
      <c r="DJ12" s="7" cm="1">
        <f t="array" ref="DJ12">PRODUCT(1 + 預測IC!$C12:DJ12) - 1</f>
        <v>0.1013158853027889</v>
      </c>
      <c r="DK12" s="7" cm="1">
        <f t="array" ref="DK12">PRODUCT(1 + 預測IC!$C12:DK12) - 1</f>
        <v>0.11887741678786568</v>
      </c>
      <c r="DL12" s="7" cm="1">
        <f t="array" ref="DL12">PRODUCT(1 + 預測IC!$C12:DL12) - 1</f>
        <v>0.13976667168025125</v>
      </c>
      <c r="DM12" s="7" cm="1">
        <f t="array" ref="DM12">PRODUCT(1 + 預測IC!$C12:DM12) - 1</f>
        <v>0.14528354042908598</v>
      </c>
      <c r="DN12" s="7" cm="1">
        <f t="array" ref="DN12">PRODUCT(1 + 預測IC!$C12:DN12) - 1</f>
        <v>0.17038441238456947</v>
      </c>
      <c r="DO12" s="7" cm="1">
        <f t="array" ref="DO12">PRODUCT(1 + 預測IC!$C12:DO12) - 1</f>
        <v>0.20614778111029208</v>
      </c>
      <c r="DP12" s="7" cm="1">
        <f t="array" ref="DP12">PRODUCT(1 + 預測IC!$C12:DP12) - 1</f>
        <v>0.15072101113795355</v>
      </c>
      <c r="DQ12" s="7" cm="1">
        <f t="array" ref="DQ12">PRODUCT(1 + 預測IC!$C12:DQ12) - 1</f>
        <v>0.18968686450988859</v>
      </c>
      <c r="DR12" s="7" cm="1">
        <f t="array" ref="DR12">PRODUCT(1 + 預測IC!$C12:DR12) - 1</f>
        <v>0.16938488261495177</v>
      </c>
      <c r="DS12" s="7" cm="1">
        <f t="array" ref="DS12">PRODUCT(1 + 預測IC!$C12:DS12) - 1</f>
        <v>8.7936579958859395E-2</v>
      </c>
      <c r="DT12" s="7" cm="1">
        <f t="array" ref="DT12">PRODUCT(1 + 預測IC!$C12:DT12) - 1</f>
        <v>0.13721780429833852</v>
      </c>
      <c r="DU12" s="7" cm="1">
        <f t="array" ref="DU12">PRODUCT(1 + 預測IC!$C12:DU12) - 1</f>
        <v>0.12157804803825489</v>
      </c>
      <c r="DV12" s="7" cm="1">
        <f t="array" ref="DV12">PRODUCT(1 + 預測IC!$C12:DV12) - 1</f>
        <v>6.7124509090098039E-2</v>
      </c>
      <c r="DW12" s="7" cm="1">
        <f t="array" ref="DW12">PRODUCT(1 + 預測IC!$C12:DW12) - 1</f>
        <v>0.11378513034309301</v>
      </c>
      <c r="DX12" s="7" cm="1">
        <f t="array" ref="DX12">PRODUCT(1 + 預測IC!$C12:DX12) - 1</f>
        <v>9.3626580927339553E-2</v>
      </c>
      <c r="DY12" s="7" cm="1">
        <f t="array" ref="DY12">PRODUCT(1 + 預測IC!$C12:DY12) - 1</f>
        <v>2.5025329870185464E-2</v>
      </c>
      <c r="DZ12" s="7" cm="1">
        <f t="array" ref="DZ12">PRODUCT(1 + 預測IC!$C12:DZ12) - 1</f>
        <v>4.484959911021269E-3</v>
      </c>
      <c r="EA12" s="7" cm="1">
        <f t="array" ref="EA12">PRODUCT(1 + 預測IC!$C12:EA12) - 1</f>
        <v>-4.6841843459988985E-2</v>
      </c>
      <c r="EB12" s="7" cm="1">
        <f t="array" ref="EB12">PRODUCT(1 + 預測IC!$C12:EB12) - 1</f>
        <v>-5.2356788493116202E-2</v>
      </c>
      <c r="EC12" s="7" cm="1">
        <f t="array" ref="EC12">PRODUCT(1 + 預測IC!$C12:EC12) - 1</f>
        <v>-3.8252144517053055E-2</v>
      </c>
      <c r="ED12" s="7" cm="1">
        <f t="array" ref="ED12">PRODUCT(1 + 預測IC!$C12:ED12) - 1</f>
        <v>1.9941441685741079E-2</v>
      </c>
      <c r="EE12" s="7" cm="1">
        <f t="array" ref="EE12">PRODUCT(1 + 預測IC!$C12:EE12) - 1</f>
        <v>4.697691949119065E-2</v>
      </c>
      <c r="EF12" s="7" cm="1">
        <f t="array" ref="EF12">PRODUCT(1 + 預測IC!$C12:EF12) - 1</f>
        <v>5.9005096202067175E-3</v>
      </c>
    </row>
    <row r="13" spans="1:137" x14ac:dyDescent="0.3">
      <c r="A13" s="1">
        <v>48</v>
      </c>
      <c r="B13" s="1" t="s">
        <v>151</v>
      </c>
      <c r="C13" s="7" cm="1">
        <f t="array" ref="C13">PRODUCT(1 + 預測IC!$C13:C13) - 1</f>
        <v>4.2506117601795568E-2</v>
      </c>
      <c r="D13" s="7" cm="1">
        <f t="array" ref="D13">PRODUCT(1 + 預測IC!$C13:D13) - 1</f>
        <v>0.17151106714107112</v>
      </c>
      <c r="E13" s="7" cm="1">
        <f t="array" ref="E13">PRODUCT(1 + 預測IC!$C13:E13) - 1</f>
        <v>0.21192423865414556</v>
      </c>
      <c r="F13" s="7" cm="1">
        <f t="array" ref="F13">PRODUCT(1 + 預測IC!$C13:F13) - 1</f>
        <v>0.25424724583439295</v>
      </c>
      <c r="G13" s="7" cm="1">
        <f t="array" ref="G13">PRODUCT(1 + 預測IC!$C13:G13) - 1</f>
        <v>0.2729455383859456</v>
      </c>
      <c r="H13" s="7" cm="1">
        <f t="array" ref="H13">PRODUCT(1 + 預測IC!$C13:H13) - 1</f>
        <v>0.25266702642362548</v>
      </c>
      <c r="I13" s="7" cm="1">
        <f t="array" ref="I13">PRODUCT(1 + 預測IC!$C13:I13) - 1</f>
        <v>0.21172628163354257</v>
      </c>
      <c r="J13" s="7" cm="1">
        <f t="array" ref="J13">PRODUCT(1 + 預測IC!$C13:J13) - 1</f>
        <v>0.15853243444044351</v>
      </c>
      <c r="K13" s="7" cm="1">
        <f t="array" ref="K13">PRODUCT(1 + 預測IC!$C13:K13) - 1</f>
        <v>0.21104985692135747</v>
      </c>
      <c r="L13" s="7" cm="1">
        <f t="array" ref="L13">PRODUCT(1 + 預測IC!$C13:L13) - 1</f>
        <v>0.24633460474046398</v>
      </c>
      <c r="M13" s="7" cm="1">
        <f t="array" ref="M13">PRODUCT(1 + 預測IC!$C13:M13) - 1</f>
        <v>0.2504222809127159</v>
      </c>
      <c r="N13" s="7" cm="1">
        <f t="array" ref="N13">PRODUCT(1 + 預測IC!$C13:N13) - 1</f>
        <v>0.19646411838723687</v>
      </c>
      <c r="O13" s="7" cm="1">
        <f t="array" ref="O13">PRODUCT(1 + 預測IC!$C13:O13) - 1</f>
        <v>0.24407057811454846</v>
      </c>
      <c r="P13" s="7" cm="1">
        <f t="array" ref="P13">PRODUCT(1 + 預測IC!$C13:P13) - 1</f>
        <v>0.23626074136006103</v>
      </c>
      <c r="Q13" s="7" cm="1">
        <f t="array" ref="Q13">PRODUCT(1 + 預測IC!$C13:Q13) - 1</f>
        <v>0.29092604547618639</v>
      </c>
      <c r="R13" s="7" cm="1">
        <f t="array" ref="R13">PRODUCT(1 + 預測IC!$C13:R13) - 1</f>
        <v>0.3092054866157079</v>
      </c>
      <c r="S13" s="7" cm="1">
        <f t="array" ref="S13">PRODUCT(1 + 預測IC!$C13:S13) - 1</f>
        <v>0.29317600509268016</v>
      </c>
      <c r="T13" s="7" cm="1">
        <f t="array" ref="T13">PRODUCT(1 + 預測IC!$C13:T13) - 1</f>
        <v>0.26459161627052796</v>
      </c>
      <c r="U13" s="7" cm="1">
        <f t="array" ref="U13">PRODUCT(1 + 預測IC!$C13:U13) - 1</f>
        <v>0.33308325769645331</v>
      </c>
      <c r="V13" s="7" cm="1">
        <f t="array" ref="V13">PRODUCT(1 + 預測IC!$C13:V13) - 1</f>
        <v>0.33603822323955623</v>
      </c>
      <c r="W13" s="7" cm="1">
        <f t="array" ref="W13">PRODUCT(1 + 預測IC!$C13:W13) - 1</f>
        <v>0.29466258366821596</v>
      </c>
      <c r="X13" s="7" cm="1">
        <f t="array" ref="X13">PRODUCT(1 + 預測IC!$C13:X13) - 1</f>
        <v>0.36363818584392571</v>
      </c>
      <c r="Y13" s="7" cm="1">
        <f t="array" ref="Y13">PRODUCT(1 + 預測IC!$C13:Y13) - 1</f>
        <v>0.35452450267471503</v>
      </c>
      <c r="Z13" s="7" cm="1">
        <f t="array" ref="Z13">PRODUCT(1 + 預測IC!$C13:Z13) - 1</f>
        <v>0.38240571153550351</v>
      </c>
      <c r="AA13" s="7" cm="1">
        <f t="array" ref="AA13">PRODUCT(1 + 預測IC!$C13:AA13) - 1</f>
        <v>0.35967810530619349</v>
      </c>
      <c r="AB13" s="7" cm="1">
        <f t="array" ref="AB13">PRODUCT(1 + 預測IC!$C13:AB13) - 1</f>
        <v>0.33787417302936906</v>
      </c>
      <c r="AC13" s="7" cm="1">
        <f t="array" ref="AC13">PRODUCT(1 + 預測IC!$C13:AC13) - 1</f>
        <v>0.36713556314163753</v>
      </c>
      <c r="AD13" s="7" cm="1">
        <f t="array" ref="AD13">PRODUCT(1 + 預測IC!$C13:AD13) - 1</f>
        <v>0.33768241867489635</v>
      </c>
      <c r="AE13" s="7" cm="1">
        <f t="array" ref="AE13">PRODUCT(1 + 預測IC!$C13:AE13) - 1</f>
        <v>0.24977075677038285</v>
      </c>
      <c r="AF13" s="7" cm="1">
        <f t="array" ref="AF13">PRODUCT(1 + 預測IC!$C13:AF13) - 1</f>
        <v>0.15818610494497221</v>
      </c>
      <c r="AG13" s="7" cm="1">
        <f t="array" ref="AG13">PRODUCT(1 + 預測IC!$C13:AG13) - 1</f>
        <v>0.16965817890106294</v>
      </c>
      <c r="AH13" s="7" cm="1">
        <f t="array" ref="AH13">PRODUCT(1 + 預測IC!$C13:AH13) - 1</f>
        <v>0.13237472215660362</v>
      </c>
      <c r="AI13" s="7" cm="1">
        <f t="array" ref="AI13">PRODUCT(1 + 預測IC!$C13:AI13) - 1</f>
        <v>0.15348903374543688</v>
      </c>
      <c r="AJ13" s="7" cm="1">
        <f t="array" ref="AJ13">PRODUCT(1 + 預測IC!$C13:AJ13) - 1</f>
        <v>0.13055037705396511</v>
      </c>
      <c r="AK13" s="7" cm="1">
        <f t="array" ref="AK13">PRODUCT(1 + 預測IC!$C13:AK13) - 1</f>
        <v>8.7183153906103872E-2</v>
      </c>
      <c r="AL13" s="7" cm="1">
        <f t="array" ref="AL13">PRODUCT(1 + 預測IC!$C13:AL13) - 1</f>
        <v>3.3629724177267395E-2</v>
      </c>
      <c r="AM13" s="7" cm="1">
        <f t="array" ref="AM13">PRODUCT(1 + 預測IC!$C13:AM13) - 1</f>
        <v>1.8710203055816166E-2</v>
      </c>
      <c r="AN13" s="7" cm="1">
        <f t="array" ref="AN13">PRODUCT(1 + 預測IC!$C13:AN13) - 1</f>
        <v>-5.38680295406615E-2</v>
      </c>
      <c r="AO13" s="7" cm="1">
        <f t="array" ref="AO13">PRODUCT(1 + 預測IC!$C13:AO13) - 1</f>
        <v>-6.2677642095252173E-2</v>
      </c>
      <c r="AP13" s="7" cm="1">
        <f t="array" ref="AP13">PRODUCT(1 + 預測IC!$C13:AP13) - 1</f>
        <v>-6.8593079919352373E-3</v>
      </c>
      <c r="AQ13" s="7" cm="1">
        <f t="array" ref="AQ13">PRODUCT(1 + 預測IC!$C13:AQ13) - 1</f>
        <v>-8.5151315783360548E-4</v>
      </c>
      <c r="AR13" s="7" cm="1">
        <f t="array" ref="AR13">PRODUCT(1 + 預測IC!$C13:AR13) - 1</f>
        <v>-1.0094368520680685E-2</v>
      </c>
      <c r="AS13" s="7" cm="1">
        <f t="array" ref="AS13">PRODUCT(1 + 預測IC!$C13:AS13) - 1</f>
        <v>-3.3263073735076087E-2</v>
      </c>
      <c r="AT13" s="7" cm="1">
        <f t="array" ref="AT13">PRODUCT(1 + 預測IC!$C13:AT13) - 1</f>
        <v>5.8540874445125457E-3</v>
      </c>
      <c r="AU13" s="7" cm="1">
        <f t="array" ref="AU13">PRODUCT(1 + 預測IC!$C13:AU13) - 1</f>
        <v>4.7070091748019349E-2</v>
      </c>
      <c r="AV13" s="7" cm="1">
        <f t="array" ref="AV13">PRODUCT(1 + 預測IC!$C13:AV13) - 1</f>
        <v>3.714860774196671E-2</v>
      </c>
      <c r="AW13" s="7" cm="1">
        <f t="array" ref="AW13">PRODUCT(1 + 預測IC!$C13:AW13) - 1</f>
        <v>4.1380188149209296E-2</v>
      </c>
      <c r="AX13" s="7" cm="1">
        <f t="array" ref="AX13">PRODUCT(1 + 預測IC!$C13:AX13) - 1</f>
        <v>7.2230927883092377E-3</v>
      </c>
      <c r="AY13" s="7" cm="1">
        <f t="array" ref="AY13">PRODUCT(1 + 預測IC!$C13:AY13) - 1</f>
        <v>2.1588313917634938E-2</v>
      </c>
      <c r="AZ13" s="7" cm="1">
        <f t="array" ref="AZ13">PRODUCT(1 + 預測IC!$C13:AZ13) - 1</f>
        <v>1.3309906248582637E-2</v>
      </c>
      <c r="BA13" s="7" cm="1">
        <f t="array" ref="BA13">PRODUCT(1 + 預測IC!$C13:BA13) - 1</f>
        <v>1.9937903121971523E-2</v>
      </c>
      <c r="BB13" s="7" cm="1">
        <f t="array" ref="BB13">PRODUCT(1 + 預測IC!$C13:BB13) - 1</f>
        <v>4.6503558168783821E-2</v>
      </c>
      <c r="BC13" s="7" cm="1">
        <f t="array" ref="BC13">PRODUCT(1 + 預測IC!$C13:BC13) - 1</f>
        <v>6.6503148771597465E-2</v>
      </c>
      <c r="BD13" s="7" cm="1">
        <f t="array" ref="BD13">PRODUCT(1 + 預測IC!$C13:BD13) - 1</f>
        <v>7.0069992173634743E-2</v>
      </c>
      <c r="BE13" s="7" cm="1">
        <f t="array" ref="BE13">PRODUCT(1 + 預測IC!$C13:BE13) - 1</f>
        <v>2.0795134607462185E-2</v>
      </c>
      <c r="BF13" s="7" cm="1">
        <f t="array" ref="BF13">PRODUCT(1 + 預測IC!$C13:BF13) - 1</f>
        <v>-6.0547344620740517E-3</v>
      </c>
      <c r="BG13" s="7" cm="1">
        <f t="array" ref="BG13">PRODUCT(1 + 預測IC!$C13:BG13) - 1</f>
        <v>2.225888763683681E-3</v>
      </c>
      <c r="BH13" s="7" cm="1">
        <f t="array" ref="BH13">PRODUCT(1 + 預測IC!$C13:BH13) - 1</f>
        <v>-3.1793921958557347E-2</v>
      </c>
      <c r="BI13" s="7" cm="1">
        <f t="array" ref="BI13">PRODUCT(1 + 預測IC!$C13:BI13) - 1</f>
        <v>1.894891863089998E-2</v>
      </c>
      <c r="BJ13" s="7" cm="1">
        <f t="array" ref="BJ13">PRODUCT(1 + 預測IC!$C13:BJ13) - 1</f>
        <v>1.7825985790378418E-3</v>
      </c>
      <c r="BK13" s="7" cm="1">
        <f t="array" ref="BK13">PRODUCT(1 + 預測IC!$C13:BK13) - 1</f>
        <v>-2.3387963952048563E-2</v>
      </c>
      <c r="BL13" s="7" cm="1">
        <f t="array" ref="BL13">PRODUCT(1 + 預測IC!$C13:BL13) - 1</f>
        <v>-1.008731044496447E-2</v>
      </c>
      <c r="BM13" s="7" cm="1">
        <f t="array" ref="BM13">PRODUCT(1 + 預測IC!$C13:BM13) - 1</f>
        <v>-3.7016763973962918E-2</v>
      </c>
      <c r="BN13" s="7" cm="1">
        <f t="array" ref="BN13">PRODUCT(1 + 預測IC!$C13:BN13) - 1</f>
        <v>-3.2338973661442116E-2</v>
      </c>
      <c r="BO13" s="7" cm="1">
        <f t="array" ref="BO13">PRODUCT(1 + 預測IC!$C13:BO13) - 1</f>
        <v>-2.904242880392871E-2</v>
      </c>
      <c r="BP13" s="7" cm="1">
        <f t="array" ref="BP13">PRODUCT(1 + 預測IC!$C13:BP13) - 1</f>
        <v>-1.9883681502418149E-2</v>
      </c>
      <c r="BQ13" s="7" cm="1">
        <f t="array" ref="BQ13">PRODUCT(1 + 預測IC!$C13:BQ13) - 1</f>
        <v>2.0941166033018765E-2</v>
      </c>
      <c r="BR13" s="7" cm="1">
        <f t="array" ref="BR13">PRODUCT(1 + 預測IC!$C13:BR13) - 1</f>
        <v>0.10244438664834687</v>
      </c>
      <c r="BS13" s="7" cm="1">
        <f t="array" ref="BS13">PRODUCT(1 + 預測IC!$C13:BS13) - 1</f>
        <v>0.11062394173049239</v>
      </c>
      <c r="BT13" s="7" cm="1">
        <f t="array" ref="BT13">PRODUCT(1 + 預測IC!$C13:BT13) - 1</f>
        <v>7.3231710572677411E-2</v>
      </c>
      <c r="BU13" s="7" cm="1">
        <f t="array" ref="BU13">PRODUCT(1 + 預測IC!$C13:BU13) - 1</f>
        <v>9.2234946922907346E-2</v>
      </c>
      <c r="BV13" s="7" cm="1">
        <f t="array" ref="BV13">PRODUCT(1 + 預測IC!$C13:BV13) - 1</f>
        <v>0.1147935272107603</v>
      </c>
      <c r="BW13" s="7" cm="1">
        <f t="array" ref="BW13">PRODUCT(1 + 預測IC!$C13:BW13) - 1</f>
        <v>0.11675917330903651</v>
      </c>
      <c r="BX13" s="7" cm="1">
        <f t="array" ref="BX13">PRODUCT(1 + 預測IC!$C13:BX13) - 1</f>
        <v>0.14029829857212039</v>
      </c>
      <c r="BY13" s="7" cm="1">
        <f t="array" ref="BY13">PRODUCT(1 + 預測IC!$C13:BY13) - 1</f>
        <v>0.10514545667804542</v>
      </c>
      <c r="BZ13" s="7" cm="1">
        <f t="array" ref="BZ13">PRODUCT(1 + 預測IC!$C13:BZ13) - 1</f>
        <v>0.18928915745674879</v>
      </c>
      <c r="CA13" s="7" cm="1">
        <f t="array" ref="CA13">PRODUCT(1 + 預測IC!$C13:CA13) - 1</f>
        <v>0.21784717003926857</v>
      </c>
      <c r="CB13" s="7" cm="1">
        <f t="array" ref="CB13">PRODUCT(1 + 預測IC!$C13:CB13) - 1</f>
        <v>0.36450881675952673</v>
      </c>
      <c r="CC13" s="7" cm="1">
        <f t="array" ref="CC13">PRODUCT(1 + 預測IC!$C13:CC13) - 1</f>
        <v>0.52841112387839861</v>
      </c>
      <c r="CD13" s="7" cm="1">
        <f t="array" ref="CD13">PRODUCT(1 + 預測IC!$C13:CD13) - 1</f>
        <v>0.61286508233591253</v>
      </c>
      <c r="CE13" s="7" cm="1">
        <f t="array" ref="CE13">PRODUCT(1 + 預測IC!$C13:CE13) - 1</f>
        <v>0.90935458091652066</v>
      </c>
      <c r="CF13" s="7" cm="1">
        <f t="array" ref="CF13">PRODUCT(1 + 預測IC!$C13:CF13) - 1</f>
        <v>0.88635895013028398</v>
      </c>
      <c r="CG13" s="7" cm="1">
        <f t="array" ref="CG13">PRODUCT(1 + 預測IC!$C13:CG13) - 1</f>
        <v>0.90062033061335223</v>
      </c>
      <c r="CH13" s="7" cm="1">
        <f t="array" ref="CH13">PRODUCT(1 + 預測IC!$C13:CH13) - 1</f>
        <v>1.0114922798305805</v>
      </c>
      <c r="CI13" s="7" cm="1">
        <f t="array" ref="CI13">PRODUCT(1 + 預測IC!$C13:CI13) - 1</f>
        <v>0.99561047326761476</v>
      </c>
      <c r="CJ13" s="7" cm="1">
        <f t="array" ref="CJ13">PRODUCT(1 + 預測IC!$C13:CJ13) - 1</f>
        <v>1.0018090149553309</v>
      </c>
      <c r="CK13" s="7" cm="1">
        <f t="array" ref="CK13">PRODUCT(1 + 預測IC!$C13:CK13) - 1</f>
        <v>1.0659575237995549</v>
      </c>
      <c r="CL13" s="7" cm="1">
        <f t="array" ref="CL13">PRODUCT(1 + 預測IC!$C13:CL13) - 1</f>
        <v>1.2342367183371548</v>
      </c>
      <c r="CM13" s="7" cm="1">
        <f t="array" ref="CM13">PRODUCT(1 + 預測IC!$C13:CM13) - 1</f>
        <v>1.2655400164176034</v>
      </c>
      <c r="CN13" s="7" cm="1">
        <f t="array" ref="CN13">PRODUCT(1 + 預測IC!$C13:CN13) - 1</f>
        <v>1.0367336904513711</v>
      </c>
      <c r="CO13" s="7" cm="1">
        <f t="array" ref="CO13">PRODUCT(1 + 預測IC!$C13:CO13) - 1</f>
        <v>1.1087003394704467</v>
      </c>
      <c r="CP13" s="7" cm="1">
        <f t="array" ref="CP13">PRODUCT(1 + 預測IC!$C13:CP13) - 1</f>
        <v>0.96166796031668866</v>
      </c>
      <c r="CQ13" s="7" cm="1">
        <f t="array" ref="CQ13">PRODUCT(1 + 預測IC!$C13:CQ13) - 1</f>
        <v>0.88676176695059361</v>
      </c>
      <c r="CR13" s="7" cm="1">
        <f t="array" ref="CR13">PRODUCT(1 + 預測IC!$C13:CR13) - 1</f>
        <v>0.87113979272550646</v>
      </c>
      <c r="CS13" s="7" cm="1">
        <f t="array" ref="CS13">PRODUCT(1 + 預測IC!$C13:CS13) - 1</f>
        <v>0.87852639896875107</v>
      </c>
      <c r="CT13" s="7" cm="1">
        <f t="array" ref="CT13">PRODUCT(1 + 預測IC!$C13:CT13) - 1</f>
        <v>0.86336518939215479</v>
      </c>
      <c r="CU13" s="7" cm="1">
        <f t="array" ref="CU13">PRODUCT(1 + 預測IC!$C13:CU13) - 1</f>
        <v>0.79411992599029779</v>
      </c>
      <c r="CV13" s="7" cm="1">
        <f t="array" ref="CV13">PRODUCT(1 + 預測IC!$C13:CV13) - 1</f>
        <v>0.79941852220800946</v>
      </c>
      <c r="CW13" s="7" cm="1">
        <f t="array" ref="CW13">PRODUCT(1 + 預測IC!$C13:CW13) - 1</f>
        <v>0.78866334217747136</v>
      </c>
      <c r="CX13" s="7" cm="1">
        <f t="array" ref="CX13">PRODUCT(1 + 預測IC!$C13:CX13) - 1</f>
        <v>0.79758393490635227</v>
      </c>
      <c r="CY13" s="7" cm="1">
        <f t="array" ref="CY13">PRODUCT(1 + 預測IC!$C13:CY13) - 1</f>
        <v>0.82116597138331038</v>
      </c>
      <c r="CZ13" s="7" cm="1">
        <f t="array" ref="CZ13">PRODUCT(1 + 預測IC!$C13:CZ13) - 1</f>
        <v>0.71695116853660301</v>
      </c>
      <c r="DA13" s="7" cm="1">
        <f t="array" ref="DA13">PRODUCT(1 + 預測IC!$C13:DA13) - 1</f>
        <v>0.72653806915912278</v>
      </c>
      <c r="DB13" s="7" cm="1">
        <f t="array" ref="DB13">PRODUCT(1 + 預測IC!$C13:DB13) - 1</f>
        <v>0.79864100910299407</v>
      </c>
      <c r="DC13" s="7" cm="1">
        <f t="array" ref="DC13">PRODUCT(1 + 預測IC!$C13:DC13) - 1</f>
        <v>0.77319047835407639</v>
      </c>
      <c r="DD13" s="7" cm="1">
        <f t="array" ref="DD13">PRODUCT(1 + 預測IC!$C13:DD13) - 1</f>
        <v>0.75422159482761697</v>
      </c>
      <c r="DE13" s="7" cm="1">
        <f t="array" ref="DE13">PRODUCT(1 + 預測IC!$C13:DE13) - 1</f>
        <v>0.71485336006040678</v>
      </c>
      <c r="DF13" s="7" cm="1">
        <f t="array" ref="DF13">PRODUCT(1 + 預測IC!$C13:DF13) - 1</f>
        <v>0.57231099827122511</v>
      </c>
      <c r="DG13" s="7" cm="1">
        <f t="array" ref="DG13">PRODUCT(1 + 預測IC!$C13:DG13) - 1</f>
        <v>0.57487489847856987</v>
      </c>
      <c r="DH13" s="7" cm="1">
        <f t="array" ref="DH13">PRODUCT(1 + 預測IC!$C13:DH13) - 1</f>
        <v>0.55708547718230128</v>
      </c>
      <c r="DI13" s="7" cm="1">
        <f t="array" ref="DI13">PRODUCT(1 + 預測IC!$C13:DI13) - 1</f>
        <v>0.51104180621534678</v>
      </c>
      <c r="DJ13" s="7" cm="1">
        <f t="array" ref="DJ13">PRODUCT(1 + 預測IC!$C13:DJ13) - 1</f>
        <v>0.50200035967809464</v>
      </c>
      <c r="DK13" s="7" cm="1">
        <f t="array" ref="DK13">PRODUCT(1 + 預測IC!$C13:DK13) - 1</f>
        <v>0.48336192573844361</v>
      </c>
      <c r="DL13" s="7" cm="1">
        <f t="array" ref="DL13">PRODUCT(1 + 預測IC!$C13:DL13) - 1</f>
        <v>0.51607108072655516</v>
      </c>
      <c r="DM13" s="7" cm="1">
        <f t="array" ref="DM13">PRODUCT(1 + 預測IC!$C13:DM13) - 1</f>
        <v>0.52616639952124622</v>
      </c>
      <c r="DN13" s="7" cm="1">
        <f t="array" ref="DN13">PRODUCT(1 + 預測IC!$C13:DN13) - 1</f>
        <v>0.55201238599454783</v>
      </c>
      <c r="DO13" s="7" cm="1">
        <f t="array" ref="DO13">PRODUCT(1 + 預測IC!$C13:DO13) - 1</f>
        <v>0.61077695278281841</v>
      </c>
      <c r="DP13" s="7" cm="1">
        <f t="array" ref="DP13">PRODUCT(1 + 預測IC!$C13:DP13) - 1</f>
        <v>0.53829657955549326</v>
      </c>
      <c r="DQ13" s="7" cm="1">
        <f t="array" ref="DQ13">PRODUCT(1 + 預測IC!$C13:DQ13) - 1</f>
        <v>0.59054707225728809</v>
      </c>
      <c r="DR13" s="7" cm="1">
        <f t="array" ref="DR13">PRODUCT(1 + 預測IC!$C13:DR13) - 1</f>
        <v>0.56642077923224177</v>
      </c>
      <c r="DS13" s="7" cm="1">
        <f t="array" ref="DS13">PRODUCT(1 + 預測IC!$C13:DS13) - 1</f>
        <v>0.45896924386640148</v>
      </c>
      <c r="DT13" s="7" cm="1">
        <f t="array" ref="DT13">PRODUCT(1 + 預測IC!$C13:DT13) - 1</f>
        <v>0.51065512751889641</v>
      </c>
      <c r="DU13" s="7" cm="1">
        <f t="array" ref="DU13">PRODUCT(1 + 預測IC!$C13:DU13) - 1</f>
        <v>0.48239807615936359</v>
      </c>
      <c r="DV13" s="7" cm="1">
        <f t="array" ref="DV13">PRODUCT(1 + 預測IC!$C13:DV13) - 1</f>
        <v>0.36436932783437492</v>
      </c>
      <c r="DW13" s="7" cm="1">
        <f t="array" ref="DW13">PRODUCT(1 + 預測IC!$C13:DW13) - 1</f>
        <v>0.42497159760803838</v>
      </c>
      <c r="DX13" s="7" cm="1">
        <f t="array" ref="DX13">PRODUCT(1 + 預測IC!$C13:DX13) - 1</f>
        <v>0.39187006377723721</v>
      </c>
      <c r="DY13" s="7" cm="1">
        <f t="array" ref="DY13">PRODUCT(1 + 預測IC!$C13:DY13) - 1</f>
        <v>0.3786408610452856</v>
      </c>
      <c r="DZ13" s="7" cm="1">
        <f t="array" ref="DZ13">PRODUCT(1 + 預測IC!$C13:DZ13) - 1</f>
        <v>0.3368883758748995</v>
      </c>
      <c r="EA13" s="7" cm="1">
        <f t="array" ref="EA13">PRODUCT(1 + 預測IC!$C13:EA13) - 1</f>
        <v>0.25384263843353971</v>
      </c>
      <c r="EB13" s="7" cm="1">
        <f t="array" ref="EB13">PRODUCT(1 + 預測IC!$C13:EB13) - 1</f>
        <v>0.25359035749713343</v>
      </c>
      <c r="EC13" s="7" cm="1">
        <f t="array" ref="EC13">PRODUCT(1 + 預測IC!$C13:EC13) - 1</f>
        <v>0.28115035664164889</v>
      </c>
      <c r="ED13" s="7" cm="1">
        <f t="array" ref="ED13">PRODUCT(1 + 預測IC!$C13:ED13) - 1</f>
        <v>0.36529899435814817</v>
      </c>
      <c r="EE13" s="7" cm="1">
        <f t="array" ref="EE13">PRODUCT(1 + 預測IC!$C13:EE13) - 1</f>
        <v>0.42159625736074391</v>
      </c>
      <c r="EF13" s="7" cm="1">
        <f t="array" ref="EF13">PRODUCT(1 + 預測IC!$C13:EF13) - 1</f>
        <v>0.32695033717441224</v>
      </c>
    </row>
    <row r="14" spans="1:137" x14ac:dyDescent="0.3">
      <c r="A14" s="1">
        <v>19</v>
      </c>
      <c r="B14" s="1" t="s">
        <v>152</v>
      </c>
      <c r="C14" s="7" cm="1">
        <f t="array" ref="C14">PRODUCT(1 + 預測IC!$C14:C14) - 1</f>
        <v>-3.7017512404591946E-2</v>
      </c>
      <c r="D14" s="7" cm="1">
        <f t="array" ref="D14">PRODUCT(1 + 預測IC!$C14:D14) - 1</f>
        <v>0.17706163038453582</v>
      </c>
      <c r="E14" s="7" cm="1">
        <f t="array" ref="E14">PRODUCT(1 + 預測IC!$C14:E14) - 1</f>
        <v>0.23300259465225537</v>
      </c>
      <c r="F14" s="7" cm="1">
        <f t="array" ref="F14">PRODUCT(1 + 預測IC!$C14:F14) - 1</f>
        <v>0.29274667844613367</v>
      </c>
      <c r="G14" s="7" cm="1">
        <f t="array" ref="G14">PRODUCT(1 + 預測IC!$C14:G14) - 1</f>
        <v>0.34577503924896447</v>
      </c>
      <c r="H14" s="7" cm="1">
        <f t="array" ref="H14">PRODUCT(1 + 預測IC!$C14:H14) - 1</f>
        <v>0.3354471252010367</v>
      </c>
      <c r="I14" s="7" cm="1">
        <f t="array" ref="I14">PRODUCT(1 + 預測IC!$C14:I14) - 1</f>
        <v>0.27697142140507802</v>
      </c>
      <c r="J14" s="7" cm="1">
        <f t="array" ref="J14">PRODUCT(1 + 預測IC!$C14:J14) - 1</f>
        <v>0.14276889293346806</v>
      </c>
      <c r="K14" s="7" cm="1">
        <f t="array" ref="K14">PRODUCT(1 + 預測IC!$C14:K14) - 1</f>
        <v>0.29610414163202492</v>
      </c>
      <c r="L14" s="7" cm="1">
        <f t="array" ref="L14">PRODUCT(1 + 預測IC!$C14:L14) - 1</f>
        <v>0.28982166928173103</v>
      </c>
      <c r="M14" s="7" cm="1">
        <f t="array" ref="M14">PRODUCT(1 + 預測IC!$C14:M14) - 1</f>
        <v>0.26528704977790496</v>
      </c>
      <c r="N14" s="7" cm="1">
        <f t="array" ref="N14">PRODUCT(1 + 預測IC!$C14:N14) - 1</f>
        <v>0.16057317819169348</v>
      </c>
      <c r="O14" s="7" cm="1">
        <f t="array" ref="O14">PRODUCT(1 + 預測IC!$C14:O14) - 1</f>
        <v>0.20658097765880745</v>
      </c>
      <c r="P14" s="7" cm="1">
        <f t="array" ref="P14">PRODUCT(1 + 預測IC!$C14:P14) - 1</f>
        <v>0.21447373175377038</v>
      </c>
      <c r="Q14" s="7" cm="1">
        <f t="array" ref="Q14">PRODUCT(1 + 預測IC!$C14:Q14) - 1</f>
        <v>0.36519462330044883</v>
      </c>
      <c r="R14" s="7" cm="1">
        <f t="array" ref="R14">PRODUCT(1 + 預測IC!$C14:R14) - 1</f>
        <v>0.3458746670741033</v>
      </c>
      <c r="S14" s="7" cm="1">
        <f t="array" ref="S14">PRODUCT(1 + 預測IC!$C14:S14) - 1</f>
        <v>0.3977367354446828</v>
      </c>
      <c r="T14" s="7" cm="1">
        <f t="array" ref="T14">PRODUCT(1 + 預測IC!$C14:T14) - 1</f>
        <v>0.3734710036439568</v>
      </c>
      <c r="U14" s="7" cm="1">
        <f t="array" ref="U14">PRODUCT(1 + 預測IC!$C14:U14) - 1</f>
        <v>0.51667824416768759</v>
      </c>
      <c r="V14" s="7" cm="1">
        <f t="array" ref="V14">PRODUCT(1 + 預測IC!$C14:V14) - 1</f>
        <v>0.43717199868572232</v>
      </c>
      <c r="W14" s="7" cm="1">
        <f t="array" ref="W14">PRODUCT(1 + 預測IC!$C14:W14) - 1</f>
        <v>0.36848235907999971</v>
      </c>
      <c r="X14" s="7" cm="1">
        <f t="array" ref="X14">PRODUCT(1 + 預測IC!$C14:X14) - 1</f>
        <v>0.44180798195102611</v>
      </c>
      <c r="Y14" s="7" cm="1">
        <f t="array" ref="Y14">PRODUCT(1 + 預測IC!$C14:Y14) - 1</f>
        <v>0.36223317000109434</v>
      </c>
      <c r="Z14" s="7" cm="1">
        <f t="array" ref="Z14">PRODUCT(1 + 預測IC!$C14:Z14) - 1</f>
        <v>0.39118362327974898</v>
      </c>
      <c r="AA14" s="7" cm="1">
        <f t="array" ref="AA14">PRODUCT(1 + 預測IC!$C14:AA14) - 1</f>
        <v>0.3875284277523483</v>
      </c>
      <c r="AB14" s="7" cm="1">
        <f t="array" ref="AB14">PRODUCT(1 + 預測IC!$C14:AB14) - 1</f>
        <v>0.28348750468535688</v>
      </c>
      <c r="AC14" s="7" cm="1">
        <f t="array" ref="AC14">PRODUCT(1 + 預測IC!$C14:AC14) - 1</f>
        <v>0.26613825907859989</v>
      </c>
      <c r="AD14" s="7" cm="1">
        <f t="array" ref="AD14">PRODUCT(1 + 預測IC!$C14:AD14) - 1</f>
        <v>0.21634371012788467</v>
      </c>
      <c r="AE14" s="7" cm="1">
        <f t="array" ref="AE14">PRODUCT(1 + 預測IC!$C14:AE14) - 1</f>
        <v>0.2114553380922839</v>
      </c>
      <c r="AF14" s="7" cm="1">
        <f t="array" ref="AF14">PRODUCT(1 + 預測IC!$C14:AF14) - 1</f>
        <v>9.5058593566928806E-2</v>
      </c>
      <c r="AG14" s="7" cm="1">
        <f t="array" ref="AG14">PRODUCT(1 + 預測IC!$C14:AG14) - 1</f>
        <v>0.12279565573766504</v>
      </c>
      <c r="AH14" s="7" cm="1">
        <f t="array" ref="AH14">PRODUCT(1 + 預測IC!$C14:AH14) - 1</f>
        <v>5.1598756844763338E-2</v>
      </c>
      <c r="AI14" s="7" cm="1">
        <f t="array" ref="AI14">PRODUCT(1 + 預測IC!$C14:AI14) - 1</f>
        <v>1.4306284606554476E-2</v>
      </c>
      <c r="AJ14" s="7" cm="1">
        <f t="array" ref="AJ14">PRODUCT(1 + 預測IC!$C14:AJ14) - 1</f>
        <v>-8.3366315445207118E-2</v>
      </c>
      <c r="AK14" s="7" cm="1">
        <f t="array" ref="AK14">PRODUCT(1 + 預測IC!$C14:AK14) - 1</f>
        <v>-0.15438282091549094</v>
      </c>
      <c r="AL14" s="7" cm="1">
        <f t="array" ref="AL14">PRODUCT(1 + 預測IC!$C14:AL14) - 1</f>
        <v>-0.19770394372098388</v>
      </c>
      <c r="AM14" s="7" cm="1">
        <f t="array" ref="AM14">PRODUCT(1 + 預測IC!$C14:AM14) - 1</f>
        <v>-0.23177252787393909</v>
      </c>
      <c r="AN14" s="7" cm="1">
        <f t="array" ref="AN14">PRODUCT(1 + 預測IC!$C14:AN14) - 1</f>
        <v>-0.31652621117881519</v>
      </c>
      <c r="AO14" s="7" cm="1">
        <f t="array" ref="AO14">PRODUCT(1 + 預測IC!$C14:AO14) - 1</f>
        <v>-0.35815366445408603</v>
      </c>
      <c r="AP14" s="7" cm="1">
        <f t="array" ref="AP14">PRODUCT(1 + 預測IC!$C14:AP14) - 1</f>
        <v>-0.31323948821098424</v>
      </c>
      <c r="AQ14" s="7" cm="1">
        <f t="array" ref="AQ14">PRODUCT(1 + 預測IC!$C14:AQ14) - 1</f>
        <v>-0.31298678249907841</v>
      </c>
      <c r="AR14" s="7" cm="1">
        <f t="array" ref="AR14">PRODUCT(1 + 預測IC!$C14:AR14) - 1</f>
        <v>-0.32547037808592261</v>
      </c>
      <c r="AS14" s="7" cm="1">
        <f t="array" ref="AS14">PRODUCT(1 + 預測IC!$C14:AS14) - 1</f>
        <v>-0.32097171178350836</v>
      </c>
      <c r="AT14" s="7" cm="1">
        <f t="array" ref="AT14">PRODUCT(1 + 預測IC!$C14:AT14) - 1</f>
        <v>-0.29754076804769869</v>
      </c>
      <c r="AU14" s="7" cm="1">
        <f t="array" ref="AU14">PRODUCT(1 + 預測IC!$C14:AU14) - 1</f>
        <v>-0.26944826500433183</v>
      </c>
      <c r="AV14" s="7" cm="1">
        <f t="array" ref="AV14">PRODUCT(1 + 預測IC!$C14:AV14) - 1</f>
        <v>-0.28309707937258621</v>
      </c>
      <c r="AW14" s="7" cm="1">
        <f t="array" ref="AW14">PRODUCT(1 + 預測IC!$C14:AW14) - 1</f>
        <v>-0.29626151860048833</v>
      </c>
      <c r="AX14" s="7" cm="1">
        <f t="array" ref="AX14">PRODUCT(1 + 預測IC!$C14:AX14) - 1</f>
        <v>-0.3098930831457406</v>
      </c>
      <c r="AY14" s="7" cm="1">
        <f t="array" ref="AY14">PRODUCT(1 + 預測IC!$C14:AY14) - 1</f>
        <v>-0.30872640783586425</v>
      </c>
      <c r="AZ14" s="7" cm="1">
        <f t="array" ref="AZ14">PRODUCT(1 + 預測IC!$C14:AZ14) - 1</f>
        <v>-0.34560486488431741</v>
      </c>
      <c r="BA14" s="7" cm="1">
        <f t="array" ref="BA14">PRODUCT(1 + 預測IC!$C14:BA14) - 1</f>
        <v>-0.33407334576743175</v>
      </c>
      <c r="BB14" s="7" cm="1">
        <f t="array" ref="BB14">PRODUCT(1 + 預測IC!$C14:BB14) - 1</f>
        <v>-0.26621652496726511</v>
      </c>
      <c r="BC14" s="7" cm="1">
        <f t="array" ref="BC14">PRODUCT(1 + 預測IC!$C14:BC14) - 1</f>
        <v>-0.28713352446356932</v>
      </c>
      <c r="BD14" s="7" cm="1">
        <f t="array" ref="BD14">PRODUCT(1 + 預測IC!$C14:BD14) - 1</f>
        <v>-0.25624660145351408</v>
      </c>
      <c r="BE14" s="7" cm="1">
        <f t="array" ref="BE14">PRODUCT(1 + 預測IC!$C14:BE14) - 1</f>
        <v>-0.27418371592317037</v>
      </c>
      <c r="BF14" s="7" cm="1">
        <f t="array" ref="BF14">PRODUCT(1 + 預測IC!$C14:BF14) - 1</f>
        <v>-0.27798908933794653</v>
      </c>
      <c r="BG14" s="7" cm="1">
        <f t="array" ref="BG14">PRODUCT(1 + 預測IC!$C14:BG14) - 1</f>
        <v>-0.27041042390837944</v>
      </c>
      <c r="BH14" s="7" cm="1">
        <f t="array" ref="BH14">PRODUCT(1 + 預測IC!$C14:BH14) - 1</f>
        <v>-0.33880950812739208</v>
      </c>
      <c r="BI14" s="7" cm="1">
        <f t="array" ref="BI14">PRODUCT(1 + 預測IC!$C14:BI14) - 1</f>
        <v>-0.30562752253135694</v>
      </c>
      <c r="BJ14" s="7" cm="1">
        <f t="array" ref="BJ14">PRODUCT(1 + 預測IC!$C14:BJ14) - 1</f>
        <v>-0.31952693172399516</v>
      </c>
      <c r="BK14" s="7" cm="1">
        <f t="array" ref="BK14">PRODUCT(1 + 預測IC!$C14:BK14) - 1</f>
        <v>-0.29690978842773874</v>
      </c>
      <c r="BL14" s="7" cm="1">
        <f t="array" ref="BL14">PRODUCT(1 + 預測IC!$C14:BL14) - 1</f>
        <v>-0.28947683506549293</v>
      </c>
      <c r="BM14" s="7" cm="1">
        <f t="array" ref="BM14">PRODUCT(1 + 預測IC!$C14:BM14) - 1</f>
        <v>-0.3046643008704415</v>
      </c>
      <c r="BN14" s="7" cm="1">
        <f t="array" ref="BN14">PRODUCT(1 + 預測IC!$C14:BN14) - 1</f>
        <v>-0.27227789741501807</v>
      </c>
      <c r="BO14" s="7" cm="1">
        <f t="array" ref="BO14">PRODUCT(1 + 預測IC!$C14:BO14) - 1</f>
        <v>-0.26143223358856416</v>
      </c>
      <c r="BP14" s="7" cm="1">
        <f t="array" ref="BP14">PRODUCT(1 + 預測IC!$C14:BP14) - 1</f>
        <v>-0.24985611925134121</v>
      </c>
      <c r="BQ14" s="7" cm="1">
        <f t="array" ref="BQ14">PRODUCT(1 + 預測IC!$C14:BQ14) - 1</f>
        <v>-0.23797119677080236</v>
      </c>
      <c r="BR14" s="7" cm="1">
        <f t="array" ref="BR14">PRODUCT(1 + 預測IC!$C14:BR14) - 1</f>
        <v>-0.16172836855448436</v>
      </c>
      <c r="BS14" s="7" cm="1">
        <f t="array" ref="BS14">PRODUCT(1 + 預測IC!$C14:BS14) - 1</f>
        <v>-0.19651157402865671</v>
      </c>
      <c r="BT14" s="7" cm="1">
        <f t="array" ref="BT14">PRODUCT(1 + 預測IC!$C14:BT14) - 1</f>
        <v>-0.18422790090121233</v>
      </c>
      <c r="BU14" s="7" cm="1">
        <f t="array" ref="BU14">PRODUCT(1 + 預測IC!$C14:BU14) - 1</f>
        <v>-0.19145142852840735</v>
      </c>
      <c r="BV14" s="7" cm="1">
        <f t="array" ref="BV14">PRODUCT(1 + 預測IC!$C14:BV14) - 1</f>
        <v>-0.1706497522610354</v>
      </c>
      <c r="BW14" s="7" cm="1">
        <f t="array" ref="BW14">PRODUCT(1 + 預測IC!$C14:BW14) - 1</f>
        <v>-0.16027628227489421</v>
      </c>
      <c r="BX14" s="7" cm="1">
        <f t="array" ref="BX14">PRODUCT(1 + 預測IC!$C14:BX14) - 1</f>
        <v>-0.11411603121911273</v>
      </c>
      <c r="BY14" s="7" cm="1">
        <f t="array" ref="BY14">PRODUCT(1 + 預測IC!$C14:BY14) - 1</f>
        <v>-0.18534089730115999</v>
      </c>
      <c r="BZ14" s="7" cm="1">
        <f t="array" ref="BZ14">PRODUCT(1 + 預測IC!$C14:BZ14) - 1</f>
        <v>-0.1364336064336531</v>
      </c>
      <c r="CA14" s="7" cm="1">
        <f t="array" ref="CA14">PRODUCT(1 + 預測IC!$C14:CA14) - 1</f>
        <v>-0.1075428560877375</v>
      </c>
      <c r="CB14" s="7" cm="1">
        <f t="array" ref="CB14">PRODUCT(1 + 預測IC!$C14:CB14) - 1</f>
        <v>3.9235555494109731E-2</v>
      </c>
      <c r="CC14" s="7" cm="1">
        <f t="array" ref="CC14">PRODUCT(1 + 預測IC!$C14:CC14) - 1</f>
        <v>0.16456337135599464</v>
      </c>
      <c r="CD14" s="7" cm="1">
        <f t="array" ref="CD14">PRODUCT(1 + 預測IC!$C14:CD14) - 1</f>
        <v>0.22037139197073974</v>
      </c>
      <c r="CE14" s="7" cm="1">
        <f t="array" ref="CE14">PRODUCT(1 + 預測IC!$C14:CE14) - 1</f>
        <v>0.42851220387668265</v>
      </c>
      <c r="CF14" s="7" cm="1">
        <f t="array" ref="CF14">PRODUCT(1 + 預測IC!$C14:CF14) - 1</f>
        <v>0.36726130031346749</v>
      </c>
      <c r="CG14" s="7" cm="1">
        <f t="array" ref="CG14">PRODUCT(1 + 預測IC!$C14:CG14) - 1</f>
        <v>0.55721036869761464</v>
      </c>
      <c r="CH14" s="7" cm="1">
        <f t="array" ref="CH14">PRODUCT(1 + 預測IC!$C14:CH14) - 1</f>
        <v>0.65790175920767813</v>
      </c>
      <c r="CI14" s="7" cm="1">
        <f t="array" ref="CI14">PRODUCT(1 + 預測IC!$C14:CI14) - 1</f>
        <v>0.65155306293535098</v>
      </c>
      <c r="CJ14" s="7" cm="1">
        <f t="array" ref="CJ14">PRODUCT(1 + 預測IC!$C14:CJ14) - 1</f>
        <v>0.69889954657618891</v>
      </c>
      <c r="CK14" s="7" cm="1">
        <f t="array" ref="CK14">PRODUCT(1 + 預測IC!$C14:CK14) - 1</f>
        <v>0.72271194168410435</v>
      </c>
      <c r="CL14" s="7" cm="1">
        <f t="array" ref="CL14">PRODUCT(1 + 預測IC!$C14:CL14) - 1</f>
        <v>0.82998513656200656</v>
      </c>
      <c r="CM14" s="7" cm="1">
        <f t="array" ref="CM14">PRODUCT(1 + 預測IC!$C14:CM14) - 1</f>
        <v>0.82065750673626092</v>
      </c>
      <c r="CN14" s="7" cm="1">
        <f t="array" ref="CN14">PRODUCT(1 + 預測IC!$C14:CN14) - 1</f>
        <v>0.50277858097722916</v>
      </c>
      <c r="CO14" s="7" cm="1">
        <f t="array" ref="CO14">PRODUCT(1 + 預測IC!$C14:CO14) - 1</f>
        <v>0.62114307053638518</v>
      </c>
      <c r="CP14" s="7" cm="1">
        <f t="array" ref="CP14">PRODUCT(1 + 預測IC!$C14:CP14) - 1</f>
        <v>0.45933786442987246</v>
      </c>
      <c r="CQ14" s="7" cm="1">
        <f t="array" ref="CQ14">PRODUCT(1 + 預測IC!$C14:CQ14) - 1</f>
        <v>0.3816841207277315</v>
      </c>
      <c r="CR14" s="7" cm="1">
        <f t="array" ref="CR14">PRODUCT(1 + 預測IC!$C14:CR14) - 1</f>
        <v>0.30443535306837655</v>
      </c>
      <c r="CS14" s="7" cm="1">
        <f t="array" ref="CS14">PRODUCT(1 + 預測IC!$C14:CS14) - 1</f>
        <v>0.29945747991177307</v>
      </c>
      <c r="CT14" s="7" cm="1">
        <f t="array" ref="CT14">PRODUCT(1 + 預測IC!$C14:CT14) - 1</f>
        <v>0.27463709284235827</v>
      </c>
      <c r="CU14" s="7" cm="1">
        <f t="array" ref="CU14">PRODUCT(1 + 預測IC!$C14:CU14) - 1</f>
        <v>0.33061546095039529</v>
      </c>
      <c r="CV14" s="7" cm="1">
        <f t="array" ref="CV14">PRODUCT(1 + 預測IC!$C14:CV14) - 1</f>
        <v>0.30034966071705926</v>
      </c>
      <c r="CW14" s="7" cm="1">
        <f t="array" ref="CW14">PRODUCT(1 + 預測IC!$C14:CW14) - 1</f>
        <v>0.30476874620042027</v>
      </c>
      <c r="CX14" s="7" cm="1">
        <f t="array" ref="CX14">PRODUCT(1 + 預測IC!$C14:CX14) - 1</f>
        <v>0.33640189434017165</v>
      </c>
      <c r="CY14" s="7" cm="1">
        <f t="array" ref="CY14">PRODUCT(1 + 預測IC!$C14:CY14) - 1</f>
        <v>0.37483563717725477</v>
      </c>
      <c r="CZ14" s="7" cm="1">
        <f t="array" ref="CZ14">PRODUCT(1 + 預測IC!$C14:CZ14) - 1</f>
        <v>0.28675876723858518</v>
      </c>
      <c r="DA14" s="7" cm="1">
        <f t="array" ref="DA14">PRODUCT(1 + 預測IC!$C14:DA14) - 1</f>
        <v>0.31803252441033658</v>
      </c>
      <c r="DB14" s="7" cm="1">
        <f t="array" ref="DB14">PRODUCT(1 + 預測IC!$C14:DB14) - 1</f>
        <v>0.34908678518238445</v>
      </c>
      <c r="DC14" s="7" cm="1">
        <f t="array" ref="DC14">PRODUCT(1 + 預測IC!$C14:DC14) - 1</f>
        <v>0.29107802041478648</v>
      </c>
      <c r="DD14" s="7" cm="1">
        <f t="array" ref="DD14">PRODUCT(1 + 預測IC!$C14:DD14) - 1</f>
        <v>0.31271461570580228</v>
      </c>
      <c r="DE14" s="7" cm="1">
        <f t="array" ref="DE14">PRODUCT(1 + 預測IC!$C14:DE14) - 1</f>
        <v>0.2306346086873976</v>
      </c>
      <c r="DF14" s="7" cm="1">
        <f t="array" ref="DF14">PRODUCT(1 + 預測IC!$C14:DF14) - 1</f>
        <v>-1.7415597386132631E-2</v>
      </c>
      <c r="DG14" s="7" cm="1">
        <f t="array" ref="DG14">PRODUCT(1 + 預測IC!$C14:DG14) - 1</f>
        <v>-2.8662805161846272E-2</v>
      </c>
      <c r="DH14" s="7" cm="1">
        <f t="array" ref="DH14">PRODUCT(1 + 預測IC!$C14:DH14) - 1</f>
        <v>-3.3300782175184729E-2</v>
      </c>
      <c r="DI14" s="7" cm="1">
        <f t="array" ref="DI14">PRODUCT(1 + 預測IC!$C14:DI14) - 1</f>
        <v>-7.2605935824825663E-2</v>
      </c>
      <c r="DJ14" s="7" cm="1">
        <f t="array" ref="DJ14">PRODUCT(1 + 預測IC!$C14:DJ14) - 1</f>
        <v>-8.7349268106668321E-2</v>
      </c>
      <c r="DK14" s="7" cm="1">
        <f t="array" ref="DK14">PRODUCT(1 + 預測IC!$C14:DK14) - 1</f>
        <v>-0.10475448781898089</v>
      </c>
      <c r="DL14" s="7" cm="1">
        <f t="array" ref="DL14">PRODUCT(1 + 預測IC!$C14:DL14) - 1</f>
        <v>-6.826887171196061E-2</v>
      </c>
      <c r="DM14" s="7" cm="1">
        <f t="array" ref="DM14">PRODUCT(1 + 預測IC!$C14:DM14) - 1</f>
        <v>-7.3397370564988629E-2</v>
      </c>
      <c r="DN14" s="7" cm="1">
        <f t="array" ref="DN14">PRODUCT(1 + 預測IC!$C14:DN14) - 1</f>
        <v>-4.5322392006432399E-2</v>
      </c>
      <c r="DO14" s="7" cm="1">
        <f t="array" ref="DO14">PRODUCT(1 + 預測IC!$C14:DO14) - 1</f>
        <v>5.2620073933682843E-2</v>
      </c>
      <c r="DP14" s="7" cm="1">
        <f t="array" ref="DP14">PRODUCT(1 + 預測IC!$C14:DP14) - 1</f>
        <v>4.881184369221625E-2</v>
      </c>
      <c r="DQ14" s="7" cm="1">
        <f t="array" ref="DQ14">PRODUCT(1 + 預測IC!$C14:DQ14) - 1</f>
        <v>0.10756553430971416</v>
      </c>
      <c r="DR14" s="7" cm="1">
        <f t="array" ref="DR14">PRODUCT(1 + 預測IC!$C14:DR14) - 1</f>
        <v>9.8932701354099262E-2</v>
      </c>
      <c r="DS14" s="7" cm="1">
        <f t="array" ref="DS14">PRODUCT(1 + 預測IC!$C14:DS14) - 1</f>
        <v>3.7335523464189224E-2</v>
      </c>
      <c r="DT14" s="7" cm="1">
        <f t="array" ref="DT14">PRODUCT(1 + 預測IC!$C14:DT14) - 1</f>
        <v>8.3514540827236416E-2</v>
      </c>
      <c r="DU14" s="7" cm="1">
        <f t="array" ref="DU14">PRODUCT(1 + 預測IC!$C14:DU14) - 1</f>
        <v>0.13218054075641161</v>
      </c>
      <c r="DV14" s="7" cm="1">
        <f t="array" ref="DV14">PRODUCT(1 + 預測IC!$C14:DV14) - 1</f>
        <v>9.6080096609523213E-3</v>
      </c>
      <c r="DW14" s="7" cm="1">
        <f t="array" ref="DW14">PRODUCT(1 + 預測IC!$C14:DW14) - 1</f>
        <v>0.10889727030713714</v>
      </c>
      <c r="DX14" s="7" cm="1">
        <f t="array" ref="DX14">PRODUCT(1 + 預測IC!$C14:DX14) - 1</f>
        <v>7.8192240488560438E-2</v>
      </c>
      <c r="DY14" s="7" cm="1">
        <f t="array" ref="DY14">PRODUCT(1 + 預測IC!$C14:DY14) - 1</f>
        <v>2.680453455988685E-2</v>
      </c>
      <c r="DZ14" s="7" cm="1">
        <f t="array" ref="DZ14">PRODUCT(1 + 預測IC!$C14:DZ14) - 1</f>
        <v>4.5253515226881813E-3</v>
      </c>
      <c r="EA14" s="7" cm="1">
        <f t="array" ref="EA14">PRODUCT(1 + 預測IC!$C14:EA14) - 1</f>
        <v>-0.10348672228395128</v>
      </c>
      <c r="EB14" s="7" cm="1">
        <f t="array" ref="EB14">PRODUCT(1 + 預測IC!$C14:EB14) - 1</f>
        <v>-8.0975703652592212E-2</v>
      </c>
      <c r="EC14" s="7" cm="1">
        <f t="array" ref="EC14">PRODUCT(1 + 預測IC!$C14:EC14) - 1</f>
        <v>-4.1218696482743789E-2</v>
      </c>
      <c r="ED14" s="7" cm="1">
        <f t="array" ref="ED14">PRODUCT(1 + 預測IC!$C14:ED14) - 1</f>
        <v>5.7180749870385572E-2</v>
      </c>
      <c r="EE14" s="7" cm="1">
        <f t="array" ref="EE14">PRODUCT(1 + 預測IC!$C14:EE14) - 1</f>
        <v>5.3587124487150195E-2</v>
      </c>
      <c r="EF14" s="7" cm="1">
        <f t="array" ref="EF14">PRODUCT(1 + 預測IC!$C14:EF14) - 1</f>
        <v>-2.0118059425339618E-2</v>
      </c>
    </row>
    <row r="15" spans="1:137" x14ac:dyDescent="0.3">
      <c r="A15" s="1">
        <v>10</v>
      </c>
      <c r="B15" s="1" t="s">
        <v>153</v>
      </c>
      <c r="C15" s="7" cm="1">
        <f t="array" ref="C15">PRODUCT(1 + 預測IC!$C15:C15) - 1</f>
        <v>-9.650314199451604E-2</v>
      </c>
      <c r="D15" s="7" cm="1">
        <f t="array" ref="D15">PRODUCT(1 + 預測IC!$C15:D15) - 1</f>
        <v>0.24023846325874021</v>
      </c>
      <c r="E15" s="7" cm="1">
        <f t="array" ref="E15">PRODUCT(1 + 預測IC!$C15:E15) - 1</f>
        <v>0.25288694378608678</v>
      </c>
      <c r="F15" s="7" cm="1">
        <f t="array" ref="F15">PRODUCT(1 + 預測IC!$C15:F15) - 1</f>
        <v>0.38890322374083097</v>
      </c>
      <c r="G15" s="7" cm="1">
        <f t="array" ref="G15">PRODUCT(1 + 預測IC!$C15:G15) - 1</f>
        <v>0.47312204945046776</v>
      </c>
      <c r="H15" s="7" cm="1">
        <f t="array" ref="H15">PRODUCT(1 + 預測IC!$C15:H15) - 1</f>
        <v>0.39923345222175777</v>
      </c>
      <c r="I15" s="7" cm="1">
        <f t="array" ref="I15">PRODUCT(1 + 預測IC!$C15:I15) - 1</f>
        <v>0.31747422072373821</v>
      </c>
      <c r="J15" s="7" cm="1">
        <f t="array" ref="J15">PRODUCT(1 + 預測IC!$C15:J15) - 1</f>
        <v>0.23246460490394738</v>
      </c>
      <c r="K15" s="7" cm="1">
        <f t="array" ref="K15">PRODUCT(1 + 預測IC!$C15:K15) - 1</f>
        <v>0.58568233954464732</v>
      </c>
      <c r="L15" s="7" cm="1">
        <f t="array" ref="L15">PRODUCT(1 + 預測IC!$C15:L15) - 1</f>
        <v>0.53405489291492625</v>
      </c>
      <c r="M15" s="7" cm="1">
        <f t="array" ref="M15">PRODUCT(1 + 預測IC!$C15:M15) - 1</f>
        <v>0.53078272861417108</v>
      </c>
      <c r="N15" s="7" cm="1">
        <f t="array" ref="N15">PRODUCT(1 + 預測IC!$C15:N15) - 1</f>
        <v>0.34575984578506613</v>
      </c>
      <c r="O15" s="7" cm="1">
        <f t="array" ref="O15">PRODUCT(1 + 預測IC!$C15:O15) - 1</f>
        <v>0.407804075755545</v>
      </c>
      <c r="P15" s="7" cm="1">
        <f t="array" ref="P15">PRODUCT(1 + 預測IC!$C15:P15) - 1</f>
        <v>0.43863015602871736</v>
      </c>
      <c r="Q15" s="7" cm="1">
        <f t="array" ref="Q15">PRODUCT(1 + 預測IC!$C15:Q15) - 1</f>
        <v>0.66239014745849367</v>
      </c>
      <c r="R15" s="7" cm="1">
        <f t="array" ref="R15">PRODUCT(1 + 預測IC!$C15:R15) - 1</f>
        <v>0.69024421966438587</v>
      </c>
      <c r="S15" s="7" cm="1">
        <f t="array" ref="S15">PRODUCT(1 + 預測IC!$C15:S15) - 1</f>
        <v>0.61750636185459262</v>
      </c>
      <c r="T15" s="7" cm="1">
        <f t="array" ref="T15">PRODUCT(1 + 預測IC!$C15:T15) - 1</f>
        <v>0.53770074494074827</v>
      </c>
      <c r="U15" s="7" cm="1">
        <f t="array" ref="U15">PRODUCT(1 + 預測IC!$C15:U15) - 1</f>
        <v>0.74831663539959781</v>
      </c>
      <c r="V15" s="7" cm="1">
        <f t="array" ref="V15">PRODUCT(1 + 預測IC!$C15:V15) - 1</f>
        <v>0.55577975822464043</v>
      </c>
      <c r="W15" s="7" cm="1">
        <f t="array" ref="W15">PRODUCT(1 + 預測IC!$C15:W15) - 1</f>
        <v>0.47694618206387074</v>
      </c>
      <c r="X15" s="7" cm="1">
        <f t="array" ref="X15">PRODUCT(1 + 預測IC!$C15:X15) - 1</f>
        <v>0.59279254196016806</v>
      </c>
      <c r="Y15" s="7" cm="1">
        <f t="array" ref="Y15">PRODUCT(1 + 預測IC!$C15:Y15) - 1</f>
        <v>0.50992146044760034</v>
      </c>
      <c r="Z15" s="7" cm="1">
        <f t="array" ref="Z15">PRODUCT(1 + 預測IC!$C15:Z15) - 1</f>
        <v>0.47420212619677238</v>
      </c>
      <c r="AA15" s="7" cm="1">
        <f t="array" ref="AA15">PRODUCT(1 + 預測IC!$C15:AA15) - 1</f>
        <v>0.54287948913944262</v>
      </c>
      <c r="AB15" s="7" cm="1">
        <f t="array" ref="AB15">PRODUCT(1 + 預測IC!$C15:AB15) - 1</f>
        <v>0.42871265285227467</v>
      </c>
      <c r="AC15" s="7" cm="1">
        <f t="array" ref="AC15">PRODUCT(1 + 預測IC!$C15:AC15) - 1</f>
        <v>0.45225921780514389</v>
      </c>
      <c r="AD15" s="7" cm="1">
        <f t="array" ref="AD15">PRODUCT(1 + 預測IC!$C15:AD15) - 1</f>
        <v>0.39461835072830853</v>
      </c>
      <c r="AE15" s="7" cm="1">
        <f t="array" ref="AE15">PRODUCT(1 + 預測IC!$C15:AE15) - 1</f>
        <v>0.46056493824184486</v>
      </c>
      <c r="AF15" s="7" cm="1">
        <f t="array" ref="AF15">PRODUCT(1 + 預測IC!$C15:AF15) - 1</f>
        <v>0.25940675211593556</v>
      </c>
      <c r="AG15" s="7" cm="1">
        <f t="array" ref="AG15">PRODUCT(1 + 預測IC!$C15:AG15) - 1</f>
        <v>0.31522938238486353</v>
      </c>
      <c r="AH15" s="7" cm="1">
        <f t="array" ref="AH15">PRODUCT(1 + 預測IC!$C15:AH15) - 1</f>
        <v>0.33430111189461287</v>
      </c>
      <c r="AI15" s="7" cm="1">
        <f t="array" ref="AI15">PRODUCT(1 + 預測IC!$C15:AI15) - 1</f>
        <v>0.30114472047292162</v>
      </c>
      <c r="AJ15" s="7" cm="1">
        <f t="array" ref="AJ15">PRODUCT(1 + 預測IC!$C15:AJ15) - 1</f>
        <v>0.29570016544289723</v>
      </c>
      <c r="AK15" s="7" cm="1">
        <f t="array" ref="AK15">PRODUCT(1 + 預測IC!$C15:AK15) - 1</f>
        <v>0.20582852165817167</v>
      </c>
      <c r="AL15" s="7" cm="1">
        <f t="array" ref="AL15">PRODUCT(1 + 預測IC!$C15:AL15) - 1</f>
        <v>0.16680770112834198</v>
      </c>
      <c r="AM15" s="7" cm="1">
        <f t="array" ref="AM15">PRODUCT(1 + 預測IC!$C15:AM15) - 1</f>
        <v>8.6728280158441029E-2</v>
      </c>
      <c r="AN15" s="7" cm="1">
        <f t="array" ref="AN15">PRODUCT(1 + 預測IC!$C15:AN15) - 1</f>
        <v>2.0725912177139705E-2</v>
      </c>
      <c r="AO15" s="7" cm="1">
        <f t="array" ref="AO15">PRODUCT(1 + 預測IC!$C15:AO15) - 1</f>
        <v>-4.395729745412702E-2</v>
      </c>
      <c r="AP15" s="7" cm="1">
        <f t="array" ref="AP15">PRODUCT(1 + 預測IC!$C15:AP15) - 1</f>
        <v>3.0887168905780804E-2</v>
      </c>
      <c r="AQ15" s="7" cm="1">
        <f t="array" ref="AQ15">PRODUCT(1 + 預測IC!$C15:AQ15) - 1</f>
        <v>6.9408460458778132E-2</v>
      </c>
      <c r="AR15" s="7" cm="1">
        <f t="array" ref="AR15">PRODUCT(1 + 預測IC!$C15:AR15) - 1</f>
        <v>4.3153606162240843E-2</v>
      </c>
      <c r="AS15" s="7" cm="1">
        <f t="array" ref="AS15">PRODUCT(1 + 預測IC!$C15:AS15) - 1</f>
        <v>9.3989841757674997E-2</v>
      </c>
      <c r="AT15" s="7" cm="1">
        <f t="array" ref="AT15">PRODUCT(1 + 預測IC!$C15:AT15) - 1</f>
        <v>0.16537813865542383</v>
      </c>
      <c r="AU15" s="7" cm="1">
        <f t="array" ref="AU15">PRODUCT(1 + 預測IC!$C15:AU15) - 1</f>
        <v>0.21192714191569362</v>
      </c>
      <c r="AV15" s="7" cm="1">
        <f t="array" ref="AV15">PRODUCT(1 + 預測IC!$C15:AV15) - 1</f>
        <v>0.15469167895834879</v>
      </c>
      <c r="AW15" s="7" cm="1">
        <f t="array" ref="AW15">PRODUCT(1 + 預測IC!$C15:AW15) - 1</f>
        <v>0.17277408050860643</v>
      </c>
      <c r="AX15" s="7" cm="1">
        <f t="array" ref="AX15">PRODUCT(1 + 預測IC!$C15:AX15) - 1</f>
        <v>7.735651758134332E-2</v>
      </c>
      <c r="AY15" s="7" cm="1">
        <f t="array" ref="AY15">PRODUCT(1 + 預測IC!$C15:AY15) - 1</f>
        <v>0.10860595367547199</v>
      </c>
      <c r="AZ15" s="7" cm="1">
        <f t="array" ref="AZ15">PRODUCT(1 + 預測IC!$C15:AZ15) - 1</f>
        <v>7.3644216823562925E-3</v>
      </c>
      <c r="BA15" s="7" cm="1">
        <f t="array" ref="BA15">PRODUCT(1 + 預測IC!$C15:BA15) - 1</f>
        <v>1.8056098888584726E-2</v>
      </c>
      <c r="BB15" s="7" cm="1">
        <f t="array" ref="BB15">PRODUCT(1 + 預測IC!$C15:BB15) - 1</f>
        <v>0.1288095054489875</v>
      </c>
      <c r="BC15" s="7" cm="1">
        <f t="array" ref="BC15">PRODUCT(1 + 預測IC!$C15:BC15) - 1</f>
        <v>9.38878738785347E-2</v>
      </c>
      <c r="BD15" s="7" cm="1">
        <f t="array" ref="BD15">PRODUCT(1 + 預測IC!$C15:BD15) - 1</f>
        <v>0.15191126799380883</v>
      </c>
      <c r="BE15" s="7" cm="1">
        <f t="array" ref="BE15">PRODUCT(1 + 預測IC!$C15:BE15) - 1</f>
        <v>9.8673253622611146E-2</v>
      </c>
      <c r="BF15" s="7" cm="1">
        <f t="array" ref="BF15">PRODUCT(1 + 預測IC!$C15:BF15) - 1</f>
        <v>3.6073022366834184E-2</v>
      </c>
      <c r="BG15" s="7" cm="1">
        <f t="array" ref="BG15">PRODUCT(1 + 預測IC!$C15:BG15) - 1</f>
        <v>5.0346120150850382E-2</v>
      </c>
      <c r="BH15" s="7" cm="1">
        <f t="array" ref="BH15">PRODUCT(1 + 預測IC!$C15:BH15) - 1</f>
        <v>-7.1175032803871829E-3</v>
      </c>
      <c r="BI15" s="7" cm="1">
        <f t="array" ref="BI15">PRODUCT(1 + 預測IC!$C15:BI15) - 1</f>
        <v>6.0980990063340679E-2</v>
      </c>
      <c r="BJ15" s="7" cm="1">
        <f t="array" ref="BJ15">PRODUCT(1 + 預測IC!$C15:BJ15) - 1</f>
        <v>4.9029010471012713E-2</v>
      </c>
      <c r="BK15" s="7" cm="1">
        <f t="array" ref="BK15">PRODUCT(1 + 預測IC!$C15:BK15) - 1</f>
        <v>0.12547114485501276</v>
      </c>
      <c r="BL15" s="7" cm="1">
        <f t="array" ref="BL15">PRODUCT(1 + 預測IC!$C15:BL15) - 1</f>
        <v>0.1255588206370728</v>
      </c>
      <c r="BM15" s="7" cm="1">
        <f t="array" ref="BM15">PRODUCT(1 + 預測IC!$C15:BM15) - 1</f>
        <v>5.510064546822524E-2</v>
      </c>
      <c r="BN15" s="7" cm="1">
        <f t="array" ref="BN15">PRODUCT(1 + 預測IC!$C15:BN15) - 1</f>
        <v>0.12479430067051744</v>
      </c>
      <c r="BO15" s="7" cm="1">
        <f t="array" ref="BO15">PRODUCT(1 + 預測IC!$C15:BO15) - 1</f>
        <v>0.14345401220003628</v>
      </c>
      <c r="BP15" s="7" cm="1">
        <f t="array" ref="BP15">PRODUCT(1 + 預測IC!$C15:BP15) - 1</f>
        <v>0.15967301627830643</v>
      </c>
      <c r="BQ15" s="7" cm="1">
        <f t="array" ref="BQ15">PRODUCT(1 + 預測IC!$C15:BQ15) - 1</f>
        <v>0.17452023022496466</v>
      </c>
      <c r="BR15" s="7" cm="1">
        <f t="array" ref="BR15">PRODUCT(1 + 預測IC!$C15:BR15) - 1</f>
        <v>0.31988136320544358</v>
      </c>
      <c r="BS15" s="7" cm="1">
        <f t="array" ref="BS15">PRODUCT(1 + 預測IC!$C15:BS15) - 1</f>
        <v>0.29767597289009462</v>
      </c>
      <c r="BT15" s="7" cm="1">
        <f t="array" ref="BT15">PRODUCT(1 + 預測IC!$C15:BT15) - 1</f>
        <v>0.2501373444692403</v>
      </c>
      <c r="BU15" s="7" cm="1">
        <f t="array" ref="BU15">PRODUCT(1 + 預測IC!$C15:BU15) - 1</f>
        <v>0.2744855441925218</v>
      </c>
      <c r="BV15" s="7" cm="1">
        <f t="array" ref="BV15">PRODUCT(1 + 預測IC!$C15:BV15) - 1</f>
        <v>0.34957181892971367</v>
      </c>
      <c r="BW15" s="7" cm="1">
        <f t="array" ref="BW15">PRODUCT(1 + 預測IC!$C15:BW15) - 1</f>
        <v>0.30106025860472663</v>
      </c>
      <c r="BX15" s="7" cm="1">
        <f t="array" ref="BX15">PRODUCT(1 + 預測IC!$C15:BX15) - 1</f>
        <v>0.33831728364432512</v>
      </c>
      <c r="BY15" s="7" cm="1">
        <f t="array" ref="BY15">PRODUCT(1 + 預測IC!$C15:BY15) - 1</f>
        <v>0.21340089978239507</v>
      </c>
      <c r="BZ15" s="7" cm="1">
        <f t="array" ref="BZ15">PRODUCT(1 + 預測IC!$C15:BZ15) - 1</f>
        <v>0.33826770183293742</v>
      </c>
      <c r="CA15" s="7" cm="1">
        <f t="array" ref="CA15">PRODUCT(1 + 預測IC!$C15:CA15) - 1</f>
        <v>0.37836756759628276</v>
      </c>
      <c r="CB15" s="7" cm="1">
        <f t="array" ref="CB15">PRODUCT(1 + 預測IC!$C15:CB15) - 1</f>
        <v>0.55905970558453388</v>
      </c>
      <c r="CC15" s="7" cm="1">
        <f t="array" ref="CC15">PRODUCT(1 + 預測IC!$C15:CC15) - 1</f>
        <v>0.82979308278191422</v>
      </c>
      <c r="CD15" s="7" cm="1">
        <f t="array" ref="CD15">PRODUCT(1 + 預測IC!$C15:CD15) - 1</f>
        <v>0.99281761859850715</v>
      </c>
      <c r="CE15" s="7" cm="1">
        <f t="array" ref="CE15">PRODUCT(1 + 預測IC!$C15:CE15) - 1</f>
        <v>1.13902690087451</v>
      </c>
      <c r="CF15" s="7" cm="1">
        <f t="array" ref="CF15">PRODUCT(1 + 預測IC!$C15:CF15) - 1</f>
        <v>1.0505793580511034</v>
      </c>
      <c r="CG15" s="7" cm="1">
        <f t="array" ref="CG15">PRODUCT(1 + 預測IC!$C15:CG15) - 1</f>
        <v>1.5134591531485158</v>
      </c>
      <c r="CH15" s="7" cm="1">
        <f t="array" ref="CH15">PRODUCT(1 + 預測IC!$C15:CH15) - 1</f>
        <v>1.6715204406012005</v>
      </c>
      <c r="CI15" s="7" cm="1">
        <f t="array" ref="CI15">PRODUCT(1 + 預測IC!$C15:CI15) - 1</f>
        <v>1.4862856426042232</v>
      </c>
      <c r="CJ15" s="7" cm="1">
        <f t="array" ref="CJ15">PRODUCT(1 + 預測IC!$C15:CJ15) - 1</f>
        <v>1.7027027753775519</v>
      </c>
      <c r="CK15" s="7" cm="1">
        <f t="array" ref="CK15">PRODUCT(1 + 預測IC!$C15:CK15) - 1</f>
        <v>1.8558720923937937</v>
      </c>
      <c r="CL15" s="7" cm="1">
        <f t="array" ref="CL15">PRODUCT(1 + 預測IC!$C15:CL15) - 1</f>
        <v>1.9456092338649071</v>
      </c>
      <c r="CM15" s="7" cm="1">
        <f t="array" ref="CM15">PRODUCT(1 + 預測IC!$C15:CM15) - 1</f>
        <v>1.8082656794910958</v>
      </c>
      <c r="CN15" s="7" cm="1">
        <f t="array" ref="CN15">PRODUCT(1 + 預測IC!$C15:CN15) - 1</f>
        <v>1.4062629614653295</v>
      </c>
      <c r="CO15" s="7" cm="1">
        <f t="array" ref="CO15">PRODUCT(1 + 預測IC!$C15:CO15) - 1</f>
        <v>1.6636831544283046</v>
      </c>
      <c r="CP15" s="7" cm="1">
        <f t="array" ref="CP15">PRODUCT(1 + 預測IC!$C15:CP15) - 1</f>
        <v>1.3239680979996162</v>
      </c>
      <c r="CQ15" s="7" cm="1">
        <f t="array" ref="CQ15">PRODUCT(1 + 預測IC!$C15:CQ15) - 1</f>
        <v>1.23710279341477</v>
      </c>
      <c r="CR15" s="7" cm="1">
        <f t="array" ref="CR15">PRODUCT(1 + 預測IC!$C15:CR15) - 1</f>
        <v>1.129191508726973</v>
      </c>
      <c r="CS15" s="7" cm="1">
        <f t="array" ref="CS15">PRODUCT(1 + 預測IC!$C15:CS15) - 1</f>
        <v>1.1651982380218691</v>
      </c>
      <c r="CT15" s="7" cm="1">
        <f t="array" ref="CT15">PRODUCT(1 + 預測IC!$C15:CT15) - 1</f>
        <v>1.1491875173140937</v>
      </c>
      <c r="CU15" s="7" cm="1">
        <f t="array" ref="CU15">PRODUCT(1 + 預測IC!$C15:CU15) - 1</f>
        <v>1.2849703045635557</v>
      </c>
      <c r="CV15" s="7" cm="1">
        <f t="array" ref="CV15">PRODUCT(1 + 預測IC!$C15:CV15) - 1</f>
        <v>1.2990042423562196</v>
      </c>
      <c r="CW15" s="7" cm="1">
        <f t="array" ref="CW15">PRODUCT(1 + 預測IC!$C15:CW15) - 1</f>
        <v>1.3277065290754275</v>
      </c>
      <c r="CX15" s="7" cm="1">
        <f t="array" ref="CX15">PRODUCT(1 + 預測IC!$C15:CX15) - 1</f>
        <v>1.3693000652246878</v>
      </c>
      <c r="CY15" s="7" cm="1">
        <f t="array" ref="CY15">PRODUCT(1 + 預測IC!$C15:CY15) - 1</f>
        <v>1.4699258337179666</v>
      </c>
      <c r="CZ15" s="7" cm="1">
        <f t="array" ref="CZ15">PRODUCT(1 + 預測IC!$C15:CZ15) - 1</f>
        <v>1.272610997213353</v>
      </c>
      <c r="DA15" s="7" cm="1">
        <f t="array" ref="DA15">PRODUCT(1 + 預測IC!$C15:DA15) - 1</f>
        <v>1.3325530108992516</v>
      </c>
      <c r="DB15" s="7" cm="1">
        <f t="array" ref="DB15">PRODUCT(1 + 預測IC!$C15:DB15) - 1</f>
        <v>1.4030582002239083</v>
      </c>
      <c r="DC15" s="7" cm="1">
        <f t="array" ref="DC15">PRODUCT(1 + 預測IC!$C15:DC15) - 1</f>
        <v>1.2403893465450744</v>
      </c>
      <c r="DD15" s="7" cm="1">
        <f t="array" ref="DD15">PRODUCT(1 + 預測IC!$C15:DD15) - 1</f>
        <v>1.3510504445275604</v>
      </c>
      <c r="DE15" s="7" cm="1">
        <f t="array" ref="DE15">PRODUCT(1 + 預測IC!$C15:DE15) - 1</f>
        <v>1.2166558556818381</v>
      </c>
      <c r="DF15" s="7" cm="1">
        <f t="array" ref="DF15">PRODUCT(1 + 預測IC!$C15:DF15) - 1</f>
        <v>0.545628798346526</v>
      </c>
      <c r="DG15" s="7" cm="1">
        <f t="array" ref="DG15">PRODUCT(1 + 預測IC!$C15:DG15) - 1</f>
        <v>0.52059466351828276</v>
      </c>
      <c r="DH15" s="7" cm="1">
        <f t="array" ref="DH15">PRODUCT(1 + 預測IC!$C15:DH15) - 1</f>
        <v>0.54904348587132978</v>
      </c>
      <c r="DI15" s="7" cm="1">
        <f t="array" ref="DI15">PRODUCT(1 + 預測IC!$C15:DI15) - 1</f>
        <v>0.46522734732405202</v>
      </c>
      <c r="DJ15" s="7" cm="1">
        <f t="array" ref="DJ15">PRODUCT(1 + 預測IC!$C15:DJ15) - 1</f>
        <v>0.39553143130356716</v>
      </c>
      <c r="DK15" s="7" cm="1">
        <f t="array" ref="DK15">PRODUCT(1 + 預測IC!$C15:DK15) - 1</f>
        <v>0.25350145146903902</v>
      </c>
      <c r="DL15" s="7" cm="1">
        <f t="array" ref="DL15">PRODUCT(1 + 預測IC!$C15:DL15) - 1</f>
        <v>0.25312039554805765</v>
      </c>
      <c r="DM15" s="7" cm="1">
        <f t="array" ref="DM15">PRODUCT(1 + 預測IC!$C15:DM15) - 1</f>
        <v>0.2829553712162951</v>
      </c>
      <c r="DN15" s="7" cm="1">
        <f t="array" ref="DN15">PRODUCT(1 + 預測IC!$C15:DN15) - 1</f>
        <v>0.19696840603181998</v>
      </c>
      <c r="DO15" s="7" cm="1">
        <f t="array" ref="DO15">PRODUCT(1 + 預測IC!$C15:DO15) - 1</f>
        <v>0.38793922275621906</v>
      </c>
      <c r="DP15" s="7" cm="1">
        <f t="array" ref="DP15">PRODUCT(1 + 預測IC!$C15:DP15) - 1</f>
        <v>0.44391507919249196</v>
      </c>
      <c r="DQ15" s="7" cm="1">
        <f t="array" ref="DQ15">PRODUCT(1 + 預測IC!$C15:DQ15) - 1</f>
        <v>0.54923147261343064</v>
      </c>
      <c r="DR15" s="7" cm="1">
        <f t="array" ref="DR15">PRODUCT(1 + 預測IC!$C15:DR15) - 1</f>
        <v>0.58336919865086667</v>
      </c>
      <c r="DS15" s="7" cm="1">
        <f t="array" ref="DS15">PRODUCT(1 + 預測IC!$C15:DS15) - 1</f>
        <v>0.52394512497189316</v>
      </c>
      <c r="DT15" s="7" cm="1">
        <f t="array" ref="DT15">PRODUCT(1 + 預測IC!$C15:DT15) - 1</f>
        <v>0.63391853972905499</v>
      </c>
      <c r="DU15" s="7" cm="1">
        <f t="array" ref="DU15">PRODUCT(1 + 預測IC!$C15:DU15) - 1</f>
        <v>0.70870418234011945</v>
      </c>
      <c r="DV15" s="7" cm="1">
        <f t="array" ref="DV15">PRODUCT(1 + 預測IC!$C15:DV15) - 1</f>
        <v>0.46988140627644581</v>
      </c>
      <c r="DW15" s="7" cm="1">
        <f t="array" ref="DW15">PRODUCT(1 + 預測IC!$C15:DW15) - 1</f>
        <v>0.50742015946140184</v>
      </c>
      <c r="DX15" s="7" cm="1">
        <f t="array" ref="DX15">PRODUCT(1 + 預測IC!$C15:DX15) - 1</f>
        <v>0.47494178167120094</v>
      </c>
      <c r="DY15" s="7" cm="1">
        <f t="array" ref="DY15">PRODUCT(1 + 預測IC!$C15:DY15) - 1</f>
        <v>0.59835552150351945</v>
      </c>
      <c r="DZ15" s="7" cm="1">
        <f t="array" ref="DZ15">PRODUCT(1 + 預測IC!$C15:DZ15) - 1</f>
        <v>0.53986130723505221</v>
      </c>
      <c r="EA15" s="7" cm="1">
        <f t="array" ref="EA15">PRODUCT(1 + 預測IC!$C15:EA15) - 1</f>
        <v>0.37174397260453285</v>
      </c>
      <c r="EB15" s="7" cm="1">
        <f t="array" ref="EB15">PRODUCT(1 + 預測IC!$C15:EB15) - 1</f>
        <v>0.44873513361474271</v>
      </c>
      <c r="EC15" s="7" cm="1">
        <f t="array" ref="EC15">PRODUCT(1 + 預測IC!$C15:EC15) - 1</f>
        <v>0.5590665664434018</v>
      </c>
      <c r="ED15" s="7" cm="1">
        <f t="array" ref="ED15">PRODUCT(1 + 預測IC!$C15:ED15) - 1</f>
        <v>0.73579776242260042</v>
      </c>
      <c r="EE15" s="7" cm="1">
        <f t="array" ref="EE15">PRODUCT(1 + 預測IC!$C15:EE15) - 1</f>
        <v>0.74133620792966681</v>
      </c>
      <c r="EF15" s="7" cm="1">
        <f t="array" ref="EF15">PRODUCT(1 + 預測IC!$C15:EF15) - 1</f>
        <v>0.6269286931627347</v>
      </c>
    </row>
    <row r="16" spans="1:137" x14ac:dyDescent="0.3">
      <c r="A16" s="1">
        <v>9</v>
      </c>
      <c r="B16" s="1" t="s">
        <v>154</v>
      </c>
      <c r="C16" s="7" cm="1">
        <f t="array" ref="C16">PRODUCT(1 + 預測IC!$C16:C16) - 1</f>
        <v>-2.738364461037901E-2</v>
      </c>
      <c r="D16" s="7" cm="1">
        <f t="array" ref="D16">PRODUCT(1 + 預測IC!$C16:D16) - 1</f>
        <v>0.36963346789284746</v>
      </c>
      <c r="E16" s="7" cm="1">
        <f t="array" ref="E16">PRODUCT(1 + 預測IC!$C16:E16) - 1</f>
        <v>0.37350977249806783</v>
      </c>
      <c r="F16" s="7" cm="1">
        <f t="array" ref="F16">PRODUCT(1 + 預測IC!$C16:F16) - 1</f>
        <v>0.51001259765029894</v>
      </c>
      <c r="G16" s="7" cm="1">
        <f t="array" ref="G16">PRODUCT(1 + 預測IC!$C16:G16) - 1</f>
        <v>0.62129488639173047</v>
      </c>
      <c r="H16" s="7" cm="1">
        <f t="array" ref="H16">PRODUCT(1 + 預測IC!$C16:H16) - 1</f>
        <v>0.52239751213130514</v>
      </c>
      <c r="I16" s="7" cm="1">
        <f t="array" ref="I16">PRODUCT(1 + 預測IC!$C16:I16) - 1</f>
        <v>0.43481304140338817</v>
      </c>
      <c r="J16" s="7" cm="1">
        <f t="array" ref="J16">PRODUCT(1 + 預測IC!$C16:J16) - 1</f>
        <v>0.33624994662505903</v>
      </c>
      <c r="K16" s="7" cm="1">
        <f t="array" ref="K16">PRODUCT(1 + 預測IC!$C16:K16) - 1</f>
        <v>0.71664095417098883</v>
      </c>
      <c r="L16" s="7" cm="1">
        <f t="array" ref="L16">PRODUCT(1 + 預測IC!$C16:L16) - 1</f>
        <v>0.69966932400262527</v>
      </c>
      <c r="M16" s="7" cm="1">
        <f t="array" ref="M16">PRODUCT(1 + 預測IC!$C16:M16) - 1</f>
        <v>0.67589530834667055</v>
      </c>
      <c r="N16" s="7" cm="1">
        <f t="array" ref="N16">PRODUCT(1 + 預測IC!$C16:N16) - 1</f>
        <v>0.46528449660258397</v>
      </c>
      <c r="O16" s="7" cm="1">
        <f t="array" ref="O16">PRODUCT(1 + 預測IC!$C16:O16) - 1</f>
        <v>0.48817384086033044</v>
      </c>
      <c r="P16" s="7" cm="1">
        <f t="array" ref="P16">PRODUCT(1 + 預測IC!$C16:P16) - 1</f>
        <v>0.50035927541782765</v>
      </c>
      <c r="Q16" s="7" cm="1">
        <f t="array" ref="Q16">PRODUCT(1 + 預測IC!$C16:Q16) - 1</f>
        <v>0.73727061174593778</v>
      </c>
      <c r="R16" s="7" cm="1">
        <f t="array" ref="R16">PRODUCT(1 + 預測IC!$C16:R16) - 1</f>
        <v>0.77059626086476185</v>
      </c>
      <c r="S16" s="7" cm="1">
        <f t="array" ref="S16">PRODUCT(1 + 預測IC!$C16:S16) - 1</f>
        <v>0.69549609606755269</v>
      </c>
      <c r="T16" s="7" cm="1">
        <f t="array" ref="T16">PRODUCT(1 + 預測IC!$C16:T16) - 1</f>
        <v>0.65611517287056342</v>
      </c>
      <c r="U16" s="7" cm="1">
        <f t="array" ref="U16">PRODUCT(1 + 預測IC!$C16:U16) - 1</f>
        <v>0.87151360522640742</v>
      </c>
      <c r="V16" s="7" cm="1">
        <f t="array" ref="V16">PRODUCT(1 + 預測IC!$C16:V16) - 1</f>
        <v>0.73008054080640949</v>
      </c>
      <c r="W16" s="7" cm="1">
        <f t="array" ref="W16">PRODUCT(1 + 預測IC!$C16:W16) - 1</f>
        <v>0.55425010749801618</v>
      </c>
      <c r="X16" s="7" cm="1">
        <f t="array" ref="X16">PRODUCT(1 + 預測IC!$C16:X16) - 1</f>
        <v>0.66876457846740323</v>
      </c>
      <c r="Y16" s="7" cm="1">
        <f t="array" ref="Y16">PRODUCT(1 + 預測IC!$C16:Y16) - 1</f>
        <v>0.58486104047215592</v>
      </c>
      <c r="Z16" s="7" cm="1">
        <f t="array" ref="Z16">PRODUCT(1 + 預測IC!$C16:Z16) - 1</f>
        <v>0.55304369531282993</v>
      </c>
      <c r="AA16" s="7" cm="1">
        <f t="array" ref="AA16">PRODUCT(1 + 預測IC!$C16:AA16) - 1</f>
        <v>0.63104613315570357</v>
      </c>
      <c r="AB16" s="7" cm="1">
        <f t="array" ref="AB16">PRODUCT(1 + 預測IC!$C16:AB16) - 1</f>
        <v>0.51521555477100933</v>
      </c>
      <c r="AC16" s="7" cm="1">
        <f t="array" ref="AC16">PRODUCT(1 + 預測IC!$C16:AC16) - 1</f>
        <v>0.58677348245841898</v>
      </c>
      <c r="AD16" s="7" cm="1">
        <f t="array" ref="AD16">PRODUCT(1 + 預測IC!$C16:AD16) - 1</f>
        <v>0.53153603806202954</v>
      </c>
      <c r="AE16" s="7" cm="1">
        <f t="array" ref="AE16">PRODUCT(1 + 預測IC!$C16:AE16) - 1</f>
        <v>0.61046373535039655</v>
      </c>
      <c r="AF16" s="7" cm="1">
        <f t="array" ref="AF16">PRODUCT(1 + 預測IC!$C16:AF16) - 1</f>
        <v>0.37225100912731479</v>
      </c>
      <c r="AG16" s="7" cm="1">
        <f t="array" ref="AG16">PRODUCT(1 + 預測IC!$C16:AG16) - 1</f>
        <v>0.43232288850044709</v>
      </c>
      <c r="AH16" s="7" cm="1">
        <f t="array" ref="AH16">PRODUCT(1 + 預測IC!$C16:AH16) - 1</f>
        <v>0.49549838139062818</v>
      </c>
      <c r="AI16" s="7" cm="1">
        <f t="array" ref="AI16">PRODUCT(1 + 預測IC!$C16:AI16) - 1</f>
        <v>0.44557377656813002</v>
      </c>
      <c r="AJ16" s="7" cm="1">
        <f t="array" ref="AJ16">PRODUCT(1 + 預測IC!$C16:AJ16) - 1</f>
        <v>0.47105814610373065</v>
      </c>
      <c r="AK16" s="7" cm="1">
        <f t="array" ref="AK16">PRODUCT(1 + 預測IC!$C16:AK16) - 1</f>
        <v>0.41599136015852189</v>
      </c>
      <c r="AL16" s="7" cm="1">
        <f t="array" ref="AL16">PRODUCT(1 + 預測IC!$C16:AL16) - 1</f>
        <v>0.40828878823168568</v>
      </c>
      <c r="AM16" s="7" cm="1">
        <f t="array" ref="AM16">PRODUCT(1 + 預測IC!$C16:AM16) - 1</f>
        <v>0.33485253782584445</v>
      </c>
      <c r="AN16" s="7" cm="1">
        <f t="array" ref="AN16">PRODUCT(1 + 預測IC!$C16:AN16) - 1</f>
        <v>0.26448959930727778</v>
      </c>
      <c r="AO16" s="7" cm="1">
        <f t="array" ref="AO16">PRODUCT(1 + 預測IC!$C16:AO16) - 1</f>
        <v>0.186818740642549</v>
      </c>
      <c r="AP16" s="7" cm="1">
        <f t="array" ref="AP16">PRODUCT(1 + 預測IC!$C16:AP16) - 1</f>
        <v>0.27915130194914184</v>
      </c>
      <c r="AQ16" s="7" cm="1">
        <f t="array" ref="AQ16">PRODUCT(1 + 預測IC!$C16:AQ16) - 1</f>
        <v>0.3283553919470219</v>
      </c>
      <c r="AR16" s="7" cm="1">
        <f t="array" ref="AR16">PRODUCT(1 + 預測IC!$C16:AR16) - 1</f>
        <v>0.28519345937363627</v>
      </c>
      <c r="AS16" s="7" cm="1">
        <f t="array" ref="AS16">PRODUCT(1 + 預測IC!$C16:AS16) - 1</f>
        <v>0.35284953653706363</v>
      </c>
      <c r="AT16" s="7" cm="1">
        <f t="array" ref="AT16">PRODUCT(1 + 預測IC!$C16:AT16) - 1</f>
        <v>0.41987938264625035</v>
      </c>
      <c r="AU16" s="7" cm="1">
        <f t="array" ref="AU16">PRODUCT(1 + 預測IC!$C16:AU16) - 1</f>
        <v>0.47926844792565548</v>
      </c>
      <c r="AV16" s="7" cm="1">
        <f t="array" ref="AV16">PRODUCT(1 + 預測IC!$C16:AV16) - 1</f>
        <v>0.46584777490238216</v>
      </c>
      <c r="AW16" s="7" cm="1">
        <f t="array" ref="AW16">PRODUCT(1 + 預測IC!$C16:AW16) - 1</f>
        <v>0.52338659511070773</v>
      </c>
      <c r="AX16" s="7" cm="1">
        <f t="array" ref="AX16">PRODUCT(1 + 預測IC!$C16:AX16) - 1</f>
        <v>0.37010141117540774</v>
      </c>
      <c r="AY16" s="7" cm="1">
        <f t="array" ref="AY16">PRODUCT(1 + 預測IC!$C16:AY16) - 1</f>
        <v>0.39695793845324201</v>
      </c>
      <c r="AZ16" s="7" cm="1">
        <f t="array" ref="AZ16">PRODUCT(1 + 預測IC!$C16:AZ16) - 1</f>
        <v>0.25040359077010654</v>
      </c>
      <c r="BA16" s="7" cm="1">
        <f t="array" ref="BA16">PRODUCT(1 + 預測IC!$C16:BA16) - 1</f>
        <v>0.26906349491955162</v>
      </c>
      <c r="BB16" s="7" cm="1">
        <f t="array" ref="BB16">PRODUCT(1 + 預測IC!$C16:BB16) - 1</f>
        <v>0.43718234840240755</v>
      </c>
      <c r="BC16" s="7" cm="1">
        <f t="array" ref="BC16">PRODUCT(1 + 預測IC!$C16:BC16) - 1</f>
        <v>0.38113311073334866</v>
      </c>
      <c r="BD16" s="7" cm="1">
        <f t="array" ref="BD16">PRODUCT(1 + 預測IC!$C16:BD16) - 1</f>
        <v>0.43076649294026992</v>
      </c>
      <c r="BE16" s="7" cm="1">
        <f t="array" ref="BE16">PRODUCT(1 + 預測IC!$C16:BE16) - 1</f>
        <v>0.3676136952083473</v>
      </c>
      <c r="BF16" s="7" cm="1">
        <f t="array" ref="BF16">PRODUCT(1 + 預測IC!$C16:BF16) - 1</f>
        <v>0.29296255197567023</v>
      </c>
      <c r="BG16" s="7" cm="1">
        <f t="array" ref="BG16">PRODUCT(1 + 預測IC!$C16:BG16) - 1</f>
        <v>0.31795707867457246</v>
      </c>
      <c r="BH16" s="7" cm="1">
        <f t="array" ref="BH16">PRODUCT(1 + 預測IC!$C16:BH16) - 1</f>
        <v>0.23619098783773262</v>
      </c>
      <c r="BI16" s="7" cm="1">
        <f t="array" ref="BI16">PRODUCT(1 + 預測IC!$C16:BI16) - 1</f>
        <v>0.28742344949635656</v>
      </c>
      <c r="BJ16" s="7" cm="1">
        <f t="array" ref="BJ16">PRODUCT(1 + 預測IC!$C16:BJ16) - 1</f>
        <v>0.26102635560918985</v>
      </c>
      <c r="BK16" s="7" cm="1">
        <f t="array" ref="BK16">PRODUCT(1 + 預測IC!$C16:BK16) - 1</f>
        <v>0.39314812585361691</v>
      </c>
      <c r="BL16" s="7" cm="1">
        <f t="array" ref="BL16">PRODUCT(1 + 預測IC!$C16:BL16) - 1</f>
        <v>0.38142581893509098</v>
      </c>
      <c r="BM16" s="7" cm="1">
        <f t="array" ref="BM16">PRODUCT(1 + 預測IC!$C16:BM16) - 1</f>
        <v>0.28499424961880115</v>
      </c>
      <c r="BN16" s="7" cm="1">
        <f t="array" ref="BN16">PRODUCT(1 + 預測IC!$C16:BN16) - 1</f>
        <v>0.37134325517488098</v>
      </c>
      <c r="BO16" s="7" cm="1">
        <f t="array" ref="BO16">PRODUCT(1 + 預測IC!$C16:BO16) - 1</f>
        <v>0.39323033097875171</v>
      </c>
      <c r="BP16" s="7" cm="1">
        <f t="array" ref="BP16">PRODUCT(1 + 預測IC!$C16:BP16) - 1</f>
        <v>0.4222696864913984</v>
      </c>
      <c r="BQ16" s="7" cm="1">
        <f t="array" ref="BQ16">PRODUCT(1 + 預測IC!$C16:BQ16) - 1</f>
        <v>0.44570586950429569</v>
      </c>
      <c r="BR16" s="7" cm="1">
        <f t="array" ref="BR16">PRODUCT(1 + 預測IC!$C16:BR16) - 1</f>
        <v>0.63449043312450248</v>
      </c>
      <c r="BS16" s="7" cm="1">
        <f t="array" ref="BS16">PRODUCT(1 + 預測IC!$C16:BS16) - 1</f>
        <v>0.61292893301711016</v>
      </c>
      <c r="BT16" s="7" cm="1">
        <f t="array" ref="BT16">PRODUCT(1 + 預測IC!$C16:BT16) - 1</f>
        <v>0.55153105410208725</v>
      </c>
      <c r="BU16" s="7" cm="1">
        <f t="array" ref="BU16">PRODUCT(1 + 預測IC!$C16:BU16) - 1</f>
        <v>0.64115541639743401</v>
      </c>
      <c r="BV16" s="7" cm="1">
        <f t="array" ref="BV16">PRODUCT(1 + 預測IC!$C16:BV16) - 1</f>
        <v>0.74079199585181832</v>
      </c>
      <c r="BW16" s="7" cm="1">
        <f t="array" ref="BW16">PRODUCT(1 + 預測IC!$C16:BW16) - 1</f>
        <v>0.62635071558783162</v>
      </c>
      <c r="BX16" s="7" cm="1">
        <f t="array" ref="BX16">PRODUCT(1 + 預測IC!$C16:BX16) - 1</f>
        <v>0.67767710411372928</v>
      </c>
      <c r="BY16" s="7" cm="1">
        <f t="array" ref="BY16">PRODUCT(1 + 預測IC!$C16:BY16) - 1</f>
        <v>0.47804240690204636</v>
      </c>
      <c r="BZ16" s="7" cm="1">
        <f t="array" ref="BZ16">PRODUCT(1 + 預測IC!$C16:BZ16) - 1</f>
        <v>0.64288234045321691</v>
      </c>
      <c r="CA16" s="7" cm="1">
        <f t="array" ref="CA16">PRODUCT(1 + 預測IC!$C16:CA16) - 1</f>
        <v>0.6879501675343016</v>
      </c>
      <c r="CB16" s="7" cm="1">
        <f t="array" ref="CB16">PRODUCT(1 + 預測IC!$C16:CB16) - 1</f>
        <v>0.92309637169196468</v>
      </c>
      <c r="CC16" s="7" cm="1">
        <f t="array" ref="CC16">PRODUCT(1 + 預測IC!$C16:CC16) - 1</f>
        <v>1.0084590679996945</v>
      </c>
      <c r="CD16" s="7" cm="1">
        <f t="array" ref="CD16">PRODUCT(1 + 預測IC!$C16:CD16) - 1</f>
        <v>1.184703540970486</v>
      </c>
      <c r="CE16" s="7" cm="1">
        <f t="array" ref="CE16">PRODUCT(1 + 預測IC!$C16:CE16) - 1</f>
        <v>1.3892228817589687</v>
      </c>
      <c r="CF16" s="7" cm="1">
        <f t="array" ref="CF16">PRODUCT(1 + 預測IC!$C16:CF16) - 1</f>
        <v>1.2630717121063122</v>
      </c>
      <c r="CG16" s="7" cm="1">
        <f t="array" ref="CG16">PRODUCT(1 + 預測IC!$C16:CG16) - 1</f>
        <v>1.5939238347114357</v>
      </c>
      <c r="CH16" s="7" cm="1">
        <f t="array" ref="CH16">PRODUCT(1 + 預測IC!$C16:CH16) - 1</f>
        <v>1.7020837525554651</v>
      </c>
      <c r="CI16" s="7" cm="1">
        <f t="array" ref="CI16">PRODUCT(1 + 預測IC!$C16:CI16) - 1</f>
        <v>1.544431351953707</v>
      </c>
      <c r="CJ16" s="7" cm="1">
        <f t="array" ref="CJ16">PRODUCT(1 + 預測IC!$C16:CJ16) - 1</f>
        <v>1.6602629018301025</v>
      </c>
      <c r="CK16" s="7" cm="1">
        <f t="array" ref="CK16">PRODUCT(1 + 預測IC!$C16:CK16) - 1</f>
        <v>1.8637011434065314</v>
      </c>
      <c r="CL16" s="7" cm="1">
        <f t="array" ref="CL16">PRODUCT(1 + 預測IC!$C16:CL16) - 1</f>
        <v>1.9091729441642271</v>
      </c>
      <c r="CM16" s="7" cm="1">
        <f t="array" ref="CM16">PRODUCT(1 + 預測IC!$C16:CM16) - 1</f>
        <v>1.888809528499233</v>
      </c>
      <c r="CN16" s="7" cm="1">
        <f t="array" ref="CN16">PRODUCT(1 + 預測IC!$C16:CN16) - 1</f>
        <v>1.4255602742547087</v>
      </c>
      <c r="CO16" s="7" cm="1">
        <f t="array" ref="CO16">PRODUCT(1 + 預測IC!$C16:CO16) - 1</f>
        <v>1.7521382160225651</v>
      </c>
      <c r="CP16" s="7" cm="1">
        <f t="array" ref="CP16">PRODUCT(1 + 預測IC!$C16:CP16) - 1</f>
        <v>1.3761089218791733</v>
      </c>
      <c r="CQ16" s="7" cm="1">
        <f t="array" ref="CQ16">PRODUCT(1 + 預測IC!$C16:CQ16) - 1</f>
        <v>1.2776534095883809</v>
      </c>
      <c r="CR16" s="7" cm="1">
        <f t="array" ref="CR16">PRODUCT(1 + 預測IC!$C16:CR16) - 1</f>
        <v>1.1676432813198017</v>
      </c>
      <c r="CS16" s="7" cm="1">
        <f t="array" ref="CS16">PRODUCT(1 + 預測IC!$C16:CS16) - 1</f>
        <v>1.214913097668425</v>
      </c>
      <c r="CT16" s="7" cm="1">
        <f t="array" ref="CT16">PRODUCT(1 + 預測IC!$C16:CT16) - 1</f>
        <v>1.2036892326385025</v>
      </c>
      <c r="CU16" s="7" cm="1">
        <f t="array" ref="CU16">PRODUCT(1 + 預測IC!$C16:CU16) - 1</f>
        <v>1.3434794974255202</v>
      </c>
      <c r="CV16" s="7" cm="1">
        <f t="array" ref="CV16">PRODUCT(1 + 預測IC!$C16:CV16) - 1</f>
        <v>1.3827353195283405</v>
      </c>
      <c r="CW16" s="7" cm="1">
        <f t="array" ref="CW16">PRODUCT(1 + 預測IC!$C16:CW16) - 1</f>
        <v>1.4046425681800963</v>
      </c>
      <c r="CX16" s="7" cm="1">
        <f t="array" ref="CX16">PRODUCT(1 + 預測IC!$C16:CX16) - 1</f>
        <v>1.4207218784291205</v>
      </c>
      <c r="CY16" s="7" cm="1">
        <f t="array" ref="CY16">PRODUCT(1 + 預測IC!$C16:CY16) - 1</f>
        <v>1.5396205938296137</v>
      </c>
      <c r="CZ16" s="7" cm="1">
        <f t="array" ref="CZ16">PRODUCT(1 + 預測IC!$C16:CZ16) - 1</f>
        <v>1.2789710552089764</v>
      </c>
      <c r="DA16" s="7" cm="1">
        <f t="array" ref="DA16">PRODUCT(1 + 預測IC!$C16:DA16) - 1</f>
        <v>1.3468953179667729</v>
      </c>
      <c r="DB16" s="7" cm="1">
        <f t="array" ref="DB16">PRODUCT(1 + 預測IC!$C16:DB16) - 1</f>
        <v>1.4471363092441871</v>
      </c>
      <c r="DC16" s="7" cm="1">
        <f t="array" ref="DC16">PRODUCT(1 + 預測IC!$C16:DC16) - 1</f>
        <v>1.2433778252627992</v>
      </c>
      <c r="DD16" s="7" cm="1">
        <f t="array" ref="DD16">PRODUCT(1 + 預測IC!$C16:DD16) - 1</f>
        <v>1.4005734071659051</v>
      </c>
      <c r="DE16" s="7" cm="1">
        <f t="array" ref="DE16">PRODUCT(1 + 預測IC!$C16:DE16) - 1</f>
        <v>1.3176278337108442</v>
      </c>
      <c r="DF16" s="7" cm="1">
        <f t="array" ref="DF16">PRODUCT(1 + 預測IC!$C16:DF16) - 1</f>
        <v>0.56305560441817426</v>
      </c>
      <c r="DG16" s="7" cm="1">
        <f t="array" ref="DG16">PRODUCT(1 + 預測IC!$C16:DG16) - 1</f>
        <v>0.5404648436224917</v>
      </c>
      <c r="DH16" s="7" cm="1">
        <f t="array" ref="DH16">PRODUCT(1 + 預測IC!$C16:DH16) - 1</f>
        <v>0.56993292463945755</v>
      </c>
      <c r="DI16" s="7" cm="1">
        <f t="array" ref="DI16">PRODUCT(1 + 預測IC!$C16:DI16) - 1</f>
        <v>0.49865875812216776</v>
      </c>
      <c r="DJ16" s="7" cm="1">
        <f t="array" ref="DJ16">PRODUCT(1 + 預測IC!$C16:DJ16) - 1</f>
        <v>0.4210983401007502</v>
      </c>
      <c r="DK16" s="7" cm="1">
        <f t="array" ref="DK16">PRODUCT(1 + 預測IC!$C16:DK16) - 1</f>
        <v>0.2312476216533097</v>
      </c>
      <c r="DL16" s="7" cm="1">
        <f t="array" ref="DL16">PRODUCT(1 + 預測IC!$C16:DL16) - 1</f>
        <v>0.20431669725455315</v>
      </c>
      <c r="DM16" s="7" cm="1">
        <f t="array" ref="DM16">PRODUCT(1 + 預測IC!$C16:DM16) - 1</f>
        <v>0.24084476649211228</v>
      </c>
      <c r="DN16" s="7" cm="1">
        <f t="array" ref="DN16">PRODUCT(1 + 預測IC!$C16:DN16) - 1</f>
        <v>0.17047946642775313</v>
      </c>
      <c r="DO16" s="7" cm="1">
        <f t="array" ref="DO16">PRODUCT(1 + 預測IC!$C16:DO16) - 1</f>
        <v>0.36898218686704398</v>
      </c>
      <c r="DP16" s="7" cm="1">
        <f t="array" ref="DP16">PRODUCT(1 + 預測IC!$C16:DP16) - 1</f>
        <v>0.40281874923137817</v>
      </c>
      <c r="DQ16" s="7" cm="1">
        <f t="array" ref="DQ16">PRODUCT(1 + 預測IC!$C16:DQ16) - 1</f>
        <v>0.49759391331893665</v>
      </c>
      <c r="DR16" s="7" cm="1">
        <f t="array" ref="DR16">PRODUCT(1 + 預測IC!$C16:DR16) - 1</f>
        <v>0.51433426915228964</v>
      </c>
      <c r="DS16" s="7" cm="1">
        <f t="array" ref="DS16">PRODUCT(1 + 預測IC!$C16:DS16) - 1</f>
        <v>0.48186592371008308</v>
      </c>
      <c r="DT16" s="7" cm="1">
        <f t="array" ref="DT16">PRODUCT(1 + 預測IC!$C16:DT16) - 1</f>
        <v>0.63084402190307243</v>
      </c>
      <c r="DU16" s="7" cm="1">
        <f t="array" ref="DU16">PRODUCT(1 + 預測IC!$C16:DU16) - 1</f>
        <v>0.73599062519089475</v>
      </c>
      <c r="DV16" s="7" cm="1">
        <f t="array" ref="DV16">PRODUCT(1 + 預測IC!$C16:DV16) - 1</f>
        <v>0.49824023032309928</v>
      </c>
      <c r="DW16" s="7" cm="1">
        <f t="array" ref="DW16">PRODUCT(1 + 預測IC!$C16:DW16) - 1</f>
        <v>0.55954481909266218</v>
      </c>
      <c r="DX16" s="7" cm="1">
        <f t="array" ref="DX16">PRODUCT(1 + 預測IC!$C16:DX16) - 1</f>
        <v>0.52531635394868137</v>
      </c>
      <c r="DY16" s="7" cm="1">
        <f t="array" ref="DY16">PRODUCT(1 + 預測IC!$C16:DY16) - 1</f>
        <v>0.67019832072292918</v>
      </c>
      <c r="DZ16" s="7" cm="1">
        <f t="array" ref="DZ16">PRODUCT(1 + 預測IC!$C16:DZ16) - 1</f>
        <v>0.64907169558180766</v>
      </c>
      <c r="EA16" s="7" cm="1">
        <f t="array" ref="EA16">PRODUCT(1 + 預測IC!$C16:EA16) - 1</f>
        <v>0.41853309070197309</v>
      </c>
      <c r="EB16" s="7" cm="1">
        <f t="array" ref="EB16">PRODUCT(1 + 預測IC!$C16:EB16) - 1</f>
        <v>0.51907225302145377</v>
      </c>
      <c r="EC16" s="7" cm="1">
        <f t="array" ref="EC16">PRODUCT(1 + 預測IC!$C16:EC16) - 1</f>
        <v>0.62313095144294639</v>
      </c>
      <c r="ED16" s="7" cm="1">
        <f t="array" ref="ED16">PRODUCT(1 + 預測IC!$C16:ED16) - 1</f>
        <v>0.8104674466233206</v>
      </c>
      <c r="EE16" s="7" cm="1">
        <f t="array" ref="EE16">PRODUCT(1 + 預測IC!$C16:EE16) - 1</f>
        <v>0.81842748413958155</v>
      </c>
      <c r="EF16" s="7" cm="1">
        <f t="array" ref="EF16">PRODUCT(1 + 預測IC!$C16:EF16) - 1</f>
        <v>0.74119086509068133</v>
      </c>
    </row>
    <row r="17" spans="1:136" x14ac:dyDescent="0.3">
      <c r="A17" s="1">
        <v>8</v>
      </c>
      <c r="B17" s="1" t="s">
        <v>155</v>
      </c>
      <c r="C17" s="7" cm="1">
        <f t="array" ref="C17">PRODUCT(1 + 預測IC!$C17:C17) - 1</f>
        <v>-4.1028984252961864E-2</v>
      </c>
      <c r="D17" s="7" cm="1">
        <f t="array" ref="D17">PRODUCT(1 + 預測IC!$C17:D17) - 1</f>
        <v>0.3805236351940966</v>
      </c>
      <c r="E17" s="7" cm="1">
        <f t="array" ref="E17">PRODUCT(1 + 預測IC!$C17:E17) - 1</f>
        <v>0.37033674922570059</v>
      </c>
      <c r="F17" s="7" cm="1">
        <f t="array" ref="F17">PRODUCT(1 + 預測IC!$C17:F17) - 1</f>
        <v>0.52496214288224152</v>
      </c>
      <c r="G17" s="7" cm="1">
        <f t="array" ref="G17">PRODUCT(1 + 預測IC!$C17:G17) - 1</f>
        <v>0.63357416608279582</v>
      </c>
      <c r="H17" s="7" cm="1">
        <f t="array" ref="H17">PRODUCT(1 + 預測IC!$C17:H17) - 1</f>
        <v>0.50829892192493764</v>
      </c>
      <c r="I17" s="7" cm="1">
        <f t="array" ref="I17">PRODUCT(1 + 預測IC!$C17:I17) - 1</f>
        <v>0.3367675850950147</v>
      </c>
      <c r="J17" s="7" cm="1">
        <f t="array" ref="J17">PRODUCT(1 + 預測IC!$C17:J17) - 1</f>
        <v>0.18263952139368023</v>
      </c>
      <c r="K17" s="7" cm="1">
        <f t="array" ref="K17">PRODUCT(1 + 預測IC!$C17:K17) - 1</f>
        <v>0.53367833172418599</v>
      </c>
      <c r="L17" s="7" cm="1">
        <f t="array" ref="L17">PRODUCT(1 + 預測IC!$C17:L17) - 1</f>
        <v>0.51878495090375631</v>
      </c>
      <c r="M17" s="7" cm="1">
        <f t="array" ref="M17">PRODUCT(1 + 預測IC!$C17:M17) - 1</f>
        <v>0.54104903530364612</v>
      </c>
      <c r="N17" s="7" cm="1">
        <f t="array" ref="N17">PRODUCT(1 + 預測IC!$C17:N17) - 1</f>
        <v>0.33154583523765835</v>
      </c>
      <c r="O17" s="7" cm="1">
        <f t="array" ref="O17">PRODUCT(1 + 預測IC!$C17:O17) - 1</f>
        <v>0.36434454576846864</v>
      </c>
      <c r="P17" s="7" cm="1">
        <f t="array" ref="P17">PRODUCT(1 + 預測IC!$C17:P17) - 1</f>
        <v>0.38260349616409317</v>
      </c>
      <c r="Q17" s="7" cm="1">
        <f t="array" ref="Q17">PRODUCT(1 + 預測IC!$C17:Q17) - 1</f>
        <v>0.60631053178284389</v>
      </c>
      <c r="R17" s="7" cm="1">
        <f t="array" ref="R17">PRODUCT(1 + 預測IC!$C17:R17) - 1</f>
        <v>0.60948339871790069</v>
      </c>
      <c r="S17" s="7" cm="1">
        <f t="array" ref="S17">PRODUCT(1 + 預測IC!$C17:S17) - 1</f>
        <v>0.52074931855494611</v>
      </c>
      <c r="T17" s="7" cm="1">
        <f t="array" ref="T17">PRODUCT(1 + 預測IC!$C17:T17) - 1</f>
        <v>0.48500016913221478</v>
      </c>
      <c r="U17" s="7" cm="1">
        <f t="array" ref="U17">PRODUCT(1 + 預測IC!$C17:U17) - 1</f>
        <v>0.69478783969547298</v>
      </c>
      <c r="V17" s="7" cm="1">
        <f t="array" ref="V17">PRODUCT(1 + 預測IC!$C17:V17) - 1</f>
        <v>0.5299533576635147</v>
      </c>
      <c r="W17" s="7" cm="1">
        <f t="array" ref="W17">PRODUCT(1 + 預測IC!$C17:W17) - 1</f>
        <v>0.33309845983765407</v>
      </c>
      <c r="X17" s="7" cm="1">
        <f t="array" ref="X17">PRODUCT(1 + 預測IC!$C17:X17) - 1</f>
        <v>0.46665621814801672</v>
      </c>
      <c r="Y17" s="7" cm="1">
        <f t="array" ref="Y17">PRODUCT(1 + 預測IC!$C17:Y17) - 1</f>
        <v>0.35867639454808131</v>
      </c>
      <c r="Z17" s="7" cm="1">
        <f t="array" ref="Z17">PRODUCT(1 + 預測IC!$C17:Z17) - 1</f>
        <v>0.32931744954277842</v>
      </c>
      <c r="AA17" s="7" cm="1">
        <f t="array" ref="AA17">PRODUCT(1 + 預測IC!$C17:AA17) - 1</f>
        <v>0.41207304003710044</v>
      </c>
      <c r="AB17" s="7" cm="1">
        <f t="array" ref="AB17">PRODUCT(1 + 預測IC!$C17:AB17) - 1</f>
        <v>0.32970094441246056</v>
      </c>
      <c r="AC17" s="7" cm="1">
        <f t="array" ref="AC17">PRODUCT(1 + 預測IC!$C17:AC17) - 1</f>
        <v>0.40779253935583704</v>
      </c>
      <c r="AD17" s="7" cm="1">
        <f t="array" ref="AD17">PRODUCT(1 + 預測IC!$C17:AD17) - 1</f>
        <v>0.31119006415108785</v>
      </c>
      <c r="AE17" s="7" cm="1">
        <f t="array" ref="AE17">PRODUCT(1 + 預測IC!$C17:AE17) - 1</f>
        <v>0.38913179033044787</v>
      </c>
      <c r="AF17" s="7" cm="1">
        <f t="array" ref="AF17">PRODUCT(1 + 預測IC!$C17:AF17) - 1</f>
        <v>0.22203823280900226</v>
      </c>
      <c r="AG17" s="7" cm="1">
        <f t="array" ref="AG17">PRODUCT(1 + 預測IC!$C17:AG17) - 1</f>
        <v>0.29858688071750228</v>
      </c>
      <c r="AH17" s="7" cm="1">
        <f t="array" ref="AH17">PRODUCT(1 + 預測IC!$C17:AH17) - 1</f>
        <v>0.34003965717671214</v>
      </c>
      <c r="AI17" s="7" cm="1">
        <f t="array" ref="AI17">PRODUCT(1 + 預測IC!$C17:AI17) - 1</f>
        <v>0.26360650783328032</v>
      </c>
      <c r="AJ17" s="7" cm="1">
        <f t="array" ref="AJ17">PRODUCT(1 + 預測IC!$C17:AJ17) - 1</f>
        <v>0.29166799821119405</v>
      </c>
      <c r="AK17" s="7" cm="1">
        <f t="array" ref="AK17">PRODUCT(1 + 預測IC!$C17:AK17) - 1</f>
        <v>0.253724101683521</v>
      </c>
      <c r="AL17" s="7" cm="1">
        <f t="array" ref="AL17">PRODUCT(1 + 預測IC!$C17:AL17) - 1</f>
        <v>0.21985075551496025</v>
      </c>
      <c r="AM17" s="7" cm="1">
        <f t="array" ref="AM17">PRODUCT(1 + 預測IC!$C17:AM17) - 1</f>
        <v>0.1059756015104838</v>
      </c>
      <c r="AN17" s="7" cm="1">
        <f t="array" ref="AN17">PRODUCT(1 + 預測IC!$C17:AN17) - 1</f>
        <v>5.1384233933583268E-2</v>
      </c>
      <c r="AO17" s="7" cm="1">
        <f t="array" ref="AO17">PRODUCT(1 + 預測IC!$C17:AO17) - 1</f>
        <v>3.8102796501864988E-2</v>
      </c>
      <c r="AP17" s="7" cm="1">
        <f t="array" ref="AP17">PRODUCT(1 + 預測IC!$C17:AP17) - 1</f>
        <v>0.11828877816051131</v>
      </c>
      <c r="AQ17" s="7" cm="1">
        <f t="array" ref="AQ17">PRODUCT(1 + 預測IC!$C17:AQ17) - 1</f>
        <v>0.185975596690787</v>
      </c>
      <c r="AR17" s="7" cm="1">
        <f t="array" ref="AR17">PRODUCT(1 + 預測IC!$C17:AR17) - 1</f>
        <v>0.14446967543267974</v>
      </c>
      <c r="AS17" s="7" cm="1">
        <f t="array" ref="AS17">PRODUCT(1 + 預測IC!$C17:AS17) - 1</f>
        <v>0.21176787648112949</v>
      </c>
      <c r="AT17" s="7" cm="1">
        <f t="array" ref="AT17">PRODUCT(1 + 預測IC!$C17:AT17) - 1</f>
        <v>0.27510432531103612</v>
      </c>
      <c r="AU17" s="7" cm="1">
        <f t="array" ref="AU17">PRODUCT(1 + 預測IC!$C17:AU17) - 1</f>
        <v>0.34466828862182952</v>
      </c>
      <c r="AV17" s="7" cm="1">
        <f t="array" ref="AV17">PRODUCT(1 + 預測IC!$C17:AV17) - 1</f>
        <v>0.31615338361891565</v>
      </c>
      <c r="AW17" s="7" cm="1">
        <f t="array" ref="AW17">PRODUCT(1 + 預測IC!$C17:AW17) - 1</f>
        <v>0.32723788006163868</v>
      </c>
      <c r="AX17" s="7" cm="1">
        <f t="array" ref="AX17">PRODUCT(1 + 預測IC!$C17:AX17) - 1</f>
        <v>0.19767410593183032</v>
      </c>
      <c r="AY17" s="7" cm="1">
        <f t="array" ref="AY17">PRODUCT(1 + 預測IC!$C17:AY17) - 1</f>
        <v>0.21621176048343327</v>
      </c>
      <c r="AZ17" s="7" cm="1">
        <f t="array" ref="AZ17">PRODUCT(1 + 預測IC!$C17:AZ17) - 1</f>
        <v>6.3993612700680824E-2</v>
      </c>
      <c r="BA17" s="7" cm="1">
        <f t="array" ref="BA17">PRODUCT(1 + 預測IC!$C17:BA17) - 1</f>
        <v>7.4447540514289035E-2</v>
      </c>
      <c r="BB17" s="7" cm="1">
        <f t="array" ref="BB17">PRODUCT(1 + 預測IC!$C17:BB17) - 1</f>
        <v>0.23912949493866598</v>
      </c>
      <c r="BC17" s="7" cm="1">
        <f t="array" ref="BC17">PRODUCT(1 + 預測IC!$C17:BC17) - 1</f>
        <v>0.20531015124861973</v>
      </c>
      <c r="BD17" s="7" cm="1">
        <f t="array" ref="BD17">PRODUCT(1 + 預測IC!$C17:BD17) - 1</f>
        <v>0.23225664624617992</v>
      </c>
      <c r="BE17" s="7" cm="1">
        <f t="array" ref="BE17">PRODUCT(1 + 預測IC!$C17:BE17) - 1</f>
        <v>0.21217408061721899</v>
      </c>
      <c r="BF17" s="7" cm="1">
        <f t="array" ref="BF17">PRODUCT(1 + 預測IC!$C17:BF17) - 1</f>
        <v>0.11833046759817334</v>
      </c>
      <c r="BG17" s="7" cm="1">
        <f t="array" ref="BG17">PRODUCT(1 + 預測IC!$C17:BG17) - 1</f>
        <v>0.10362071939665651</v>
      </c>
      <c r="BH17" s="7" cm="1">
        <f t="array" ref="BH17">PRODUCT(1 + 預測IC!$C17:BH17) - 1</f>
        <v>4.9832459126273321E-2</v>
      </c>
      <c r="BI17" s="7" cm="1">
        <f t="array" ref="BI17">PRODUCT(1 + 預測IC!$C17:BI17) - 1</f>
        <v>0.14128540702676684</v>
      </c>
      <c r="BJ17" s="7" cm="1">
        <f t="array" ref="BJ17">PRODUCT(1 + 預測IC!$C17:BJ17) - 1</f>
        <v>0.13003454213019028</v>
      </c>
      <c r="BK17" s="7" cm="1">
        <f t="array" ref="BK17">PRODUCT(1 + 預測IC!$C17:BK17) - 1</f>
        <v>0.25978035307168046</v>
      </c>
      <c r="BL17" s="7" cm="1">
        <f t="array" ref="BL17">PRODUCT(1 + 預測IC!$C17:BL17) - 1</f>
        <v>0.26932143198733627</v>
      </c>
      <c r="BM17" s="7" cm="1">
        <f t="array" ref="BM17">PRODUCT(1 + 預測IC!$C17:BM17) - 1</f>
        <v>0.17035583437770341</v>
      </c>
      <c r="BN17" s="7" cm="1">
        <f t="array" ref="BN17">PRODUCT(1 + 預測IC!$C17:BN17) - 1</f>
        <v>0.25656046247343389</v>
      </c>
      <c r="BO17" s="7" cm="1">
        <f t="array" ref="BO17">PRODUCT(1 + 預測IC!$C17:BO17) - 1</f>
        <v>0.2959540082857044</v>
      </c>
      <c r="BP17" s="7" cm="1">
        <f t="array" ref="BP17">PRODUCT(1 + 預測IC!$C17:BP17) - 1</f>
        <v>0.34260314240109957</v>
      </c>
      <c r="BQ17" s="7" cm="1">
        <f t="array" ref="BQ17">PRODUCT(1 + 預測IC!$C17:BQ17) - 1</f>
        <v>0.35787728107606442</v>
      </c>
      <c r="BR17" s="7" cm="1">
        <f t="array" ref="BR17">PRODUCT(1 + 預測IC!$C17:BR17) - 1</f>
        <v>0.51406352106564346</v>
      </c>
      <c r="BS17" s="7" cm="1">
        <f t="array" ref="BS17">PRODUCT(1 + 預測IC!$C17:BS17) - 1</f>
        <v>0.50785060817545435</v>
      </c>
      <c r="BT17" s="7" cm="1">
        <f t="array" ref="BT17">PRODUCT(1 + 預測IC!$C17:BT17) - 1</f>
        <v>0.4571150943923048</v>
      </c>
      <c r="BU17" s="7" cm="1">
        <f t="array" ref="BU17">PRODUCT(1 + 預測IC!$C17:BU17) - 1</f>
        <v>0.56075651272522631</v>
      </c>
      <c r="BV17" s="7" cm="1">
        <f t="array" ref="BV17">PRODUCT(1 + 預測IC!$C17:BV17) - 1</f>
        <v>0.67033770042352292</v>
      </c>
      <c r="BW17" s="7" cm="1">
        <f t="array" ref="BW17">PRODUCT(1 + 預測IC!$C17:BW17) - 1</f>
        <v>0.53598957855933937</v>
      </c>
      <c r="BX17" s="7" cm="1">
        <f t="array" ref="BX17">PRODUCT(1 + 預測IC!$C17:BX17) - 1</f>
        <v>0.58026135183834127</v>
      </c>
      <c r="BY17" s="7" cm="1">
        <f t="array" ref="BY17">PRODUCT(1 + 預測IC!$C17:BY17) - 1</f>
        <v>0.4287761207896541</v>
      </c>
      <c r="BZ17" s="7" cm="1">
        <f t="array" ref="BZ17">PRODUCT(1 + 預測IC!$C17:BZ17) - 1</f>
        <v>0.60105531060140116</v>
      </c>
      <c r="CA17" s="7" cm="1">
        <f t="array" ref="CA17">PRODUCT(1 + 預測IC!$C17:CA17) - 1</f>
        <v>0.64459886666094257</v>
      </c>
      <c r="CB17" s="7" cm="1">
        <f t="array" ref="CB17">PRODUCT(1 + 預測IC!$C17:CB17) - 1</f>
        <v>0.89068538821756671</v>
      </c>
      <c r="CC17" s="7" cm="1">
        <f t="array" ref="CC17">PRODUCT(1 + 預測IC!$C17:CC17) - 1</f>
        <v>0.96964088737888043</v>
      </c>
      <c r="CD17" s="7" cm="1">
        <f t="array" ref="CD17">PRODUCT(1 + 預測IC!$C17:CD17) - 1</f>
        <v>1.0959065782975417</v>
      </c>
      <c r="CE17" s="7" cm="1">
        <f t="array" ref="CE17">PRODUCT(1 + 預測IC!$C17:CE17) - 1</f>
        <v>1.2965017594808548</v>
      </c>
      <c r="CF17" s="7" cm="1">
        <f t="array" ref="CF17">PRODUCT(1 + 預測IC!$C17:CF17) - 1</f>
        <v>1.1627562606310864</v>
      </c>
      <c r="CG17" s="7" cm="1">
        <f t="array" ref="CG17">PRODUCT(1 + 預測IC!$C17:CG17) - 1</f>
        <v>1.5456389659680307</v>
      </c>
      <c r="CH17" s="7" cm="1">
        <f t="array" ref="CH17">PRODUCT(1 + 預測IC!$C17:CH17) - 1</f>
        <v>1.6949061892768409</v>
      </c>
      <c r="CI17" s="7" cm="1">
        <f t="array" ref="CI17">PRODUCT(1 + 預測IC!$C17:CI17) - 1</f>
        <v>1.4727033201518056</v>
      </c>
      <c r="CJ17" s="7" cm="1">
        <f t="array" ref="CJ17">PRODUCT(1 + 預測IC!$C17:CJ17) - 1</f>
        <v>1.5981740269585956</v>
      </c>
      <c r="CK17" s="7" cm="1">
        <f t="array" ref="CK17">PRODUCT(1 + 預測IC!$C17:CK17) - 1</f>
        <v>1.8365268037086389</v>
      </c>
      <c r="CL17" s="7" cm="1">
        <f t="array" ref="CL17">PRODUCT(1 + 預測IC!$C17:CL17) - 1</f>
        <v>1.809788724110283</v>
      </c>
      <c r="CM17" s="7" cm="1">
        <f t="array" ref="CM17">PRODUCT(1 + 預測IC!$C17:CM17) - 1</f>
        <v>1.8144809951155971</v>
      </c>
      <c r="CN17" s="7" cm="1">
        <f t="array" ref="CN17">PRODUCT(1 + 預測IC!$C17:CN17) - 1</f>
        <v>1.3176370665048269</v>
      </c>
      <c r="CO17" s="7" cm="1">
        <f t="array" ref="CO17">PRODUCT(1 + 預測IC!$C17:CO17) - 1</f>
        <v>1.636110239783541</v>
      </c>
      <c r="CP17" s="7" cm="1">
        <f t="array" ref="CP17">PRODUCT(1 + 預測IC!$C17:CP17) - 1</f>
        <v>1.2455460731335775</v>
      </c>
      <c r="CQ17" s="7" cm="1">
        <f t="array" ref="CQ17">PRODUCT(1 + 預測IC!$C17:CQ17) - 1</f>
        <v>1.1532812261204115</v>
      </c>
      <c r="CR17" s="7" cm="1">
        <f t="array" ref="CR17">PRODUCT(1 + 預測IC!$C17:CR17) - 1</f>
        <v>1.0441604900856487</v>
      </c>
      <c r="CS17" s="7" cm="1">
        <f t="array" ref="CS17">PRODUCT(1 + 預測IC!$C17:CS17) - 1</f>
        <v>1.0677613771520136</v>
      </c>
      <c r="CT17" s="7" cm="1">
        <f t="array" ref="CT17">PRODUCT(1 + 預測IC!$C17:CT17) - 1</f>
        <v>0.96590333511410997</v>
      </c>
      <c r="CU17" s="7" cm="1">
        <f t="array" ref="CU17">PRODUCT(1 + 預測IC!$C17:CU17) - 1</f>
        <v>1.1121828751522256</v>
      </c>
      <c r="CV17" s="7" cm="1">
        <f t="array" ref="CV17">PRODUCT(1 + 預測IC!$C17:CV17) - 1</f>
        <v>1.1039884336992061</v>
      </c>
      <c r="CW17" s="7" cm="1">
        <f t="array" ref="CW17">PRODUCT(1 + 預測IC!$C17:CW17) - 1</f>
        <v>1.1455671457529379</v>
      </c>
      <c r="CX17" s="7" cm="1">
        <f t="array" ref="CX17">PRODUCT(1 + 預測IC!$C17:CX17) - 1</f>
        <v>1.1991901236602041</v>
      </c>
      <c r="CY17" s="7" cm="1">
        <f t="array" ref="CY17">PRODUCT(1 + 預測IC!$C17:CY17) - 1</f>
        <v>1.307793386470391</v>
      </c>
      <c r="CZ17" s="7" cm="1">
        <f t="array" ref="CZ17">PRODUCT(1 + 預測IC!$C17:CZ17) - 1</f>
        <v>1.0210527402090204</v>
      </c>
      <c r="DA17" s="7" cm="1">
        <f t="array" ref="DA17">PRODUCT(1 + 預測IC!$C17:DA17) - 1</f>
        <v>1.1097685866181228</v>
      </c>
      <c r="DB17" s="7" cm="1">
        <f t="array" ref="DB17">PRODUCT(1 + 預測IC!$C17:DB17) - 1</f>
        <v>1.1833636669947327</v>
      </c>
      <c r="DC17" s="7" cm="1">
        <f t="array" ref="DC17">PRODUCT(1 + 預測IC!$C17:DC17) - 1</f>
        <v>0.96753949479697887</v>
      </c>
      <c r="DD17" s="7" cm="1">
        <f t="array" ref="DD17">PRODUCT(1 + 預測IC!$C17:DD17) - 1</f>
        <v>1.1350438704874546</v>
      </c>
      <c r="DE17" s="7" cm="1">
        <f t="array" ref="DE17">PRODUCT(1 + 預測IC!$C17:DE17) - 1</f>
        <v>1.0835362288726884</v>
      </c>
      <c r="DF17" s="7" cm="1">
        <f t="array" ref="DF17">PRODUCT(1 + 預測IC!$C17:DF17) - 1</f>
        <v>0.34966152581331311</v>
      </c>
      <c r="DG17" s="7" cm="1">
        <f t="array" ref="DG17">PRODUCT(1 + 預測IC!$C17:DG17) - 1</f>
        <v>0.35214393386788445</v>
      </c>
      <c r="DH17" s="7" cm="1">
        <f t="array" ref="DH17">PRODUCT(1 + 預測IC!$C17:DH17) - 1</f>
        <v>0.40450794001273715</v>
      </c>
      <c r="DI17" s="7" cm="1">
        <f t="array" ref="DI17">PRODUCT(1 + 預測IC!$C17:DI17) - 1</f>
        <v>0.35528761085405458</v>
      </c>
      <c r="DJ17" s="7" cm="1">
        <f t="array" ref="DJ17">PRODUCT(1 + 預測IC!$C17:DJ17) - 1</f>
        <v>0.27783766695673884</v>
      </c>
      <c r="DK17" s="7" cm="1">
        <f t="array" ref="DK17">PRODUCT(1 + 預測IC!$C17:DK17) - 1</f>
        <v>7.8448441692028581E-2</v>
      </c>
      <c r="DL17" s="7" cm="1">
        <f t="array" ref="DL17">PRODUCT(1 + 預測IC!$C17:DL17) - 1</f>
        <v>7.4210428673463058E-2</v>
      </c>
      <c r="DM17" s="7" cm="1">
        <f t="array" ref="DM17">PRODUCT(1 + 預測IC!$C17:DM17) - 1</f>
        <v>0.13034105014952879</v>
      </c>
      <c r="DN17" s="7" cm="1">
        <f t="array" ref="DN17">PRODUCT(1 + 預測IC!$C17:DN17) - 1</f>
        <v>6.1809396002091788E-2</v>
      </c>
      <c r="DO17" s="7" cm="1">
        <f t="array" ref="DO17">PRODUCT(1 + 預測IC!$C17:DO17) - 1</f>
        <v>0.25268335998655167</v>
      </c>
      <c r="DP17" s="7" cm="1">
        <f t="array" ref="DP17">PRODUCT(1 + 預測IC!$C17:DP17) - 1</f>
        <v>0.28412249293606884</v>
      </c>
      <c r="DQ17" s="7" cm="1">
        <f t="array" ref="DQ17">PRODUCT(1 + 預測IC!$C17:DQ17) - 1</f>
        <v>0.3679042279115845</v>
      </c>
      <c r="DR17" s="7" cm="1">
        <f t="array" ref="DR17">PRODUCT(1 + 預測IC!$C17:DR17) - 1</f>
        <v>0.40309553322661151</v>
      </c>
      <c r="DS17" s="7" cm="1">
        <f t="array" ref="DS17">PRODUCT(1 + 預測IC!$C17:DS17) - 1</f>
        <v>0.35068417814657704</v>
      </c>
      <c r="DT17" s="7" cm="1">
        <f t="array" ref="DT17">PRODUCT(1 + 預測IC!$C17:DT17) - 1</f>
        <v>0.47648548385550149</v>
      </c>
      <c r="DU17" s="7" cm="1">
        <f t="array" ref="DU17">PRODUCT(1 + 預測IC!$C17:DU17) - 1</f>
        <v>0.58239483008577841</v>
      </c>
      <c r="DV17" s="7" cm="1">
        <f t="array" ref="DV17">PRODUCT(1 + 預測IC!$C17:DV17) - 1</f>
        <v>0.39604347295201081</v>
      </c>
      <c r="DW17" s="7" cm="1">
        <f t="array" ref="DW17">PRODUCT(1 + 預測IC!$C17:DW17) - 1</f>
        <v>0.46400494012595672</v>
      </c>
      <c r="DX17" s="7" cm="1">
        <f t="array" ref="DX17">PRODUCT(1 + 預測IC!$C17:DX17) - 1</f>
        <v>0.4977285576903403</v>
      </c>
      <c r="DY17" s="7" cm="1">
        <f t="array" ref="DY17">PRODUCT(1 + 預測IC!$C17:DY17) - 1</f>
        <v>0.68645813887467111</v>
      </c>
      <c r="DZ17" s="7" cm="1">
        <f t="array" ref="DZ17">PRODUCT(1 + 預測IC!$C17:DZ17) - 1</f>
        <v>0.69453804961515031</v>
      </c>
      <c r="EA17" s="7" cm="1">
        <f t="array" ref="EA17">PRODUCT(1 + 預測IC!$C17:EA17) - 1</f>
        <v>0.41566534161520807</v>
      </c>
      <c r="EB17" s="7" cm="1">
        <f t="array" ref="EB17">PRODUCT(1 + 預測IC!$C17:EB17) - 1</f>
        <v>0.52011450331525033</v>
      </c>
      <c r="EC17" s="7" cm="1">
        <f t="array" ref="EC17">PRODUCT(1 + 預測IC!$C17:EC17) - 1</f>
        <v>0.70482668309146534</v>
      </c>
      <c r="ED17" s="7" cm="1">
        <f t="array" ref="ED17">PRODUCT(1 + 預測IC!$C17:ED17) - 1</f>
        <v>0.92359761919435024</v>
      </c>
      <c r="EE17" s="7" cm="1">
        <f t="array" ref="EE17">PRODUCT(1 + 預測IC!$C17:EE17) - 1</f>
        <v>0.92322536237848807</v>
      </c>
      <c r="EF17" s="7" cm="1">
        <f t="array" ref="EF17">PRODUCT(1 + 預測IC!$C17:EF17) - 1</f>
        <v>0.83146872843197239</v>
      </c>
    </row>
    <row r="18" spans="1:136" x14ac:dyDescent="0.3">
      <c r="A18" s="1">
        <v>7</v>
      </c>
      <c r="B18" s="1" t="s">
        <v>156</v>
      </c>
      <c r="C18" s="7" cm="1">
        <f t="array" ref="C18">PRODUCT(1 + 預測IC!$C18:C18) - 1</f>
        <v>-5.3942228163147199E-2</v>
      </c>
      <c r="D18" s="7" cm="1">
        <f t="array" ref="D18">PRODUCT(1 + 預測IC!$C18:D18) - 1</f>
        <v>0.32626295202060596</v>
      </c>
      <c r="E18" s="7" cm="1">
        <f t="array" ref="E18">PRODUCT(1 + 預測IC!$C18:E18) - 1</f>
        <v>0.40451333767483044</v>
      </c>
      <c r="F18" s="7" cm="1">
        <f t="array" ref="F18">PRODUCT(1 + 預測IC!$C18:F18) - 1</f>
        <v>0.59330011934173932</v>
      </c>
      <c r="G18" s="7" cm="1">
        <f t="array" ref="G18">PRODUCT(1 + 預測IC!$C18:G18) - 1</f>
        <v>0.72202960276220129</v>
      </c>
      <c r="H18" s="7" cm="1">
        <f t="array" ref="H18">PRODUCT(1 + 預測IC!$C18:H18) - 1</f>
        <v>0.51209217052333744</v>
      </c>
      <c r="I18" s="7" cm="1">
        <f t="array" ref="I18">PRODUCT(1 + 預測IC!$C18:I18) - 1</f>
        <v>0.30720340890327336</v>
      </c>
      <c r="J18" s="7" cm="1">
        <f t="array" ref="J18">PRODUCT(1 + 預測IC!$C18:J18) - 1</f>
        <v>0.14359148631348528</v>
      </c>
      <c r="K18" s="7" cm="1">
        <f t="array" ref="K18">PRODUCT(1 + 預測IC!$C18:K18) - 1</f>
        <v>0.55377728046017438</v>
      </c>
      <c r="L18" s="7" cm="1">
        <f t="array" ref="L18">PRODUCT(1 + 預測IC!$C18:L18) - 1</f>
        <v>0.53360538735346141</v>
      </c>
      <c r="M18" s="7" cm="1">
        <f t="array" ref="M18">PRODUCT(1 + 預測IC!$C18:M18) - 1</f>
        <v>0.57815886963170349</v>
      </c>
      <c r="N18" s="7" cm="1">
        <f t="array" ref="N18">PRODUCT(1 + 預測IC!$C18:N18) - 1</f>
        <v>0.35249410222207556</v>
      </c>
      <c r="O18" s="7" cm="1">
        <f t="array" ref="O18">PRODUCT(1 + 預測IC!$C18:O18) - 1</f>
        <v>0.38539199949017733</v>
      </c>
      <c r="P18" s="7" cm="1">
        <f t="array" ref="P18">PRODUCT(1 + 預測IC!$C18:P18) - 1</f>
        <v>0.39692966300325017</v>
      </c>
      <c r="Q18" s="7" cm="1">
        <f t="array" ref="Q18">PRODUCT(1 + 預測IC!$C18:Q18) - 1</f>
        <v>0.66091503094905724</v>
      </c>
      <c r="R18" s="7" cm="1">
        <f t="array" ref="R18">PRODUCT(1 + 預測IC!$C18:R18) - 1</f>
        <v>0.69301420523778434</v>
      </c>
      <c r="S18" s="7" cm="1">
        <f t="array" ref="S18">PRODUCT(1 + 預測IC!$C18:S18) - 1</f>
        <v>0.57617363960032497</v>
      </c>
      <c r="T18" s="7" cm="1">
        <f t="array" ref="T18">PRODUCT(1 + 預測IC!$C18:T18) - 1</f>
        <v>0.56824841760300981</v>
      </c>
      <c r="U18" s="7" cm="1">
        <f t="array" ref="U18">PRODUCT(1 + 預測IC!$C18:U18) - 1</f>
        <v>0.77603353000534581</v>
      </c>
      <c r="V18" s="7" cm="1">
        <f t="array" ref="V18">PRODUCT(1 + 預測IC!$C18:V18) - 1</f>
        <v>0.5604382242565511</v>
      </c>
      <c r="W18" s="7" cm="1">
        <f t="array" ref="W18">PRODUCT(1 + 預測IC!$C18:W18) - 1</f>
        <v>0.30119508628440061</v>
      </c>
      <c r="X18" s="7" cm="1">
        <f t="array" ref="X18">PRODUCT(1 + 預測IC!$C18:X18) - 1</f>
        <v>0.46660666022256092</v>
      </c>
      <c r="Y18" s="7" cm="1">
        <f t="array" ref="Y18">PRODUCT(1 + 預測IC!$C18:Y18) - 1</f>
        <v>0.31425666924701434</v>
      </c>
      <c r="Z18" s="7" cm="1">
        <f t="array" ref="Z18">PRODUCT(1 + 預測IC!$C18:Z18) - 1</f>
        <v>0.29203821899934779</v>
      </c>
      <c r="AA18" s="7" cm="1">
        <f t="array" ref="AA18">PRODUCT(1 + 預測IC!$C18:AA18) - 1</f>
        <v>0.36284772496285833</v>
      </c>
      <c r="AB18" s="7" cm="1">
        <f t="array" ref="AB18">PRODUCT(1 + 預測IC!$C18:AB18) - 1</f>
        <v>0.27874114397347682</v>
      </c>
      <c r="AC18" s="7" cm="1">
        <f t="array" ref="AC18">PRODUCT(1 + 預測IC!$C18:AC18) - 1</f>
        <v>0.35268180958089679</v>
      </c>
      <c r="AD18" s="7" cm="1">
        <f t="array" ref="AD18">PRODUCT(1 + 預測IC!$C18:AD18) - 1</f>
        <v>0.22243769827845772</v>
      </c>
      <c r="AE18" s="7" cm="1">
        <f t="array" ref="AE18">PRODUCT(1 + 預測IC!$C18:AE18) - 1</f>
        <v>0.31681183424047443</v>
      </c>
      <c r="AF18" s="7" cm="1">
        <f t="array" ref="AF18">PRODUCT(1 + 預測IC!$C18:AF18) - 1</f>
        <v>0.1185741877504991</v>
      </c>
      <c r="AG18" s="7" cm="1">
        <f t="array" ref="AG18">PRODUCT(1 + 預測IC!$C18:AG18) - 1</f>
        <v>0.20998404788202318</v>
      </c>
      <c r="AH18" s="7" cm="1">
        <f t="array" ref="AH18">PRODUCT(1 + 預測IC!$C18:AH18) - 1</f>
        <v>0.25343848379318135</v>
      </c>
      <c r="AI18" s="7" cm="1">
        <f t="array" ref="AI18">PRODUCT(1 + 預測IC!$C18:AI18) - 1</f>
        <v>0.1513788219842882</v>
      </c>
      <c r="AJ18" s="7" cm="1">
        <f t="array" ref="AJ18">PRODUCT(1 + 預測IC!$C18:AJ18) - 1</f>
        <v>0.15981548569757908</v>
      </c>
      <c r="AK18" s="7" cm="1">
        <f t="array" ref="AK18">PRODUCT(1 + 預測IC!$C18:AK18) - 1</f>
        <v>0.13333355167157812</v>
      </c>
      <c r="AL18" s="7" cm="1">
        <f t="array" ref="AL18">PRODUCT(1 + 預測IC!$C18:AL18) - 1</f>
        <v>9.6145691157062396E-2</v>
      </c>
      <c r="AM18" s="7" cm="1">
        <f t="array" ref="AM18">PRODUCT(1 + 預測IC!$C18:AM18) - 1</f>
        <v>-9.1424228538444785E-3</v>
      </c>
      <c r="AN18" s="7" cm="1">
        <f t="array" ref="AN18">PRODUCT(1 + 預測IC!$C18:AN18) - 1</f>
        <v>-6.2313404279028539E-2</v>
      </c>
      <c r="AO18" s="7" cm="1">
        <f t="array" ref="AO18">PRODUCT(1 + 預測IC!$C18:AO18) - 1</f>
        <v>-6.7402731066040888E-2</v>
      </c>
      <c r="AP18" s="7" cm="1">
        <f t="array" ref="AP18">PRODUCT(1 + 預測IC!$C18:AP18) - 1</f>
        <v>5.5996699874232281E-3</v>
      </c>
      <c r="AQ18" s="7" cm="1">
        <f t="array" ref="AQ18">PRODUCT(1 + 預測IC!$C18:AQ18) - 1</f>
        <v>8.2257382890563724E-2</v>
      </c>
      <c r="AR18" s="7" cm="1">
        <f t="array" ref="AR18">PRODUCT(1 + 預測IC!$C18:AR18) - 1</f>
        <v>1.5488029239701717E-2</v>
      </c>
      <c r="AS18" s="7" cm="1">
        <f t="array" ref="AS18">PRODUCT(1 + 預測IC!$C18:AS18) - 1</f>
        <v>0.10003058400793208</v>
      </c>
      <c r="AT18" s="7" cm="1">
        <f t="array" ref="AT18">PRODUCT(1 + 預測IC!$C18:AT18) - 1</f>
        <v>0.14769012388258651</v>
      </c>
      <c r="AU18" s="7" cm="1">
        <f t="array" ref="AU18">PRODUCT(1 + 預測IC!$C18:AU18) - 1</f>
        <v>0.22180295283609075</v>
      </c>
      <c r="AV18" s="7" cm="1">
        <f t="array" ref="AV18">PRODUCT(1 + 預測IC!$C18:AV18) - 1</f>
        <v>0.18665320195038793</v>
      </c>
      <c r="AW18" s="7" cm="1">
        <f t="array" ref="AW18">PRODUCT(1 + 預測IC!$C18:AW18) - 1</f>
        <v>0.21577133885216626</v>
      </c>
      <c r="AX18" s="7" cm="1">
        <f t="array" ref="AX18">PRODUCT(1 + 預測IC!$C18:AX18) - 1</f>
        <v>6.2505930558091949E-2</v>
      </c>
      <c r="AY18" s="7" cm="1">
        <f t="array" ref="AY18">PRODUCT(1 + 預測IC!$C18:AY18) - 1</f>
        <v>9.4582303246858457E-2</v>
      </c>
      <c r="AZ18" s="7" cm="1">
        <f t="array" ref="AZ18">PRODUCT(1 + 預測IC!$C18:AZ18) - 1</f>
        <v>-6.7863651977135397E-2</v>
      </c>
      <c r="BA18" s="7" cm="1">
        <f t="array" ref="BA18">PRODUCT(1 + 預測IC!$C18:BA18) - 1</f>
        <v>-6.7274251980984023E-2</v>
      </c>
      <c r="BB18" s="7" cm="1">
        <f t="array" ref="BB18">PRODUCT(1 + 預測IC!$C18:BB18) - 1</f>
        <v>8.8731608418691543E-2</v>
      </c>
      <c r="BC18" s="7" cm="1">
        <f t="array" ref="BC18">PRODUCT(1 + 預測IC!$C18:BC18) - 1</f>
        <v>0.11915300222196357</v>
      </c>
      <c r="BD18" s="7" cm="1">
        <f t="array" ref="BD18">PRODUCT(1 + 預測IC!$C18:BD18) - 1</f>
        <v>9.2275119660942817E-2</v>
      </c>
      <c r="BE18" s="7" cm="1">
        <f t="array" ref="BE18">PRODUCT(1 + 預測IC!$C18:BE18) - 1</f>
        <v>6.7993252547267957E-2</v>
      </c>
      <c r="BF18" s="7" cm="1">
        <f t="array" ref="BF18">PRODUCT(1 + 預測IC!$C18:BF18) - 1</f>
        <v>2.7256624554217401E-2</v>
      </c>
      <c r="BG18" s="7" cm="1">
        <f t="array" ref="BG18">PRODUCT(1 + 預測IC!$C18:BG18) - 1</f>
        <v>2.4885472918432683E-2</v>
      </c>
      <c r="BH18" s="7" cm="1">
        <f t="array" ref="BH18">PRODUCT(1 + 預測IC!$C18:BH18) - 1</f>
        <v>-3.9616087696657254E-2</v>
      </c>
      <c r="BI18" s="7" cm="1">
        <f t="array" ref="BI18">PRODUCT(1 + 預測IC!$C18:BI18) - 1</f>
        <v>6.5065765388982344E-2</v>
      </c>
      <c r="BJ18" s="7" cm="1">
        <f t="array" ref="BJ18">PRODUCT(1 + 預測IC!$C18:BJ18) - 1</f>
        <v>7.1409365305590722E-2</v>
      </c>
      <c r="BK18" s="7" cm="1">
        <f t="array" ref="BK18">PRODUCT(1 + 預測IC!$C18:BK18) - 1</f>
        <v>0.15011041181922291</v>
      </c>
      <c r="BL18" s="7" cm="1">
        <f t="array" ref="BL18">PRODUCT(1 + 預測IC!$C18:BL18) - 1</f>
        <v>0.18041901788284642</v>
      </c>
      <c r="BM18" s="7" cm="1">
        <f t="array" ref="BM18">PRODUCT(1 + 預測IC!$C18:BM18) - 1</f>
        <v>9.8046625216737127E-2</v>
      </c>
      <c r="BN18" s="7" cm="1">
        <f t="array" ref="BN18">PRODUCT(1 + 預測IC!$C18:BN18) - 1</f>
        <v>0.1839234237459495</v>
      </c>
      <c r="BO18" s="7" cm="1">
        <f t="array" ref="BO18">PRODUCT(1 + 預測IC!$C18:BO18) - 1</f>
        <v>0.19387634981171487</v>
      </c>
      <c r="BP18" s="7" cm="1">
        <f t="array" ref="BP18">PRODUCT(1 + 預測IC!$C18:BP18) - 1</f>
        <v>0.24981845902764022</v>
      </c>
      <c r="BQ18" s="7" cm="1">
        <f t="array" ref="BQ18">PRODUCT(1 + 預測IC!$C18:BQ18) - 1</f>
        <v>0.25221409119010052</v>
      </c>
      <c r="BR18" s="7" cm="1">
        <f t="array" ref="BR18">PRODUCT(1 + 預測IC!$C18:BR18) - 1</f>
        <v>0.40368418403850748</v>
      </c>
      <c r="BS18" s="7" cm="1">
        <f t="array" ref="BS18">PRODUCT(1 + 預測IC!$C18:BS18) - 1</f>
        <v>0.39809243249454229</v>
      </c>
      <c r="BT18" s="7" cm="1">
        <f t="array" ref="BT18">PRODUCT(1 + 預測IC!$C18:BT18) - 1</f>
        <v>0.37949899043366719</v>
      </c>
      <c r="BU18" s="7" cm="1">
        <f t="array" ref="BU18">PRODUCT(1 + 預測IC!$C18:BU18) - 1</f>
        <v>0.49079344303767214</v>
      </c>
      <c r="BV18" s="7" cm="1">
        <f t="array" ref="BV18">PRODUCT(1 + 預測IC!$C18:BV18) - 1</f>
        <v>0.61143351010503255</v>
      </c>
      <c r="BW18" s="7" cm="1">
        <f t="array" ref="BW18">PRODUCT(1 + 預測IC!$C18:BW18) - 1</f>
        <v>0.47396036583739787</v>
      </c>
      <c r="BX18" s="7" cm="1">
        <f t="array" ref="BX18">PRODUCT(1 + 預測IC!$C18:BX18) - 1</f>
        <v>0.50199284378751496</v>
      </c>
      <c r="BY18" s="7" cm="1">
        <f t="array" ref="BY18">PRODUCT(1 + 預測IC!$C18:BY18) - 1</f>
        <v>0.40783780222315058</v>
      </c>
      <c r="BZ18" s="7" cm="1">
        <f t="array" ref="BZ18">PRODUCT(1 + 預測IC!$C18:BZ18) - 1</f>
        <v>0.62368747688804071</v>
      </c>
      <c r="CA18" s="7" cm="1">
        <f t="array" ref="CA18">PRODUCT(1 + 預測IC!$C18:CA18) - 1</f>
        <v>0.67773380599066013</v>
      </c>
      <c r="CB18" s="7" cm="1">
        <f t="array" ref="CB18">PRODUCT(1 + 預測IC!$C18:CB18) - 1</f>
        <v>0.8569930536782242</v>
      </c>
      <c r="CC18" s="7" cm="1">
        <f t="array" ref="CC18">PRODUCT(1 + 預測IC!$C18:CC18) - 1</f>
        <v>1.0513471051457883</v>
      </c>
      <c r="CD18" s="7" cm="1">
        <f t="array" ref="CD18">PRODUCT(1 + 預測IC!$C18:CD18) - 1</f>
        <v>1.1548289397730453</v>
      </c>
      <c r="CE18" s="7" cm="1">
        <f t="array" ref="CE18">PRODUCT(1 + 預測IC!$C18:CE18) - 1</f>
        <v>1.3213118745549326</v>
      </c>
      <c r="CF18" s="7" cm="1">
        <f t="array" ref="CF18">PRODUCT(1 + 預測IC!$C18:CF18) - 1</f>
        <v>1.423351506256906</v>
      </c>
      <c r="CG18" s="7" cm="1">
        <f t="array" ref="CG18">PRODUCT(1 + 預測IC!$C18:CG18) - 1</f>
        <v>1.9725832986287797</v>
      </c>
      <c r="CH18" s="7" cm="1">
        <f t="array" ref="CH18">PRODUCT(1 + 預測IC!$C18:CH18) - 1</f>
        <v>2.456094919015531</v>
      </c>
      <c r="CI18" s="7" cm="1">
        <f t="array" ref="CI18">PRODUCT(1 + 預測IC!$C18:CI18) - 1</f>
        <v>2.0492247279095444</v>
      </c>
      <c r="CJ18" s="7" cm="1">
        <f t="array" ref="CJ18">PRODUCT(1 + 預測IC!$C18:CJ18) - 1</f>
        <v>2.2392331352202475</v>
      </c>
      <c r="CK18" s="7" cm="1">
        <f t="array" ref="CK18">PRODUCT(1 + 預測IC!$C18:CK18) - 1</f>
        <v>2.532927226396815</v>
      </c>
      <c r="CL18" s="7" cm="1">
        <f t="array" ref="CL18">PRODUCT(1 + 預測IC!$C18:CL18) - 1</f>
        <v>2.4234434189270737</v>
      </c>
      <c r="CM18" s="7" cm="1">
        <f t="array" ref="CM18">PRODUCT(1 + 預測IC!$C18:CM18) - 1</f>
        <v>2.4766736859579459</v>
      </c>
      <c r="CN18" s="7" cm="1">
        <f t="array" ref="CN18">PRODUCT(1 + 預測IC!$C18:CN18) - 1</f>
        <v>2.0561938760766552</v>
      </c>
      <c r="CO18" s="7" cm="1">
        <f t="array" ref="CO18">PRODUCT(1 + 預測IC!$C18:CO18) - 1</f>
        <v>2.5164490627365628</v>
      </c>
      <c r="CP18" s="7" cm="1">
        <f t="array" ref="CP18">PRODUCT(1 + 預測IC!$C18:CP18) - 1</f>
        <v>1.9438336306994737</v>
      </c>
      <c r="CQ18" s="7" cm="1">
        <f t="array" ref="CQ18">PRODUCT(1 + 預測IC!$C18:CQ18) - 1</f>
        <v>1.8025986893363379</v>
      </c>
      <c r="CR18" s="7" cm="1">
        <f t="array" ref="CR18">PRODUCT(1 + 預測IC!$C18:CR18) - 1</f>
        <v>1.6480181952863506</v>
      </c>
      <c r="CS18" s="7" cm="1">
        <f t="array" ref="CS18">PRODUCT(1 + 預測IC!$C18:CS18) - 1</f>
        <v>1.7225031350700686</v>
      </c>
      <c r="CT18" s="7" cm="1">
        <f t="array" ref="CT18">PRODUCT(1 + 預測IC!$C18:CT18) - 1</f>
        <v>1.4760745958392323</v>
      </c>
      <c r="CU18" s="7" cm="1">
        <f t="array" ref="CU18">PRODUCT(1 + 預測IC!$C18:CU18) - 1</f>
        <v>1.6534820999573347</v>
      </c>
      <c r="CV18" s="7" cm="1">
        <f t="array" ref="CV18">PRODUCT(1 + 預測IC!$C18:CV18) - 1</f>
        <v>1.4119083406841999</v>
      </c>
      <c r="CW18" s="7" cm="1">
        <f t="array" ref="CW18">PRODUCT(1 + 預測IC!$C18:CW18) - 1</f>
        <v>1.4323036439868186</v>
      </c>
      <c r="CX18" s="7" cm="1">
        <f t="array" ref="CX18">PRODUCT(1 + 預測IC!$C18:CX18) - 1</f>
        <v>1.3980598549445276</v>
      </c>
      <c r="CY18" s="7" cm="1">
        <f t="array" ref="CY18">PRODUCT(1 + 預測IC!$C18:CY18) - 1</f>
        <v>1.5212180071716079</v>
      </c>
      <c r="CZ18" s="7" cm="1">
        <f t="array" ref="CZ18">PRODUCT(1 + 預測IC!$C18:CZ18) - 1</f>
        <v>1.1862921880909454</v>
      </c>
      <c r="DA18" s="7" cm="1">
        <f t="array" ref="DA18">PRODUCT(1 + 預測IC!$C18:DA18) - 1</f>
        <v>1.2898807660250746</v>
      </c>
      <c r="DB18" s="7" cm="1">
        <f t="array" ref="DB18">PRODUCT(1 + 預測IC!$C18:DB18) - 1</f>
        <v>1.394608940708709</v>
      </c>
      <c r="DC18" s="7" cm="1">
        <f t="array" ref="DC18">PRODUCT(1 + 預測IC!$C18:DC18) - 1</f>
        <v>1.1962881293539818</v>
      </c>
      <c r="DD18" s="7" cm="1">
        <f t="array" ref="DD18">PRODUCT(1 + 預測IC!$C18:DD18) - 1</f>
        <v>1.3773992174545517</v>
      </c>
      <c r="DE18" s="7" cm="1">
        <f t="array" ref="DE18">PRODUCT(1 + 預測IC!$C18:DE18) - 1</f>
        <v>1.286058142830119</v>
      </c>
      <c r="DF18" s="7" cm="1">
        <f t="array" ref="DF18">PRODUCT(1 + 預測IC!$C18:DF18) - 1</f>
        <v>0.44777888834126012</v>
      </c>
      <c r="DG18" s="7" cm="1">
        <f t="array" ref="DG18">PRODUCT(1 + 預測IC!$C18:DG18) - 1</f>
        <v>0.45881020071915657</v>
      </c>
      <c r="DH18" s="7" cm="1">
        <f t="array" ref="DH18">PRODUCT(1 + 預測IC!$C18:DH18) - 1</f>
        <v>0.49971234045418478</v>
      </c>
      <c r="DI18" s="7" cm="1">
        <f t="array" ref="DI18">PRODUCT(1 + 預測IC!$C18:DI18) - 1</f>
        <v>0.47179782268703208</v>
      </c>
      <c r="DJ18" s="7" cm="1">
        <f t="array" ref="DJ18">PRODUCT(1 + 預測IC!$C18:DJ18) - 1</f>
        <v>0.39724462308467334</v>
      </c>
      <c r="DK18" s="7" cm="1">
        <f t="array" ref="DK18">PRODUCT(1 + 預測IC!$C18:DK18) - 1</f>
        <v>0.17576230994413011</v>
      </c>
      <c r="DL18" s="7" cm="1">
        <f t="array" ref="DL18">PRODUCT(1 + 預測IC!$C18:DL18) - 1</f>
        <v>0.17125881805869891</v>
      </c>
      <c r="DM18" s="7" cm="1">
        <f t="array" ref="DM18">PRODUCT(1 + 預測IC!$C18:DM18) - 1</f>
        <v>0.24915706436378771</v>
      </c>
      <c r="DN18" s="7" cm="1">
        <f t="array" ref="DN18">PRODUCT(1 + 預測IC!$C18:DN18) - 1</f>
        <v>0.17811093112025578</v>
      </c>
      <c r="DO18" s="7" cm="1">
        <f t="array" ref="DO18">PRODUCT(1 + 預測IC!$C18:DO18) - 1</f>
        <v>0.43767258097831441</v>
      </c>
      <c r="DP18" s="7" cm="1">
        <f t="array" ref="DP18">PRODUCT(1 + 預測IC!$C18:DP18) - 1</f>
        <v>0.46859739946970436</v>
      </c>
      <c r="DQ18" s="7" cm="1">
        <f t="array" ref="DQ18">PRODUCT(1 + 預測IC!$C18:DQ18) - 1</f>
        <v>0.55958512819395012</v>
      </c>
      <c r="DR18" s="7" cm="1">
        <f t="array" ref="DR18">PRODUCT(1 + 預測IC!$C18:DR18) - 1</f>
        <v>0.57588474042392268</v>
      </c>
      <c r="DS18" s="7" cm="1">
        <f t="array" ref="DS18">PRODUCT(1 + 預測IC!$C18:DS18) - 1</f>
        <v>0.55811194028442035</v>
      </c>
      <c r="DT18" s="7" cm="1">
        <f t="array" ref="DT18">PRODUCT(1 + 預測IC!$C18:DT18) - 1</f>
        <v>0.73888002109696949</v>
      </c>
      <c r="DU18" s="7" cm="1">
        <f t="array" ref="DU18">PRODUCT(1 + 預測IC!$C18:DU18) - 1</f>
        <v>0.90736912430657246</v>
      </c>
      <c r="DV18" s="7" cm="1">
        <f t="array" ref="DV18">PRODUCT(1 + 預測IC!$C18:DV18) - 1</f>
        <v>0.7058734888083853</v>
      </c>
      <c r="DW18" s="7" cm="1">
        <f t="array" ref="DW18">PRODUCT(1 + 預測IC!$C18:DW18) - 1</f>
        <v>0.84559935547926157</v>
      </c>
      <c r="DX18" s="7" cm="1">
        <f t="array" ref="DX18">PRODUCT(1 + 預測IC!$C18:DX18) - 1</f>
        <v>0.97142732446129676</v>
      </c>
      <c r="DY18" s="7" cm="1">
        <f t="array" ref="DY18">PRODUCT(1 + 預測IC!$C18:DY18) - 1</f>
        <v>1.2982172383795074</v>
      </c>
      <c r="DZ18" s="7" cm="1">
        <f t="array" ref="DZ18">PRODUCT(1 + 預測IC!$C18:DZ18) - 1</f>
        <v>1.3975642396186263</v>
      </c>
      <c r="EA18" s="7" cm="1">
        <f t="array" ref="EA18">PRODUCT(1 + 預測IC!$C18:EA18) - 1</f>
        <v>0.92057902819563853</v>
      </c>
      <c r="EB18" s="7" cm="1">
        <f t="array" ref="EB18">PRODUCT(1 + 預測IC!$C18:EB18) - 1</f>
        <v>1.1069571825702398</v>
      </c>
      <c r="EC18" s="7" cm="1">
        <f t="array" ref="EC18">PRODUCT(1 + 預測IC!$C18:EC18) - 1</f>
        <v>1.4083368238142127</v>
      </c>
      <c r="ED18" s="7" cm="1">
        <f t="array" ref="ED18">PRODUCT(1 + 預測IC!$C18:ED18) - 1</f>
        <v>1.6744051120956875</v>
      </c>
      <c r="EE18" s="7" cm="1">
        <f t="array" ref="EE18">PRODUCT(1 + 預測IC!$C18:EE18) - 1</f>
        <v>1.6773771455276494</v>
      </c>
      <c r="EF18" s="7" cm="1">
        <f t="array" ref="EF18">PRODUCT(1 + 預測IC!$C18:EF18) - 1</f>
        <v>1.5463061015573052</v>
      </c>
    </row>
    <row r="19" spans="1:136" x14ac:dyDescent="0.3">
      <c r="A19" s="1">
        <v>6</v>
      </c>
      <c r="B19" s="1" t="s">
        <v>157</v>
      </c>
      <c r="C19" s="7" cm="1">
        <f t="array" ref="C19">PRODUCT(1 + 預測IC!$C19:C19) - 1</f>
        <v>-7.7959416087486244E-2</v>
      </c>
      <c r="D19" s="7" cm="1">
        <f t="array" ref="D19">PRODUCT(1 + 預測IC!$C19:D19) - 1</f>
        <v>0.29779121739985026</v>
      </c>
      <c r="E19" s="7" cm="1">
        <f t="array" ref="E19">PRODUCT(1 + 預測IC!$C19:E19) - 1</f>
        <v>0.36903748134319114</v>
      </c>
      <c r="F19" s="7" cm="1">
        <f t="array" ref="F19">PRODUCT(1 + 預測IC!$C19:F19) - 1</f>
        <v>0.42194623737500625</v>
      </c>
      <c r="G19" s="7" cm="1">
        <f t="array" ref="G19">PRODUCT(1 + 預測IC!$C19:G19) - 1</f>
        <v>0.56060318764764427</v>
      </c>
      <c r="H19" s="7" cm="1">
        <f t="array" ref="H19">PRODUCT(1 + 預測IC!$C19:H19) - 1</f>
        <v>0.32823854617650361</v>
      </c>
      <c r="I19" s="7" cm="1">
        <f t="array" ref="I19">PRODUCT(1 + 預測IC!$C19:I19) - 1</f>
        <v>0.14938547082037523</v>
      </c>
      <c r="J19" s="7" cm="1">
        <f t="array" ref="J19">PRODUCT(1 + 預測IC!$C19:J19) - 1</f>
        <v>-3.018342711804467E-2</v>
      </c>
      <c r="K19" s="7" cm="1">
        <f t="array" ref="K19">PRODUCT(1 + 預測IC!$C19:K19) - 1</f>
        <v>0.37552755381612823</v>
      </c>
      <c r="L19" s="7" cm="1">
        <f t="array" ref="L19">PRODUCT(1 + 預測IC!$C19:L19) - 1</f>
        <v>0.31631252642589414</v>
      </c>
      <c r="M19" s="7" cm="1">
        <f t="array" ref="M19">PRODUCT(1 + 預測IC!$C19:M19) - 1</f>
        <v>0.25880252129084136</v>
      </c>
      <c r="N19" s="7" cm="1">
        <f t="array" ref="N19">PRODUCT(1 + 預測IC!$C19:N19) - 1</f>
        <v>0.13877836238454244</v>
      </c>
      <c r="O19" s="7" cm="1">
        <f t="array" ref="O19">PRODUCT(1 + 預測IC!$C19:O19) - 1</f>
        <v>0.11623347291302921</v>
      </c>
      <c r="P19" s="7" cm="1">
        <f t="array" ref="P19">PRODUCT(1 + 預測IC!$C19:P19) - 1</f>
        <v>0.14247965007934571</v>
      </c>
      <c r="Q19" s="7" cm="1">
        <f t="array" ref="Q19">PRODUCT(1 + 預測IC!$C19:Q19) - 1</f>
        <v>0.36773446616835748</v>
      </c>
      <c r="R19" s="7" cm="1">
        <f t="array" ref="R19">PRODUCT(1 + 預測IC!$C19:R19) - 1</f>
        <v>0.42510084606777809</v>
      </c>
      <c r="S19" s="7" cm="1">
        <f t="array" ref="S19">PRODUCT(1 + 預測IC!$C19:S19) - 1</f>
        <v>0.31295073748802182</v>
      </c>
      <c r="T19" s="7" cm="1">
        <f t="array" ref="T19">PRODUCT(1 + 預測IC!$C19:T19) - 1</f>
        <v>0.16914867681042223</v>
      </c>
      <c r="U19" s="7" cm="1">
        <f t="array" ref="U19">PRODUCT(1 + 預測IC!$C19:U19) - 1</f>
        <v>0.32780020986730785</v>
      </c>
      <c r="V19" s="7" cm="1">
        <f t="array" ref="V19">PRODUCT(1 + 預測IC!$C19:V19) - 1</f>
        <v>0.20472863948378905</v>
      </c>
      <c r="W19" s="7" cm="1">
        <f t="array" ref="W19">PRODUCT(1 + 預測IC!$C19:W19) - 1</f>
        <v>-5.7793341798302311E-3</v>
      </c>
      <c r="X19" s="7" cm="1">
        <f t="array" ref="X19">PRODUCT(1 + 預測IC!$C19:X19) - 1</f>
        <v>0.11643339812529652</v>
      </c>
      <c r="Y19" s="7" cm="1">
        <f t="array" ref="Y19">PRODUCT(1 + 預測IC!$C19:Y19) - 1</f>
        <v>1.2953550267136293E-3</v>
      </c>
      <c r="Z19" s="7" cm="1">
        <f t="array" ref="Z19">PRODUCT(1 + 預測IC!$C19:Z19) - 1</f>
        <v>-2.0956671256924464E-2</v>
      </c>
      <c r="AA19" s="7" cm="1">
        <f t="array" ref="AA19">PRODUCT(1 + 預測IC!$C19:AA19) - 1</f>
        <v>2.5352197439155288E-2</v>
      </c>
      <c r="AB19" s="7" cm="1">
        <f t="array" ref="AB19">PRODUCT(1 + 預測IC!$C19:AB19) - 1</f>
        <v>-3.6950613158645895E-2</v>
      </c>
      <c r="AC19" s="7" cm="1">
        <f t="array" ref="AC19">PRODUCT(1 + 預測IC!$C19:AC19) - 1</f>
        <v>-9.5491282030667479E-3</v>
      </c>
      <c r="AD19" s="7" cm="1">
        <f t="array" ref="AD19">PRODUCT(1 + 預測IC!$C19:AD19) - 1</f>
        <v>-0.10462585292989568</v>
      </c>
      <c r="AE19" s="7" cm="1">
        <f t="array" ref="AE19">PRODUCT(1 + 預測IC!$C19:AE19) - 1</f>
        <v>-1.4502156464215599E-3</v>
      </c>
      <c r="AF19" s="7" cm="1">
        <f t="array" ref="AF19">PRODUCT(1 + 預測IC!$C19:AF19) - 1</f>
        <v>-0.1700359556047274</v>
      </c>
      <c r="AG19" s="7" cm="1">
        <f t="array" ref="AG19">PRODUCT(1 + 預測IC!$C19:AG19) - 1</f>
        <v>-0.13560315143984147</v>
      </c>
      <c r="AH19" s="7" cm="1">
        <f t="array" ref="AH19">PRODUCT(1 + 預測IC!$C19:AH19) - 1</f>
        <v>-0.12169544891223538</v>
      </c>
      <c r="AI19" s="7" cm="1">
        <f t="array" ref="AI19">PRODUCT(1 + 預測IC!$C19:AI19) - 1</f>
        <v>-0.16364885393002815</v>
      </c>
      <c r="AJ19" s="7" cm="1">
        <f t="array" ref="AJ19">PRODUCT(1 + 預測IC!$C19:AJ19) - 1</f>
        <v>-0.17382489854905236</v>
      </c>
      <c r="AK19" s="7" cm="1">
        <f t="array" ref="AK19">PRODUCT(1 + 預測IC!$C19:AK19) - 1</f>
        <v>-0.20735234252410373</v>
      </c>
      <c r="AL19" s="7" cm="1">
        <f t="array" ref="AL19">PRODUCT(1 + 預測IC!$C19:AL19) - 1</f>
        <v>-0.21917437124477079</v>
      </c>
      <c r="AM19" s="7" cm="1">
        <f t="array" ref="AM19">PRODUCT(1 + 預測IC!$C19:AM19) - 1</f>
        <v>-0.26690165930700771</v>
      </c>
      <c r="AN19" s="7" cm="1">
        <f t="array" ref="AN19">PRODUCT(1 + 預測IC!$C19:AN19) - 1</f>
        <v>-0.31243541204211689</v>
      </c>
      <c r="AO19" s="7" cm="1">
        <f t="array" ref="AO19">PRODUCT(1 + 預測IC!$C19:AO19) - 1</f>
        <v>-0.33023845525557061</v>
      </c>
      <c r="AP19" s="7" cm="1">
        <f t="array" ref="AP19">PRODUCT(1 + 預測IC!$C19:AP19) - 1</f>
        <v>-0.27158467718199064</v>
      </c>
      <c r="AQ19" s="7" cm="1">
        <f t="array" ref="AQ19">PRODUCT(1 + 預測IC!$C19:AQ19) - 1</f>
        <v>-0.20730001665807751</v>
      </c>
      <c r="AR19" s="7" cm="1">
        <f t="array" ref="AR19">PRODUCT(1 + 預測IC!$C19:AR19) - 1</f>
        <v>-0.26644883017009746</v>
      </c>
      <c r="AS19" s="7" cm="1">
        <f t="array" ref="AS19">PRODUCT(1 + 預測IC!$C19:AS19) - 1</f>
        <v>-0.18634586689726018</v>
      </c>
      <c r="AT19" s="7" cm="1">
        <f t="array" ref="AT19">PRODUCT(1 + 預測IC!$C19:AT19) - 1</f>
        <v>-0.14623680124237304</v>
      </c>
      <c r="AU19" s="7" cm="1">
        <f t="array" ref="AU19">PRODUCT(1 + 預測IC!$C19:AU19) - 1</f>
        <v>-8.0984776437746486E-2</v>
      </c>
      <c r="AV19" s="7" cm="1">
        <f t="array" ref="AV19">PRODUCT(1 + 預測IC!$C19:AV19) - 1</f>
        <v>-0.1269658841390745</v>
      </c>
      <c r="AW19" s="7" cm="1">
        <f t="array" ref="AW19">PRODUCT(1 + 預測IC!$C19:AW19) - 1</f>
        <v>-0.10744818664058986</v>
      </c>
      <c r="AX19" s="7" cm="1">
        <f t="array" ref="AX19">PRODUCT(1 + 預測IC!$C19:AX19) - 1</f>
        <v>-0.30749028655336219</v>
      </c>
      <c r="AY19" s="7" cm="1">
        <f t="array" ref="AY19">PRODUCT(1 + 預測IC!$C19:AY19) - 1</f>
        <v>-0.26159542223336862</v>
      </c>
      <c r="AZ19" s="7" cm="1">
        <f t="array" ref="AZ19">PRODUCT(1 + 預測IC!$C19:AZ19) - 1</f>
        <v>-0.39958818778002869</v>
      </c>
      <c r="BA19" s="7" cm="1">
        <f t="array" ref="BA19">PRODUCT(1 + 預測IC!$C19:BA19) - 1</f>
        <v>-0.42022066961981042</v>
      </c>
      <c r="BB19" s="7" cm="1">
        <f t="array" ref="BB19">PRODUCT(1 + 預測IC!$C19:BB19) - 1</f>
        <v>-0.3032200929860529</v>
      </c>
      <c r="BC19" s="7" cm="1">
        <f t="array" ref="BC19">PRODUCT(1 + 預測IC!$C19:BC19) - 1</f>
        <v>-0.17461417872604479</v>
      </c>
      <c r="BD19" s="7" cm="1">
        <f t="array" ref="BD19">PRODUCT(1 + 預測IC!$C19:BD19) - 1</f>
        <v>-0.17728380054333603</v>
      </c>
      <c r="BE19" s="7" cm="1">
        <f t="array" ref="BE19">PRODUCT(1 + 預測IC!$C19:BE19) - 1</f>
        <v>-0.20228669794358811</v>
      </c>
      <c r="BF19" s="7" cm="1">
        <f t="array" ref="BF19">PRODUCT(1 + 預測IC!$C19:BF19) - 1</f>
        <v>-0.24172286533639942</v>
      </c>
      <c r="BG19" s="7" cm="1">
        <f t="array" ref="BG19">PRODUCT(1 + 預測IC!$C19:BG19) - 1</f>
        <v>-0.24099247755259601</v>
      </c>
      <c r="BH19" s="7" cm="1">
        <f t="array" ref="BH19">PRODUCT(1 + 預測IC!$C19:BH19) - 1</f>
        <v>-0.28435796349041453</v>
      </c>
      <c r="BI19" s="7" cm="1">
        <f t="array" ref="BI19">PRODUCT(1 + 預測IC!$C19:BI19) - 1</f>
        <v>-0.19289989249909623</v>
      </c>
      <c r="BJ19" s="7" cm="1">
        <f t="array" ref="BJ19">PRODUCT(1 + 預測IC!$C19:BJ19) - 1</f>
        <v>-0.1753799270937545</v>
      </c>
      <c r="BK19" s="7" cm="1">
        <f t="array" ref="BK19">PRODUCT(1 + 預測IC!$C19:BK19) - 1</f>
        <v>-9.5360095689823399E-2</v>
      </c>
      <c r="BL19" s="7" cm="1">
        <f t="array" ref="BL19">PRODUCT(1 + 預測IC!$C19:BL19) - 1</f>
        <v>-7.1842656269231919E-2</v>
      </c>
      <c r="BM19" s="7" cm="1">
        <f t="array" ref="BM19">PRODUCT(1 + 預測IC!$C19:BM19) - 1</f>
        <v>-0.15366603453705263</v>
      </c>
      <c r="BN19" s="7" cm="1">
        <f t="array" ref="BN19">PRODUCT(1 + 預測IC!$C19:BN19) - 1</f>
        <v>-8.4763227190577828E-2</v>
      </c>
      <c r="BO19" s="7" cm="1">
        <f t="array" ref="BO19">PRODUCT(1 + 預測IC!$C19:BO19) - 1</f>
        <v>-0.10175213995484123</v>
      </c>
      <c r="BP19" s="7" cm="1">
        <f t="array" ref="BP19">PRODUCT(1 + 預測IC!$C19:BP19) - 1</f>
        <v>-4.5325280516718469E-2</v>
      </c>
      <c r="BQ19" s="7" cm="1">
        <f t="array" ref="BQ19">PRODUCT(1 + 預測IC!$C19:BQ19) - 1</f>
        <v>-3.5841499413953204E-2</v>
      </c>
      <c r="BR19" s="7" cm="1">
        <f t="array" ref="BR19">PRODUCT(1 + 預測IC!$C19:BR19) - 1</f>
        <v>9.609321274866689E-2</v>
      </c>
      <c r="BS19" s="7" cm="1">
        <f t="array" ref="BS19">PRODUCT(1 + 預測IC!$C19:BS19) - 1</f>
        <v>6.9506004484707562E-2</v>
      </c>
      <c r="BT19" s="7" cm="1">
        <f t="array" ref="BT19">PRODUCT(1 + 預測IC!$C19:BT19) - 1</f>
        <v>8.3616712918648028E-2</v>
      </c>
      <c r="BU19" s="7" cm="1">
        <f t="array" ref="BU19">PRODUCT(1 + 預測IC!$C19:BU19) - 1</f>
        <v>0.16590250387245775</v>
      </c>
      <c r="BV19" s="7" cm="1">
        <f t="array" ref="BV19">PRODUCT(1 + 預測IC!$C19:BV19) - 1</f>
        <v>0.2750953840339232</v>
      </c>
      <c r="BW19" s="7" cm="1">
        <f t="array" ref="BW19">PRODUCT(1 + 預測IC!$C19:BW19) - 1</f>
        <v>0.13615211456143461</v>
      </c>
      <c r="BX19" s="7" cm="1">
        <f t="array" ref="BX19">PRODUCT(1 + 預測IC!$C19:BX19) - 1</f>
        <v>0.17488102387877236</v>
      </c>
      <c r="BY19" s="7" cm="1">
        <f t="array" ref="BY19">PRODUCT(1 + 預測IC!$C19:BY19) - 1</f>
        <v>0.14236561301781148</v>
      </c>
      <c r="BZ19" s="7" cm="1">
        <f t="array" ref="BZ19">PRODUCT(1 + 預測IC!$C19:BZ19) - 1</f>
        <v>0.22084855795578329</v>
      </c>
      <c r="CA19" s="7" cm="1">
        <f t="array" ref="CA19">PRODUCT(1 + 預測IC!$C19:CA19) - 1</f>
        <v>0.26432272518394617</v>
      </c>
      <c r="CB19" s="7" cm="1">
        <f t="array" ref="CB19">PRODUCT(1 + 預測IC!$C19:CB19) - 1</f>
        <v>0.42595147809702771</v>
      </c>
      <c r="CC19" s="7" cm="1">
        <f t="array" ref="CC19">PRODUCT(1 + 預測IC!$C19:CC19) - 1</f>
        <v>0.45804427416506477</v>
      </c>
      <c r="CD19" s="7" cm="1">
        <f t="array" ref="CD19">PRODUCT(1 + 預測IC!$C19:CD19) - 1</f>
        <v>0.58586365016825814</v>
      </c>
      <c r="CE19" s="7" cm="1">
        <f t="array" ref="CE19">PRODUCT(1 + 預測IC!$C19:CE19) - 1</f>
        <v>0.72617271291126984</v>
      </c>
      <c r="CF19" s="7" cm="1">
        <f t="array" ref="CF19">PRODUCT(1 + 預測IC!$C19:CF19) - 1</f>
        <v>0.86262929822991352</v>
      </c>
      <c r="CG19" s="7" cm="1">
        <f t="array" ref="CG19">PRODUCT(1 + 預測IC!$C19:CG19) - 1</f>
        <v>1.354164380410785</v>
      </c>
      <c r="CH19" s="7" cm="1">
        <f t="array" ref="CH19">PRODUCT(1 + 預測IC!$C19:CH19) - 1</f>
        <v>1.7140922595454624</v>
      </c>
      <c r="CI19" s="7" cm="1">
        <f t="array" ref="CI19">PRODUCT(1 + 預測IC!$C19:CI19) - 1</f>
        <v>1.2657176711427405</v>
      </c>
      <c r="CJ19" s="7" cm="1">
        <f t="array" ref="CJ19">PRODUCT(1 + 預測IC!$C19:CJ19) - 1</f>
        <v>1.406057356475205</v>
      </c>
      <c r="CK19" s="7" cm="1">
        <f t="array" ref="CK19">PRODUCT(1 + 預測IC!$C19:CK19) - 1</f>
        <v>1.656209648764972</v>
      </c>
      <c r="CL19" s="7" cm="1">
        <f t="array" ref="CL19">PRODUCT(1 + 預測IC!$C19:CL19) - 1</f>
        <v>1.5413543998806363</v>
      </c>
      <c r="CM19" s="7" cm="1">
        <f t="array" ref="CM19">PRODUCT(1 + 預測IC!$C19:CM19) - 1</f>
        <v>1.7334347202925997</v>
      </c>
      <c r="CN19" s="7" cm="1">
        <f t="array" ref="CN19">PRODUCT(1 + 預測IC!$C19:CN19) - 1</f>
        <v>1.3420254270850092</v>
      </c>
      <c r="CO19" s="7" cm="1">
        <f t="array" ref="CO19">PRODUCT(1 + 預測IC!$C19:CO19) - 1</f>
        <v>1.7311448900173647</v>
      </c>
      <c r="CP19" s="7" cm="1">
        <f t="array" ref="CP19">PRODUCT(1 + 預測IC!$C19:CP19) - 1</f>
        <v>1.2968038199605862</v>
      </c>
      <c r="CQ19" s="7" cm="1">
        <f t="array" ref="CQ19">PRODUCT(1 + 預測IC!$C19:CQ19) - 1</f>
        <v>1.3030738834381257</v>
      </c>
      <c r="CR19" s="7" cm="1">
        <f t="array" ref="CR19">PRODUCT(1 + 預測IC!$C19:CR19) - 1</f>
        <v>1.1886244933213632</v>
      </c>
      <c r="CS19" s="7" cm="1">
        <f t="array" ref="CS19">PRODUCT(1 + 預測IC!$C19:CS19) - 1</f>
        <v>1.2844315020169033</v>
      </c>
      <c r="CT19" s="7" cm="1">
        <f t="array" ref="CT19">PRODUCT(1 + 預測IC!$C19:CT19) - 1</f>
        <v>1.0043135366325084</v>
      </c>
      <c r="CU19" s="7" cm="1">
        <f t="array" ref="CU19">PRODUCT(1 + 預測IC!$C19:CU19) - 1</f>
        <v>1.1715462368157294</v>
      </c>
      <c r="CV19" s="7" cm="1">
        <f t="array" ref="CV19">PRODUCT(1 + 預測IC!$C19:CV19) - 1</f>
        <v>0.95009225230879402</v>
      </c>
      <c r="CW19" s="7" cm="1">
        <f t="array" ref="CW19">PRODUCT(1 + 預測IC!$C19:CW19) - 1</f>
        <v>0.99280279797583093</v>
      </c>
      <c r="CX19" s="7" cm="1">
        <f t="array" ref="CX19">PRODUCT(1 + 預測IC!$C19:CX19) - 1</f>
        <v>0.99504987168435677</v>
      </c>
      <c r="CY19" s="7" cm="1">
        <f t="array" ref="CY19">PRODUCT(1 + 預測IC!$C19:CY19) - 1</f>
        <v>1.1365425384583672</v>
      </c>
      <c r="CZ19" s="7" cm="1">
        <f t="array" ref="CZ19">PRODUCT(1 + 預測IC!$C19:CZ19) - 1</f>
        <v>0.89542980602306499</v>
      </c>
      <c r="DA19" s="7" cm="1">
        <f t="array" ref="DA19">PRODUCT(1 + 預測IC!$C19:DA19) - 1</f>
        <v>1.005789077348592</v>
      </c>
      <c r="DB19" s="7" cm="1">
        <f t="array" ref="DB19">PRODUCT(1 + 預測IC!$C19:DB19) - 1</f>
        <v>1.0774376664464413</v>
      </c>
      <c r="DC19" s="7" cm="1">
        <f t="array" ref="DC19">PRODUCT(1 + 預測IC!$C19:DC19) - 1</f>
        <v>0.94118354746068666</v>
      </c>
      <c r="DD19" s="7" cm="1">
        <f t="array" ref="DD19">PRODUCT(1 + 預測IC!$C19:DD19) - 1</f>
        <v>1.1474485398131486</v>
      </c>
      <c r="DE19" s="7" cm="1">
        <f t="array" ref="DE19">PRODUCT(1 + 預測IC!$C19:DE19) - 1</f>
        <v>1.0765431934736229</v>
      </c>
      <c r="DF19" s="7" cm="1">
        <f t="array" ref="DF19">PRODUCT(1 + 預測IC!$C19:DF19) - 1</f>
        <v>0.64980994241283896</v>
      </c>
      <c r="DG19" s="7" cm="1">
        <f t="array" ref="DG19">PRODUCT(1 + 預測IC!$C19:DG19) - 1</f>
        <v>0.67083920345114367</v>
      </c>
      <c r="DH19" s="7" cm="1">
        <f t="array" ref="DH19">PRODUCT(1 + 預測IC!$C19:DH19) - 1</f>
        <v>0.67110149701803379</v>
      </c>
      <c r="DI19" s="7" cm="1">
        <f t="array" ref="DI19">PRODUCT(1 + 預測IC!$C19:DI19) - 1</f>
        <v>0.57309635235723699</v>
      </c>
      <c r="DJ19" s="7" cm="1">
        <f t="array" ref="DJ19">PRODUCT(1 + 預測IC!$C19:DJ19) - 1</f>
        <v>0.44646272143981092</v>
      </c>
      <c r="DK19" s="7" cm="1">
        <f t="array" ref="DK19">PRODUCT(1 + 預測IC!$C19:DK19) - 1</f>
        <v>0.26689220314144246</v>
      </c>
      <c r="DL19" s="7" cm="1">
        <f t="array" ref="DL19">PRODUCT(1 + 預測IC!$C19:DL19) - 1</f>
        <v>0.25171130510145034</v>
      </c>
      <c r="DM19" s="7" cm="1">
        <f t="array" ref="DM19">PRODUCT(1 + 預測IC!$C19:DM19) - 1</f>
        <v>0.35429186920605837</v>
      </c>
      <c r="DN19" s="7" cm="1">
        <f t="array" ref="DN19">PRODUCT(1 + 預測IC!$C19:DN19) - 1</f>
        <v>0.26721849372275064</v>
      </c>
      <c r="DO19" s="7" cm="1">
        <f t="array" ref="DO19">PRODUCT(1 + 預測IC!$C19:DO19) - 1</f>
        <v>0.5830878487107658</v>
      </c>
      <c r="DP19" s="7" cm="1">
        <f t="array" ref="DP19">PRODUCT(1 + 預測IC!$C19:DP19) - 1</f>
        <v>0.58942409597603396</v>
      </c>
      <c r="DQ19" s="7" cm="1">
        <f t="array" ref="DQ19">PRODUCT(1 + 預測IC!$C19:DQ19) - 1</f>
        <v>0.66988578449296554</v>
      </c>
      <c r="DR19" s="7" cm="1">
        <f t="array" ref="DR19">PRODUCT(1 + 預測IC!$C19:DR19) - 1</f>
        <v>0.69918359539542019</v>
      </c>
      <c r="DS19" s="7" cm="1">
        <f t="array" ref="DS19">PRODUCT(1 + 預測IC!$C19:DS19) - 1</f>
        <v>0.70883039339280618</v>
      </c>
      <c r="DT19" s="7" cm="1">
        <f t="array" ref="DT19">PRODUCT(1 + 預測IC!$C19:DT19) - 1</f>
        <v>0.93632442147796358</v>
      </c>
      <c r="DU19" s="7" cm="1">
        <f t="array" ref="DU19">PRODUCT(1 + 預測IC!$C19:DU19) - 1</f>
        <v>1.2128909902575211</v>
      </c>
      <c r="DV19" s="7" cm="1">
        <f t="array" ref="DV19">PRODUCT(1 + 預測IC!$C19:DV19) - 1</f>
        <v>0.96609897218399232</v>
      </c>
      <c r="DW19" s="7" cm="1">
        <f t="array" ref="DW19">PRODUCT(1 + 預測IC!$C19:DW19) - 1</f>
        <v>1.0852625387466679</v>
      </c>
      <c r="DX19" s="7" cm="1">
        <f t="array" ref="DX19">PRODUCT(1 + 預測IC!$C19:DX19) - 1</f>
        <v>1.2825579717888753</v>
      </c>
      <c r="DY19" s="7" cm="1">
        <f t="array" ref="DY19">PRODUCT(1 + 預測IC!$C19:DY19) - 1</f>
        <v>1.6297793428454139</v>
      </c>
      <c r="DZ19" s="7" cm="1">
        <f t="array" ref="DZ19">PRODUCT(1 + 預測IC!$C19:DZ19) - 1</f>
        <v>1.8392243531263719</v>
      </c>
      <c r="EA19" s="7" cm="1">
        <f t="array" ref="EA19">PRODUCT(1 + 預測IC!$C19:EA19) - 1</f>
        <v>1.1775549563290642</v>
      </c>
      <c r="EB19" s="7" cm="1">
        <f t="array" ref="EB19">PRODUCT(1 + 預測IC!$C19:EB19) - 1</f>
        <v>1.4089111510618051</v>
      </c>
      <c r="EC19" s="7" cm="1">
        <f t="array" ref="EC19">PRODUCT(1 + 預測IC!$C19:EC19) - 1</f>
        <v>1.7552504314819912</v>
      </c>
      <c r="ED19" s="7" cm="1">
        <f t="array" ref="ED19">PRODUCT(1 + 預測IC!$C19:ED19) - 1</f>
        <v>2.1711150287449921</v>
      </c>
      <c r="EE19" s="7" cm="1">
        <f t="array" ref="EE19">PRODUCT(1 + 預測IC!$C19:EE19) - 1</f>
        <v>2.147945192191226</v>
      </c>
      <c r="EF19" s="7" cm="1">
        <f t="array" ref="EF19">PRODUCT(1 + 預測IC!$C19:EF19) - 1</f>
        <v>2.0944995207699568</v>
      </c>
    </row>
    <row r="20" spans="1:136" x14ac:dyDescent="0.3">
      <c r="A20" s="1">
        <v>5</v>
      </c>
      <c r="B20" s="1" t="s">
        <v>158</v>
      </c>
      <c r="C20" s="7" cm="1">
        <f t="array" ref="C20">PRODUCT(1 + 預測IC!$C20:C20) - 1</f>
        <v>-0.13932460396499158</v>
      </c>
      <c r="D20" s="7" cm="1">
        <f t="array" ref="D20">PRODUCT(1 + 預測IC!$C20:D20) - 1</f>
        <v>0.18947493145954319</v>
      </c>
      <c r="E20" s="7" cm="1">
        <f t="array" ref="E20">PRODUCT(1 + 預測IC!$C20:E20) - 1</f>
        <v>0.17103808412393784</v>
      </c>
      <c r="F20" s="7" cm="1">
        <f t="array" ref="F20">PRODUCT(1 + 預測IC!$C20:F20) - 1</f>
        <v>0.27785833046109909</v>
      </c>
      <c r="G20" s="7" cm="1">
        <f t="array" ref="G20">PRODUCT(1 + 預測IC!$C20:G20) - 1</f>
        <v>0.40611174710094433</v>
      </c>
      <c r="H20" s="7" cm="1">
        <f t="array" ref="H20">PRODUCT(1 + 預測IC!$C20:H20) - 1</f>
        <v>0.17498634963776727</v>
      </c>
      <c r="I20" s="7" cm="1">
        <f t="array" ref="I20">PRODUCT(1 + 預測IC!$C20:I20) - 1</f>
        <v>-1.0837227619710732E-2</v>
      </c>
      <c r="J20" s="7" cm="1">
        <f t="array" ref="J20">PRODUCT(1 + 預測IC!$C20:J20) - 1</f>
        <v>-0.14260092294105664</v>
      </c>
      <c r="K20" s="7" cm="1">
        <f t="array" ref="K20">PRODUCT(1 + 預測IC!$C20:K20) - 1</f>
        <v>-6.5341846061252484E-2</v>
      </c>
      <c r="L20" s="7" cm="1">
        <f t="array" ref="L20">PRODUCT(1 + 預測IC!$C20:L20) - 1</f>
        <v>-0.15479670263791823</v>
      </c>
      <c r="M20" s="7" cm="1">
        <f t="array" ref="M20">PRODUCT(1 + 預測IC!$C20:M20) - 1</f>
        <v>-0.2204844054548416</v>
      </c>
      <c r="N20" s="7" cm="1">
        <f t="array" ref="N20">PRODUCT(1 + 預測IC!$C20:N20) - 1</f>
        <v>-0.29993647711882665</v>
      </c>
      <c r="O20" s="7" cm="1">
        <f t="array" ref="O20">PRODUCT(1 + 預測IC!$C20:O20) - 1</f>
        <v>-0.3770236394830353</v>
      </c>
      <c r="P20" s="7" cm="1">
        <f t="array" ref="P20">PRODUCT(1 + 預測IC!$C20:P20) - 1</f>
        <v>-0.35014926231155041</v>
      </c>
      <c r="Q20" s="7" cm="1">
        <f t="array" ref="Q20">PRODUCT(1 + 預測IC!$C20:Q20) - 1</f>
        <v>-0.20930988094439051</v>
      </c>
      <c r="R20" s="7" cm="1">
        <f t="array" ref="R20">PRODUCT(1 + 預測IC!$C20:R20) - 1</f>
        <v>-0.1567529988437798</v>
      </c>
      <c r="S20" s="7" cm="1">
        <f t="array" ref="S20">PRODUCT(1 + 預測IC!$C20:S20) - 1</f>
        <v>-0.20510569476634566</v>
      </c>
      <c r="T20" s="7" cm="1">
        <f t="array" ref="T20">PRODUCT(1 + 預測IC!$C20:T20) - 1</f>
        <v>-0.28526723469085435</v>
      </c>
      <c r="U20" s="7" cm="1">
        <f t="array" ref="U20">PRODUCT(1 + 預測IC!$C20:U20) - 1</f>
        <v>-0.17902243775795723</v>
      </c>
      <c r="V20" s="7" cm="1">
        <f t="array" ref="V20">PRODUCT(1 + 預測IC!$C20:V20) - 1</f>
        <v>-0.26400806728602311</v>
      </c>
      <c r="W20" s="7" cm="1">
        <f t="array" ref="W20">PRODUCT(1 + 預測IC!$C20:W20) - 1</f>
        <v>-0.43066877579339569</v>
      </c>
      <c r="X20" s="7" cm="1">
        <f t="array" ref="X20">PRODUCT(1 + 預測IC!$C20:X20) - 1</f>
        <v>-0.34524500283170023</v>
      </c>
      <c r="Y20" s="7" cm="1">
        <f t="array" ref="Y20">PRODUCT(1 + 預測IC!$C20:Y20) - 1</f>
        <v>-0.42968550649993853</v>
      </c>
      <c r="Z20" s="7" cm="1">
        <f t="array" ref="Z20">PRODUCT(1 + 預測IC!$C20:Z20) - 1</f>
        <v>-0.41305664717188995</v>
      </c>
      <c r="AA20" s="7" cm="1">
        <f t="array" ref="AA20">PRODUCT(1 + 預測IC!$C20:AA20) - 1</f>
        <v>-0.37375375883343709</v>
      </c>
      <c r="AB20" s="7" cm="1">
        <f t="array" ref="AB20">PRODUCT(1 + 預測IC!$C20:AB20) - 1</f>
        <v>-0.41159382642147646</v>
      </c>
      <c r="AC20" s="7" cm="1">
        <f t="array" ref="AC20">PRODUCT(1 + 預測IC!$C20:AC20) - 1</f>
        <v>-0.37838221338916833</v>
      </c>
      <c r="AD20" s="7" cm="1">
        <f t="array" ref="AD20">PRODUCT(1 + 預測IC!$C20:AD20) - 1</f>
        <v>-0.45909519193593984</v>
      </c>
      <c r="AE20" s="7" cm="1">
        <f t="array" ref="AE20">PRODUCT(1 + 預測IC!$C20:AE20) - 1</f>
        <v>-0.44973150786955907</v>
      </c>
      <c r="AF20" s="7" cm="1">
        <f t="array" ref="AF20">PRODUCT(1 + 預測IC!$C20:AF20) - 1</f>
        <v>-0.57271531607530712</v>
      </c>
      <c r="AG20" s="7" cm="1">
        <f t="array" ref="AG20">PRODUCT(1 + 預測IC!$C20:AG20) - 1</f>
        <v>-0.55897245244290872</v>
      </c>
      <c r="AH20" s="7" cm="1">
        <f t="array" ref="AH20">PRODUCT(1 + 預測IC!$C20:AH20) - 1</f>
        <v>-0.54670893073251103</v>
      </c>
      <c r="AI20" s="7" cm="1">
        <f t="array" ref="AI20">PRODUCT(1 + 預測IC!$C20:AI20) - 1</f>
        <v>-0.58445871804208194</v>
      </c>
      <c r="AJ20" s="7" cm="1">
        <f t="array" ref="AJ20">PRODUCT(1 + 預測IC!$C20:AJ20) - 1</f>
        <v>-0.5916233626939047</v>
      </c>
      <c r="AK20" s="7" cm="1">
        <f t="array" ref="AK20">PRODUCT(1 + 預測IC!$C20:AK20) - 1</f>
        <v>-0.5949918635379432</v>
      </c>
      <c r="AL20" s="7" cm="1">
        <f t="array" ref="AL20">PRODUCT(1 + 預測IC!$C20:AL20) - 1</f>
        <v>-0.60340803998476267</v>
      </c>
      <c r="AM20" s="7" cm="1">
        <f t="array" ref="AM20">PRODUCT(1 + 預測IC!$C20:AM20) - 1</f>
        <v>-0.63018983943776952</v>
      </c>
      <c r="AN20" s="7" cm="1">
        <f t="array" ref="AN20">PRODUCT(1 + 預測IC!$C20:AN20) - 1</f>
        <v>-0.61801691546592052</v>
      </c>
      <c r="AO20" s="7" cm="1">
        <f t="array" ref="AO20">PRODUCT(1 + 預測IC!$C20:AO20) - 1</f>
        <v>-0.63531505075817074</v>
      </c>
      <c r="AP20" s="7" cm="1">
        <f t="array" ref="AP20">PRODUCT(1 + 預測IC!$C20:AP20) - 1</f>
        <v>-0.58727493418164689</v>
      </c>
      <c r="AQ20" s="7" cm="1">
        <f t="array" ref="AQ20">PRODUCT(1 + 預測IC!$C20:AQ20) - 1</f>
        <v>-0.59860526299756645</v>
      </c>
      <c r="AR20" s="7" cm="1">
        <f t="array" ref="AR20">PRODUCT(1 + 預測IC!$C20:AR20) - 1</f>
        <v>-0.60393950727441403</v>
      </c>
      <c r="AS20" s="7" cm="1">
        <f t="array" ref="AS20">PRODUCT(1 + 預測IC!$C20:AS20) - 1</f>
        <v>-0.58718942921942185</v>
      </c>
      <c r="AT20" s="7" cm="1">
        <f t="array" ref="AT20">PRODUCT(1 + 預測IC!$C20:AT20) - 1</f>
        <v>-0.58477086547939705</v>
      </c>
      <c r="AU20" s="7" cm="1">
        <f t="array" ref="AU20">PRODUCT(1 + 預測IC!$C20:AU20) - 1</f>
        <v>-0.55334118117913533</v>
      </c>
      <c r="AV20" s="7" cm="1">
        <f t="array" ref="AV20">PRODUCT(1 + 預測IC!$C20:AV20) - 1</f>
        <v>-0.57774023797446361</v>
      </c>
      <c r="AW20" s="7" cm="1">
        <f t="array" ref="AW20">PRODUCT(1 + 預測IC!$C20:AW20) - 1</f>
        <v>-0.57484131146689377</v>
      </c>
      <c r="AX20" s="7" cm="1">
        <f t="array" ref="AX20">PRODUCT(1 + 預測IC!$C20:AX20) - 1</f>
        <v>-0.66171790624119775</v>
      </c>
      <c r="AY20" s="7" cm="1">
        <f t="array" ref="AY20">PRODUCT(1 + 預測IC!$C20:AY20) - 1</f>
        <v>-0.68947653516211793</v>
      </c>
      <c r="AZ20" s="7" cm="1">
        <f t="array" ref="AZ20">PRODUCT(1 + 預測IC!$C20:AZ20) - 1</f>
        <v>-0.75586720688199027</v>
      </c>
      <c r="BA20" s="7" cm="1">
        <f t="array" ref="BA20">PRODUCT(1 + 預測IC!$C20:BA20) - 1</f>
        <v>-0.76485101654396626</v>
      </c>
      <c r="BB20" s="7" cm="1">
        <f t="array" ref="BB20">PRODUCT(1 + 預測IC!$C20:BB20) - 1</f>
        <v>-0.71048136738465661</v>
      </c>
      <c r="BC20" s="7" cm="1">
        <f t="array" ref="BC20">PRODUCT(1 + 預測IC!$C20:BC20) - 1</f>
        <v>-0.64095616752610651</v>
      </c>
      <c r="BD20" s="7" cm="1">
        <f t="array" ref="BD20">PRODUCT(1 + 預測IC!$C20:BD20) - 1</f>
        <v>-0.66013981243355313</v>
      </c>
      <c r="BE20" s="7" cm="1">
        <f t="array" ref="BE20">PRODUCT(1 + 預測IC!$C20:BE20) - 1</f>
        <v>-0.67321315732354625</v>
      </c>
      <c r="BF20" s="7" cm="1">
        <f t="array" ref="BF20">PRODUCT(1 + 預測IC!$C20:BF20) - 1</f>
        <v>-0.69125731379387667</v>
      </c>
      <c r="BG20" s="7" cm="1">
        <f t="array" ref="BG20">PRODUCT(1 + 預測IC!$C20:BG20) - 1</f>
        <v>-0.70722770640882227</v>
      </c>
      <c r="BH20" s="7" cm="1">
        <f t="array" ref="BH20">PRODUCT(1 + 預測IC!$C20:BH20) - 1</f>
        <v>-0.72242237686716249</v>
      </c>
      <c r="BI20" s="7" cm="1">
        <f t="array" ref="BI20">PRODUCT(1 + 預測IC!$C20:BI20) - 1</f>
        <v>-0.68585283877065883</v>
      </c>
      <c r="BJ20" s="7" cm="1">
        <f t="array" ref="BJ20">PRODUCT(1 + 預測IC!$C20:BJ20) - 1</f>
        <v>-0.67905798902948677</v>
      </c>
      <c r="BK20" s="7" cm="1">
        <f t="array" ref="BK20">PRODUCT(1 + 預測IC!$C20:BK20) - 1</f>
        <v>-0.64129904191838927</v>
      </c>
      <c r="BL20" s="7" cm="1">
        <f t="array" ref="BL20">PRODUCT(1 + 預測IC!$C20:BL20) - 1</f>
        <v>-0.63420273836676833</v>
      </c>
      <c r="BM20" s="7" cm="1">
        <f t="array" ref="BM20">PRODUCT(1 + 預測IC!$C20:BM20) - 1</f>
        <v>-0.6541591409708134</v>
      </c>
      <c r="BN20" s="7" cm="1">
        <f t="array" ref="BN20">PRODUCT(1 + 預測IC!$C20:BN20) - 1</f>
        <v>-0.66060493232665785</v>
      </c>
      <c r="BO20" s="7" cm="1">
        <f t="array" ref="BO20">PRODUCT(1 + 預測IC!$C20:BO20) - 1</f>
        <v>-0.6631879137435629</v>
      </c>
      <c r="BP20" s="7" cm="1">
        <f t="array" ref="BP20">PRODUCT(1 + 預測IC!$C20:BP20) - 1</f>
        <v>-0.64284193064981299</v>
      </c>
      <c r="BQ20" s="7" cm="1">
        <f t="array" ref="BQ20">PRODUCT(1 + 預測IC!$C20:BQ20) - 1</f>
        <v>-0.63732322882351333</v>
      </c>
      <c r="BR20" s="7" cm="1">
        <f t="array" ref="BR20">PRODUCT(1 + 預測IC!$C20:BR20) - 1</f>
        <v>-0.57163264374275069</v>
      </c>
      <c r="BS20" s="7" cm="1">
        <f t="array" ref="BS20">PRODUCT(1 + 預測IC!$C20:BS20) - 1</f>
        <v>-0.56931624461168551</v>
      </c>
      <c r="BT20" s="7" cm="1">
        <f t="array" ref="BT20">PRODUCT(1 + 預測IC!$C20:BT20) - 1</f>
        <v>-0.54671929158033494</v>
      </c>
      <c r="BU20" s="7" cm="1">
        <f t="array" ref="BU20">PRODUCT(1 + 預測IC!$C20:BU20) - 1</f>
        <v>-0.50195557817099268</v>
      </c>
      <c r="BV20" s="7" cm="1">
        <f t="array" ref="BV20">PRODUCT(1 + 預測IC!$C20:BV20) - 1</f>
        <v>-0.44422309974827923</v>
      </c>
      <c r="BW20" s="7" cm="1">
        <f t="array" ref="BW20">PRODUCT(1 + 預測IC!$C20:BW20) - 1</f>
        <v>-0.51953267701464556</v>
      </c>
      <c r="BX20" s="7" cm="1">
        <f t="array" ref="BX20">PRODUCT(1 + 預測IC!$C20:BX20) - 1</f>
        <v>-0.5047853875647621</v>
      </c>
      <c r="BY20" s="7" cm="1">
        <f t="array" ref="BY20">PRODUCT(1 + 預測IC!$C20:BY20) - 1</f>
        <v>-0.52617047920732563</v>
      </c>
      <c r="BZ20" s="7" cm="1">
        <f t="array" ref="BZ20">PRODUCT(1 + 預測IC!$C20:BZ20) - 1</f>
        <v>-0.48339722298539367</v>
      </c>
      <c r="CA20" s="7" cm="1">
        <f t="array" ref="CA20">PRODUCT(1 + 預測IC!$C20:CA20) - 1</f>
        <v>-0.4574550711738854</v>
      </c>
      <c r="CB20" s="7" cm="1">
        <f t="array" ref="CB20">PRODUCT(1 + 預測IC!$C20:CB20) - 1</f>
        <v>-0.38882582556973422</v>
      </c>
      <c r="CC20" s="7" cm="1">
        <f t="array" ref="CC20">PRODUCT(1 + 預測IC!$C20:CC20) - 1</f>
        <v>-0.38093242097217317</v>
      </c>
      <c r="CD20" s="7" cm="1">
        <f t="array" ref="CD20">PRODUCT(1 + 預測IC!$C20:CD20) - 1</f>
        <v>-0.32146191212591047</v>
      </c>
      <c r="CE20" s="7" cm="1">
        <f t="array" ref="CE20">PRODUCT(1 + 預測IC!$C20:CE20) - 1</f>
        <v>-0.26325815490691684</v>
      </c>
      <c r="CF20" s="7" cm="1">
        <f t="array" ref="CF20">PRODUCT(1 + 預測IC!$C20:CF20) - 1</f>
        <v>-0.18532200039868152</v>
      </c>
      <c r="CG20" s="7" cm="1">
        <f t="array" ref="CG20">PRODUCT(1 + 預測IC!$C20:CG20) - 1</f>
        <v>7.6954230942785529E-2</v>
      </c>
      <c r="CH20" s="7" cm="1">
        <f t="array" ref="CH20">PRODUCT(1 + 預測IC!$C20:CH20) - 1</f>
        <v>0.15434849736220424</v>
      </c>
      <c r="CI20" s="7" cm="1">
        <f t="array" ref="CI20">PRODUCT(1 + 預測IC!$C20:CI20) - 1</f>
        <v>2.5681374195534179E-3</v>
      </c>
      <c r="CJ20" s="7" cm="1">
        <f t="array" ref="CJ20">PRODUCT(1 + 預測IC!$C20:CJ20) - 1</f>
        <v>0.12632546901148878</v>
      </c>
      <c r="CK20" s="7" cm="1">
        <f t="array" ref="CK20">PRODUCT(1 + 預測IC!$C20:CK20) - 1</f>
        <v>0.22879675440096592</v>
      </c>
      <c r="CL20" s="7" cm="1">
        <f t="array" ref="CL20">PRODUCT(1 + 預測IC!$C20:CL20) - 1</f>
        <v>0.11552020646469763</v>
      </c>
      <c r="CM20" s="7" cm="1">
        <f t="array" ref="CM20">PRODUCT(1 + 預測IC!$C20:CM20) - 1</f>
        <v>0.20415356013461783</v>
      </c>
      <c r="CN20" s="7" cm="1">
        <f t="array" ref="CN20">PRODUCT(1 + 預測IC!$C20:CN20) - 1</f>
        <v>-4.2567670786825773E-2</v>
      </c>
      <c r="CO20" s="7" cm="1">
        <f t="array" ref="CO20">PRODUCT(1 + 預測IC!$C20:CO20) - 1</f>
        <v>0.1762230447528863</v>
      </c>
      <c r="CP20" s="7" cm="1">
        <f t="array" ref="CP20">PRODUCT(1 + 預測IC!$C20:CP20) - 1</f>
        <v>-4.96484840080198E-2</v>
      </c>
      <c r="CQ20" s="7" cm="1">
        <f t="array" ref="CQ20">PRODUCT(1 + 預測IC!$C20:CQ20) - 1</f>
        <v>-5.5456422280673712E-2</v>
      </c>
      <c r="CR20" s="7" cm="1">
        <f t="array" ref="CR20">PRODUCT(1 + 預測IC!$C20:CR20) - 1</f>
        <v>-0.12451790145563069</v>
      </c>
      <c r="CS20" s="7" cm="1">
        <f t="array" ref="CS20">PRODUCT(1 + 預測IC!$C20:CS20) - 1</f>
        <v>-0.10500074562494488</v>
      </c>
      <c r="CT20" s="7" cm="1">
        <f t="array" ref="CT20">PRODUCT(1 + 預測IC!$C20:CT20) - 1</f>
        <v>-0.18597494165101403</v>
      </c>
      <c r="CU20" s="7" cm="1">
        <f t="array" ref="CU20">PRODUCT(1 + 預測IC!$C20:CU20) - 1</f>
        <v>-0.1087502905951846</v>
      </c>
      <c r="CV20" s="7" cm="1">
        <f t="array" ref="CV20">PRODUCT(1 + 預測IC!$C20:CV20) - 1</f>
        <v>-0.19120075992546004</v>
      </c>
      <c r="CW20" s="7" cm="1">
        <f t="array" ref="CW20">PRODUCT(1 + 預測IC!$C20:CW20) - 1</f>
        <v>-0.19925078965260745</v>
      </c>
      <c r="CX20" s="7" cm="1">
        <f t="array" ref="CX20">PRODUCT(1 + 預測IC!$C20:CX20) - 1</f>
        <v>-0.19173484245394357</v>
      </c>
      <c r="CY20" s="7" cm="1">
        <f t="array" ref="CY20">PRODUCT(1 + 預測IC!$C20:CY20) - 1</f>
        <v>-0.18164790936266995</v>
      </c>
      <c r="CZ20" s="7" cm="1">
        <f t="array" ref="CZ20">PRODUCT(1 + 預測IC!$C20:CZ20) - 1</f>
        <v>-0.30862476605724387</v>
      </c>
      <c r="DA20" s="7" cm="1">
        <f t="array" ref="DA20">PRODUCT(1 + 預測IC!$C20:DA20) - 1</f>
        <v>-0.27580387482137736</v>
      </c>
      <c r="DB20" s="7" cm="1">
        <f t="array" ref="DB20">PRODUCT(1 + 預測IC!$C20:DB20) - 1</f>
        <v>-0.23459515290309696</v>
      </c>
      <c r="DC20" s="7" cm="1">
        <f t="array" ref="DC20">PRODUCT(1 + 預測IC!$C20:DC20) - 1</f>
        <v>-0.26316948480175861</v>
      </c>
      <c r="DD20" s="7" cm="1">
        <f t="array" ref="DD20">PRODUCT(1 + 預測IC!$C20:DD20) - 1</f>
        <v>-0.15403839082708337</v>
      </c>
      <c r="DE20" s="7" cm="1">
        <f t="array" ref="DE20">PRODUCT(1 + 預測IC!$C20:DE20) - 1</f>
        <v>-0.16285222932314114</v>
      </c>
      <c r="DF20" s="7" cm="1">
        <f t="array" ref="DF20">PRODUCT(1 + 預測IC!$C20:DF20) - 1</f>
        <v>-0.36843412780701223</v>
      </c>
      <c r="DG20" s="7" cm="1">
        <f t="array" ref="DG20">PRODUCT(1 + 預測IC!$C20:DG20) - 1</f>
        <v>-0.36578015499141914</v>
      </c>
      <c r="DH20" s="7" cm="1">
        <f t="array" ref="DH20">PRODUCT(1 + 預測IC!$C20:DH20) - 1</f>
        <v>-0.35881933105716823</v>
      </c>
      <c r="DI20" s="7" cm="1">
        <f t="array" ref="DI20">PRODUCT(1 + 預測IC!$C20:DI20) - 1</f>
        <v>-0.40642592853999848</v>
      </c>
      <c r="DJ20" s="7" cm="1">
        <f t="array" ref="DJ20">PRODUCT(1 + 預測IC!$C20:DJ20) - 1</f>
        <v>-0.45466986031238921</v>
      </c>
      <c r="DK20" s="7" cm="1">
        <f t="array" ref="DK20">PRODUCT(1 + 預測IC!$C20:DK20) - 1</f>
        <v>-0.50099782688138506</v>
      </c>
      <c r="DL20" s="7" cm="1">
        <f t="array" ref="DL20">PRODUCT(1 + 預測IC!$C20:DL20) - 1</f>
        <v>-0.5107110904754264</v>
      </c>
      <c r="DM20" s="7" cm="1">
        <f t="array" ref="DM20">PRODUCT(1 + 預測IC!$C20:DM20) - 1</f>
        <v>-0.51525347759705975</v>
      </c>
      <c r="DN20" s="7" cm="1">
        <f t="array" ref="DN20">PRODUCT(1 + 預測IC!$C20:DN20) - 1</f>
        <v>-0.54650082129931854</v>
      </c>
      <c r="DO20" s="7" cm="1">
        <f t="array" ref="DO20">PRODUCT(1 + 預測IC!$C20:DO20) - 1</f>
        <v>-0.42949741486700077</v>
      </c>
      <c r="DP20" s="7" cm="1">
        <f t="array" ref="DP20">PRODUCT(1 + 預測IC!$C20:DP20) - 1</f>
        <v>-0.41713390400691475</v>
      </c>
      <c r="DQ20" s="7" cm="1">
        <f t="array" ref="DQ20">PRODUCT(1 + 預測IC!$C20:DQ20) - 1</f>
        <v>-0.39467006334680987</v>
      </c>
      <c r="DR20" s="7" cm="1">
        <f t="array" ref="DR20">PRODUCT(1 + 預測IC!$C20:DR20) - 1</f>
        <v>-0.36103914743162424</v>
      </c>
      <c r="DS20" s="7" cm="1">
        <f t="array" ref="DS20">PRODUCT(1 + 預測IC!$C20:DS20) - 1</f>
        <v>-0.3562528860864721</v>
      </c>
      <c r="DT20" s="7" cm="1">
        <f t="array" ref="DT20">PRODUCT(1 + 預測IC!$C20:DT20) - 1</f>
        <v>-0.27035385609376072</v>
      </c>
      <c r="DU20" s="7" cm="1">
        <f t="array" ref="DU20">PRODUCT(1 + 預測IC!$C20:DU20) - 1</f>
        <v>-0.14480429553560892</v>
      </c>
      <c r="DV20" s="7" cm="1">
        <f t="array" ref="DV20">PRODUCT(1 + 預測IC!$C20:DV20) - 1</f>
        <v>-0.25541998744412076</v>
      </c>
      <c r="DW20" s="7" cm="1">
        <f t="array" ref="DW20">PRODUCT(1 + 預測IC!$C20:DW20) - 1</f>
        <v>-0.20399913991393193</v>
      </c>
      <c r="DX20" s="7" cm="1">
        <f t="array" ref="DX20">PRODUCT(1 + 預測IC!$C20:DX20) - 1</f>
        <v>-0.12610948606250105</v>
      </c>
      <c r="DY20" s="7" cm="1">
        <f t="array" ref="DY20">PRODUCT(1 + 預測IC!$C20:DY20) - 1</f>
        <v>3.7659195503277454E-2</v>
      </c>
      <c r="DZ20" s="7" cm="1">
        <f t="array" ref="DZ20">PRODUCT(1 + 預測IC!$C20:DZ20) - 1</f>
        <v>1.886186789999833E-2</v>
      </c>
      <c r="EA20" s="7" cm="1">
        <f t="array" ref="EA20">PRODUCT(1 + 預測IC!$C20:EA20) - 1</f>
        <v>-0.28036765774525785</v>
      </c>
      <c r="EB20" s="7" cm="1">
        <f t="array" ref="EB20">PRODUCT(1 + 預測IC!$C20:EB20) - 1</f>
        <v>-0.2038619121413745</v>
      </c>
      <c r="EC20" s="7" cm="1">
        <f t="array" ref="EC20">PRODUCT(1 + 預測IC!$C20:EC20) - 1</f>
        <v>-9.9562929756633722E-2</v>
      </c>
      <c r="ED20" s="7" cm="1">
        <f t="array" ref="ED20">PRODUCT(1 + 預測IC!$C20:ED20) - 1</f>
        <v>5.9741371173338109E-2</v>
      </c>
      <c r="EE20" s="7" cm="1">
        <f t="array" ref="EE20">PRODUCT(1 + 預測IC!$C20:EE20) - 1</f>
        <v>5.7896382903922738E-2</v>
      </c>
      <c r="EF20" s="7" cm="1">
        <f t="array" ref="EF20">PRODUCT(1 + 預測IC!$C20:EF20) - 1</f>
        <v>3.6440745625786919E-2</v>
      </c>
    </row>
    <row r="21" spans="1:136" x14ac:dyDescent="0.3">
      <c r="A21" s="1">
        <v>4</v>
      </c>
      <c r="B21" s="1" t="s">
        <v>159</v>
      </c>
      <c r="C21" s="7" cm="1">
        <f t="array" ref="C21">PRODUCT(1 + 預測IC!$C21:C21) - 1</f>
        <v>-0.19764916434148616</v>
      </c>
      <c r="D21" s="7" cm="1">
        <f t="array" ref="D21">PRODUCT(1 + 預測IC!$C21:D21) - 1</f>
        <v>-9.6241713706486598E-2</v>
      </c>
      <c r="E21" s="7" cm="1">
        <f t="array" ref="E21">PRODUCT(1 + 預測IC!$C21:E21) - 1</f>
        <v>-9.5989246776963633E-2</v>
      </c>
      <c r="F21" s="7" cm="1">
        <f t="array" ref="F21">PRODUCT(1 + 預測IC!$C21:F21) - 1</f>
        <v>-4.979657191717024E-2</v>
      </c>
      <c r="G21" s="7" cm="1">
        <f t="array" ref="G21">PRODUCT(1 + 預測IC!$C21:G21) - 1</f>
        <v>-4.2863756551340226E-2</v>
      </c>
      <c r="H21" s="7" cm="1">
        <f t="array" ref="H21">PRODUCT(1 + 預測IC!$C21:H21) - 1</f>
        <v>-0.2330161581307425</v>
      </c>
      <c r="I21" s="7" cm="1">
        <f t="array" ref="I21">PRODUCT(1 + 預測IC!$C21:I21) - 1</f>
        <v>-0.34595883018914553</v>
      </c>
      <c r="J21" s="7" cm="1">
        <f t="array" ref="J21">PRODUCT(1 + 預測IC!$C21:J21) - 1</f>
        <v>-0.435394326501372</v>
      </c>
      <c r="K21" s="7" cm="1">
        <f t="array" ref="K21">PRODUCT(1 + 預測IC!$C21:K21) - 1</f>
        <v>-0.38515965611499936</v>
      </c>
      <c r="L21" s="7" cm="1">
        <f t="array" ref="L21">PRODUCT(1 + 預測IC!$C21:L21) - 1</f>
        <v>-0.45259510367932998</v>
      </c>
      <c r="M21" s="7" cm="1">
        <f t="array" ref="M21">PRODUCT(1 + 預測IC!$C21:M21) - 1</f>
        <v>-0.50716293819871994</v>
      </c>
      <c r="N21" s="7" cm="1">
        <f t="array" ref="N21">PRODUCT(1 + 預測IC!$C21:N21) - 1</f>
        <v>-0.55624330578178371</v>
      </c>
      <c r="O21" s="7" cm="1">
        <f t="array" ref="O21">PRODUCT(1 + 預測IC!$C21:O21) - 1</f>
        <v>-0.61804862585281883</v>
      </c>
      <c r="P21" s="7" cm="1">
        <f t="array" ref="P21">PRODUCT(1 + 預測IC!$C21:P21) - 1</f>
        <v>-0.60281192748930401</v>
      </c>
      <c r="Q21" s="7" cm="1">
        <f t="array" ref="Q21">PRODUCT(1 + 預測IC!$C21:Q21) - 1</f>
        <v>-0.50061143512222372</v>
      </c>
      <c r="R21" s="7" cm="1">
        <f t="array" ref="R21">PRODUCT(1 + 預測IC!$C21:R21) - 1</f>
        <v>-0.45821073356596553</v>
      </c>
      <c r="S21" s="7" cm="1">
        <f t="array" ref="S21">PRODUCT(1 + 預測IC!$C21:S21) - 1</f>
        <v>-0.47802033253106102</v>
      </c>
      <c r="T21" s="7" cm="1">
        <f t="array" ref="T21">PRODUCT(1 + 預測IC!$C21:T21) - 1</f>
        <v>-0.54646249493210841</v>
      </c>
      <c r="U21" s="7" cm="1">
        <f t="array" ref="U21">PRODUCT(1 + 預測IC!$C21:U21) - 1</f>
        <v>-0.50733199666726614</v>
      </c>
      <c r="V21" s="7" cm="1">
        <f t="array" ref="V21">PRODUCT(1 + 預測IC!$C21:V21) - 1</f>
        <v>-0.55924480372462138</v>
      </c>
      <c r="W21" s="7" cm="1">
        <f t="array" ref="W21">PRODUCT(1 + 預測IC!$C21:W21) - 1</f>
        <v>-0.70157371354303621</v>
      </c>
      <c r="X21" s="7" cm="1">
        <f t="array" ref="X21">PRODUCT(1 + 預測IC!$C21:X21) - 1</f>
        <v>-0.63956035300572889</v>
      </c>
      <c r="Y21" s="7" cm="1">
        <f t="array" ref="Y21">PRODUCT(1 + 預測IC!$C21:Y21) - 1</f>
        <v>-0.6729836417509516</v>
      </c>
      <c r="Z21" s="7" cm="1">
        <f t="array" ref="Z21">PRODUCT(1 + 預測IC!$C21:Z21) - 1</f>
        <v>-0.66008032326446564</v>
      </c>
      <c r="AA21" s="7" cm="1">
        <f t="array" ref="AA21">PRODUCT(1 + 預測IC!$C21:AA21) - 1</f>
        <v>-0.65055119989783039</v>
      </c>
      <c r="AB21" s="7" cm="1">
        <f t="array" ref="AB21">PRODUCT(1 + 預測IC!$C21:AB21) - 1</f>
        <v>-0.67336587164292272</v>
      </c>
      <c r="AC21" s="7" cm="1">
        <f t="array" ref="AC21">PRODUCT(1 + 預測IC!$C21:AC21) - 1</f>
        <v>-0.64909658687735949</v>
      </c>
      <c r="AD21" s="7" cm="1">
        <f t="array" ref="AD21">PRODUCT(1 + 預測IC!$C21:AD21) - 1</f>
        <v>-0.69430160174747058</v>
      </c>
      <c r="AE21" s="7" cm="1">
        <f t="array" ref="AE21">PRODUCT(1 + 預測IC!$C21:AE21) - 1</f>
        <v>-0.69114935887489271</v>
      </c>
      <c r="AF21" s="7" cm="1">
        <f t="array" ref="AF21">PRODUCT(1 + 預測IC!$C21:AF21) - 1</f>
        <v>-0.78230485220833368</v>
      </c>
      <c r="AG21" s="7" cm="1">
        <f t="array" ref="AG21">PRODUCT(1 + 預測IC!$C21:AG21) - 1</f>
        <v>-0.7799000670610301</v>
      </c>
      <c r="AH21" s="7" cm="1">
        <f t="array" ref="AH21">PRODUCT(1 + 預測IC!$C21:AH21) - 1</f>
        <v>-0.77034632518267976</v>
      </c>
      <c r="AI21" s="7" cm="1">
        <f t="array" ref="AI21">PRODUCT(1 + 預測IC!$C21:AI21) - 1</f>
        <v>-0.78590069522555961</v>
      </c>
      <c r="AJ21" s="7" cm="1">
        <f t="array" ref="AJ21">PRODUCT(1 + 預測IC!$C21:AJ21) - 1</f>
        <v>-0.78701099830091614</v>
      </c>
      <c r="AK21" s="7" cm="1">
        <f t="array" ref="AK21">PRODUCT(1 + 預測IC!$C21:AK21) - 1</f>
        <v>-0.78310938719416601</v>
      </c>
      <c r="AL21" s="7" cm="1">
        <f t="array" ref="AL21">PRODUCT(1 + 預測IC!$C21:AL21) - 1</f>
        <v>-0.7912192495356537</v>
      </c>
      <c r="AM21" s="7" cm="1">
        <f t="array" ref="AM21">PRODUCT(1 + 預測IC!$C21:AM21) - 1</f>
        <v>-0.77803981475645057</v>
      </c>
      <c r="AN21" s="7" cm="1">
        <f t="array" ref="AN21">PRODUCT(1 + 預測IC!$C21:AN21) - 1</f>
        <v>-0.77389015087904922</v>
      </c>
      <c r="AO21" s="7" cm="1">
        <f t="array" ref="AO21">PRODUCT(1 + 預測IC!$C21:AO21) - 1</f>
        <v>-0.78468155899713909</v>
      </c>
      <c r="AP21" s="7" cm="1">
        <f t="array" ref="AP21">PRODUCT(1 + 預測IC!$C21:AP21) - 1</f>
        <v>-0.7690634049657239</v>
      </c>
      <c r="AQ21" s="7" cm="1">
        <f t="array" ref="AQ21">PRODUCT(1 + 預測IC!$C21:AQ21) - 1</f>
        <v>-0.78681446343032302</v>
      </c>
      <c r="AR21" s="7" cm="1">
        <f t="array" ref="AR21">PRODUCT(1 + 預測IC!$C21:AR21) - 1</f>
        <v>-0.7765840857562768</v>
      </c>
      <c r="AS21" s="7" cm="1">
        <f t="array" ref="AS21">PRODUCT(1 + 預測IC!$C21:AS21) - 1</f>
        <v>-0.76643951037106606</v>
      </c>
      <c r="AT21" s="7" cm="1">
        <f t="array" ref="AT21">PRODUCT(1 + 預測IC!$C21:AT21) - 1</f>
        <v>-0.76702175594955979</v>
      </c>
      <c r="AU21" s="7" cm="1">
        <f t="array" ref="AU21">PRODUCT(1 + 預測IC!$C21:AU21) - 1</f>
        <v>-0.75588315195190448</v>
      </c>
      <c r="AV21" s="7" cm="1">
        <f t="array" ref="AV21">PRODUCT(1 + 預測IC!$C21:AV21) - 1</f>
        <v>-0.76943670978184397</v>
      </c>
      <c r="AW21" s="7" cm="1">
        <f t="array" ref="AW21">PRODUCT(1 + 預測IC!$C21:AW21) - 1</f>
        <v>-0.76717925770100281</v>
      </c>
      <c r="AX21" s="7" cm="1">
        <f t="array" ref="AX21">PRODUCT(1 + 預測IC!$C21:AX21) - 1</f>
        <v>-0.81786859450509708</v>
      </c>
      <c r="AY21" s="7" cm="1">
        <f t="array" ref="AY21">PRODUCT(1 + 預測IC!$C21:AY21) - 1</f>
        <v>-0.82983868841707886</v>
      </c>
      <c r="AZ21" s="7" cm="1">
        <f t="array" ref="AZ21">PRODUCT(1 + 預測IC!$C21:AZ21) - 1</f>
        <v>-0.87321472444004355</v>
      </c>
      <c r="BA21" s="7" cm="1">
        <f t="array" ref="BA21">PRODUCT(1 + 預測IC!$C21:BA21) - 1</f>
        <v>-0.88222055916392106</v>
      </c>
      <c r="BB21" s="7" cm="1">
        <f t="array" ref="BB21">PRODUCT(1 + 預測IC!$C21:BB21) - 1</f>
        <v>-0.84753302546157294</v>
      </c>
      <c r="BC21" s="7" cm="1">
        <f t="array" ref="BC21">PRODUCT(1 + 預測IC!$C21:BC21) - 1</f>
        <v>-0.82245822572740435</v>
      </c>
      <c r="BD21" s="7" cm="1">
        <f t="array" ref="BD21">PRODUCT(1 + 預測IC!$C21:BD21) - 1</f>
        <v>-0.82631991260218651</v>
      </c>
      <c r="BE21" s="7" cm="1">
        <f t="array" ref="BE21">PRODUCT(1 + 預測IC!$C21:BE21) - 1</f>
        <v>-0.83336929773877999</v>
      </c>
      <c r="BF21" s="7" cm="1">
        <f t="array" ref="BF21">PRODUCT(1 + 預測IC!$C21:BF21) - 1</f>
        <v>-0.8437487157469834</v>
      </c>
      <c r="BG21" s="7" cm="1">
        <f t="array" ref="BG21">PRODUCT(1 + 預測IC!$C21:BG21) - 1</f>
        <v>-0.85601835713395835</v>
      </c>
      <c r="BH21" s="7" cm="1">
        <f t="array" ref="BH21">PRODUCT(1 + 預測IC!$C21:BH21) - 1</f>
        <v>-0.86579711957837446</v>
      </c>
      <c r="BI21" s="7" cm="1">
        <f t="array" ref="BI21">PRODUCT(1 + 預測IC!$C21:BI21) - 1</f>
        <v>-0.84352352170882028</v>
      </c>
      <c r="BJ21" s="7" cm="1">
        <f t="array" ref="BJ21">PRODUCT(1 + 預測IC!$C21:BJ21) - 1</f>
        <v>-0.83983395873036959</v>
      </c>
      <c r="BK21" s="7" cm="1">
        <f t="array" ref="BK21">PRODUCT(1 + 預測IC!$C21:BK21) - 1</f>
        <v>-0.82818618533227095</v>
      </c>
      <c r="BL21" s="7" cm="1">
        <f t="array" ref="BL21">PRODUCT(1 + 預測IC!$C21:BL21) - 1</f>
        <v>-0.82754140270492438</v>
      </c>
      <c r="BM21" s="7" cm="1">
        <f t="array" ref="BM21">PRODUCT(1 + 預測IC!$C21:BM21) - 1</f>
        <v>-0.84391985691168458</v>
      </c>
      <c r="BN21" s="7" cm="1">
        <f t="array" ref="BN21">PRODUCT(1 + 預測IC!$C21:BN21) - 1</f>
        <v>-0.84794528342931552</v>
      </c>
      <c r="BO21" s="7" cm="1">
        <f t="array" ref="BO21">PRODUCT(1 + 預測IC!$C21:BO21) - 1</f>
        <v>-0.84566383884436624</v>
      </c>
      <c r="BP21" s="7" cm="1">
        <f t="array" ref="BP21">PRODUCT(1 + 預測IC!$C21:BP21) - 1</f>
        <v>-0.82953430100405656</v>
      </c>
      <c r="BQ21" s="7" cm="1">
        <f t="array" ref="BQ21">PRODUCT(1 + 預測IC!$C21:BQ21) - 1</f>
        <v>-0.82023672150005456</v>
      </c>
      <c r="BR21" s="7" cm="1">
        <f t="array" ref="BR21">PRODUCT(1 + 預測IC!$C21:BR21) - 1</f>
        <v>-0.79469928843718041</v>
      </c>
      <c r="BS21" s="7" cm="1">
        <f t="array" ref="BS21">PRODUCT(1 + 預測IC!$C21:BS21) - 1</f>
        <v>-0.79349619080066169</v>
      </c>
      <c r="BT21" s="7" cm="1">
        <f t="array" ref="BT21">PRODUCT(1 + 預測IC!$C21:BT21) - 1</f>
        <v>-0.78093647578729808</v>
      </c>
      <c r="BU21" s="7" cm="1">
        <f t="array" ref="BU21">PRODUCT(1 + 預測IC!$C21:BU21) - 1</f>
        <v>-0.75125414325972628</v>
      </c>
      <c r="BV21" s="7" cm="1">
        <f t="array" ref="BV21">PRODUCT(1 + 預測IC!$C21:BV21) - 1</f>
        <v>-0.71589666089896276</v>
      </c>
      <c r="BW21" s="7" cm="1">
        <f t="array" ref="BW21">PRODUCT(1 + 預測IC!$C21:BW21) - 1</f>
        <v>-0.75756871052506258</v>
      </c>
      <c r="BX21" s="7" cm="1">
        <f t="array" ref="BX21">PRODUCT(1 + 預測IC!$C21:BX21) - 1</f>
        <v>-0.75829377870076964</v>
      </c>
      <c r="BY21" s="7" cm="1">
        <f t="array" ref="BY21">PRODUCT(1 + 預測IC!$C21:BY21) - 1</f>
        <v>-0.76189916028422577</v>
      </c>
      <c r="BZ21" s="7" cm="1">
        <f t="array" ref="BZ21">PRODUCT(1 + 預測IC!$C21:BZ21) - 1</f>
        <v>-0.75055057693251026</v>
      </c>
      <c r="CA21" s="7" cm="1">
        <f t="array" ref="CA21">PRODUCT(1 + 預測IC!$C21:CA21) - 1</f>
        <v>-0.72683805600211437</v>
      </c>
      <c r="CB21" s="7" cm="1">
        <f t="array" ref="CB21">PRODUCT(1 + 預測IC!$C21:CB21) - 1</f>
        <v>-0.67005592425077198</v>
      </c>
      <c r="CC21" s="7" cm="1">
        <f t="array" ref="CC21">PRODUCT(1 + 預測IC!$C21:CC21) - 1</f>
        <v>-0.67270173070618122</v>
      </c>
      <c r="CD21" s="7" cm="1">
        <f t="array" ref="CD21">PRODUCT(1 + 預測IC!$C21:CD21) - 1</f>
        <v>-0.64507004857869243</v>
      </c>
      <c r="CE21" s="7" cm="1">
        <f t="array" ref="CE21">PRODUCT(1 + 預測IC!$C21:CE21) - 1</f>
        <v>-0.62323657437304503</v>
      </c>
      <c r="CF21" s="7" cm="1">
        <f t="array" ref="CF21">PRODUCT(1 + 預測IC!$C21:CF21) - 1</f>
        <v>-0.58008730690756871</v>
      </c>
      <c r="CG21" s="7" cm="1">
        <f t="array" ref="CG21">PRODUCT(1 + 預測IC!$C21:CG21) - 1</f>
        <v>-0.44564521065953167</v>
      </c>
      <c r="CH21" s="7" cm="1">
        <f t="array" ref="CH21">PRODUCT(1 + 預測IC!$C21:CH21) - 1</f>
        <v>-0.40124121404322444</v>
      </c>
      <c r="CI21" s="7" cm="1">
        <f t="array" ref="CI21">PRODUCT(1 + 預測IC!$C21:CI21) - 1</f>
        <v>-0.47506418845715048</v>
      </c>
      <c r="CJ21" s="7" cm="1">
        <f t="array" ref="CJ21">PRODUCT(1 + 預測IC!$C21:CJ21) - 1</f>
        <v>-0.43011511233709898</v>
      </c>
      <c r="CK21" s="7" cm="1">
        <f t="array" ref="CK21">PRODUCT(1 + 預測IC!$C21:CK21) - 1</f>
        <v>-0.35771092578628627</v>
      </c>
      <c r="CL21" s="7" cm="1">
        <f t="array" ref="CL21">PRODUCT(1 + 預測IC!$C21:CL21) - 1</f>
        <v>-0.44370728266345127</v>
      </c>
      <c r="CM21" s="7" cm="1">
        <f t="array" ref="CM21">PRODUCT(1 + 預測IC!$C21:CM21) - 1</f>
        <v>-0.40866399405972276</v>
      </c>
      <c r="CN21" s="7" cm="1">
        <f t="array" ref="CN21">PRODUCT(1 + 預測IC!$C21:CN21) - 1</f>
        <v>-0.45647440236516512</v>
      </c>
      <c r="CO21" s="7" cm="1">
        <f t="array" ref="CO21">PRODUCT(1 + 預測IC!$C21:CO21) - 1</f>
        <v>-0.32722837370360547</v>
      </c>
      <c r="CP21" s="7" cm="1">
        <f t="array" ref="CP21">PRODUCT(1 + 預測IC!$C21:CP21) - 1</f>
        <v>-0.47705465583674489</v>
      </c>
      <c r="CQ21" s="7" cm="1">
        <f t="array" ref="CQ21">PRODUCT(1 + 預測IC!$C21:CQ21) - 1</f>
        <v>-0.47877414809556285</v>
      </c>
      <c r="CR21" s="7" cm="1">
        <f t="array" ref="CR21">PRODUCT(1 + 預測IC!$C21:CR21) - 1</f>
        <v>-0.52611410975912687</v>
      </c>
      <c r="CS21" s="7" cm="1">
        <f t="array" ref="CS21">PRODUCT(1 + 預測IC!$C21:CS21) - 1</f>
        <v>-0.51146736518103786</v>
      </c>
      <c r="CT21" s="7" cm="1">
        <f t="array" ref="CT21">PRODUCT(1 + 預測IC!$C21:CT21) - 1</f>
        <v>-0.55167011918338993</v>
      </c>
      <c r="CU21" s="7" cm="1">
        <f t="array" ref="CU21">PRODUCT(1 + 預測IC!$C21:CU21) - 1</f>
        <v>-0.5235716894222493</v>
      </c>
      <c r="CV21" s="7" cm="1">
        <f t="array" ref="CV21">PRODUCT(1 + 預測IC!$C21:CV21) - 1</f>
        <v>-0.5703691613416304</v>
      </c>
      <c r="CW21" s="7" cm="1">
        <f t="array" ref="CW21">PRODUCT(1 + 預測IC!$C21:CW21) - 1</f>
        <v>-0.59829749328539883</v>
      </c>
      <c r="CX21" s="7" cm="1">
        <f t="array" ref="CX21">PRODUCT(1 + 預測IC!$C21:CX21) - 1</f>
        <v>-0.59291647773148592</v>
      </c>
      <c r="CY21" s="7" cm="1">
        <f t="array" ref="CY21">PRODUCT(1 + 預測IC!$C21:CY21) - 1</f>
        <v>-0.58946362932619345</v>
      </c>
      <c r="CZ21" s="7" cm="1">
        <f t="array" ref="CZ21">PRODUCT(1 + 預測IC!$C21:CZ21) - 1</f>
        <v>-0.6869460533165499</v>
      </c>
      <c r="DA21" s="7" cm="1">
        <f t="array" ref="DA21">PRODUCT(1 + 預測IC!$C21:DA21) - 1</f>
        <v>-0.68731929390578861</v>
      </c>
      <c r="DB21" s="7" cm="1">
        <f t="array" ref="DB21">PRODUCT(1 + 預測IC!$C21:DB21) - 1</f>
        <v>-0.67117732953221476</v>
      </c>
      <c r="DC21" s="7" cm="1">
        <f t="array" ref="DC21">PRODUCT(1 + 預測IC!$C21:DC21) - 1</f>
        <v>-0.72178471534348376</v>
      </c>
      <c r="DD21" s="7" cm="1">
        <f t="array" ref="DD21">PRODUCT(1 + 預測IC!$C21:DD21) - 1</f>
        <v>-0.75553854176236879</v>
      </c>
      <c r="DE21" s="7" cm="1">
        <f t="array" ref="DE21">PRODUCT(1 + 預測IC!$C21:DE21) - 1</f>
        <v>-0.7626224816205629</v>
      </c>
      <c r="DF21" s="7" cm="1">
        <f t="array" ref="DF21">PRODUCT(1 + 預測IC!$C21:DF21) - 1</f>
        <v>-0.83410877152908869</v>
      </c>
      <c r="DG21" s="7" cm="1">
        <f t="array" ref="DG21">PRODUCT(1 + 預測IC!$C21:DG21) - 1</f>
        <v>-0.83541041683587836</v>
      </c>
      <c r="DH21" s="7" cm="1">
        <f t="array" ref="DH21">PRODUCT(1 + 預測IC!$C21:DH21) - 1</f>
        <v>-0.83772731480692253</v>
      </c>
      <c r="DI21" s="7" cm="1">
        <f t="array" ref="DI21">PRODUCT(1 + 預測IC!$C21:DI21) - 1</f>
        <v>-0.85235606799995833</v>
      </c>
      <c r="DJ21" s="7" cm="1">
        <f t="array" ref="DJ21">PRODUCT(1 + 預測IC!$C21:DJ21) - 1</f>
        <v>-0.86317878036390394</v>
      </c>
      <c r="DK21" s="7" cm="1">
        <f t="array" ref="DK21">PRODUCT(1 + 預測IC!$C21:DK21) - 1</f>
        <v>-0.88226571085340322</v>
      </c>
      <c r="DL21" s="7" cm="1">
        <f t="array" ref="DL21">PRODUCT(1 + 預測IC!$C21:DL21) - 1</f>
        <v>-0.88376529149364125</v>
      </c>
      <c r="DM21" s="7" cm="1">
        <f t="array" ref="DM21">PRODUCT(1 + 預測IC!$C21:DM21) - 1</f>
        <v>-0.88029753129348165</v>
      </c>
      <c r="DN21" s="7" cm="1">
        <f t="array" ref="DN21">PRODUCT(1 + 預測IC!$C21:DN21) - 1</f>
        <v>-0.88590856480707947</v>
      </c>
      <c r="DO21" s="7" cm="1">
        <f t="array" ref="DO21">PRODUCT(1 + 預測IC!$C21:DO21) - 1</f>
        <v>-0.84807278669003217</v>
      </c>
      <c r="DP21" s="7" cm="1">
        <f t="array" ref="DP21">PRODUCT(1 + 預測IC!$C21:DP21) - 1</f>
        <v>-0.84243497547367552</v>
      </c>
      <c r="DQ21" s="7" cm="1">
        <f t="array" ref="DQ21">PRODUCT(1 + 預測IC!$C21:DQ21) - 1</f>
        <v>-0.83798911254000363</v>
      </c>
      <c r="DR21" s="7" cm="1">
        <f t="array" ref="DR21">PRODUCT(1 + 預測IC!$C21:DR21) - 1</f>
        <v>-0.82931229709173504</v>
      </c>
      <c r="DS21" s="7" cm="1">
        <f t="array" ref="DS21">PRODUCT(1 + 預測IC!$C21:DS21) - 1</f>
        <v>-0.82902689109187655</v>
      </c>
      <c r="DT21" s="7" cm="1">
        <f t="array" ref="DT21">PRODUCT(1 + 預測IC!$C21:DT21) - 1</f>
        <v>-0.79986387066778919</v>
      </c>
      <c r="DU21" s="7" cm="1">
        <f t="array" ref="DU21">PRODUCT(1 + 預測IC!$C21:DU21) - 1</f>
        <v>-0.79424198795555023</v>
      </c>
      <c r="DV21" s="7" cm="1">
        <f t="array" ref="DV21">PRODUCT(1 + 預測IC!$C21:DV21) - 1</f>
        <v>-0.82310489409388954</v>
      </c>
      <c r="DW21" s="7" cm="1">
        <f t="array" ref="DW21">PRODUCT(1 + 預測IC!$C21:DW21) - 1</f>
        <v>-0.80041847378431685</v>
      </c>
      <c r="DX21" s="7" cm="1">
        <f t="array" ref="DX21">PRODUCT(1 + 預測IC!$C21:DX21) - 1</f>
        <v>-0.77710158563702381</v>
      </c>
      <c r="DY21" s="7" cm="1">
        <f t="array" ref="DY21">PRODUCT(1 + 預測IC!$C21:DY21) - 1</f>
        <v>-0.72680191013805473</v>
      </c>
      <c r="DZ21" s="7" cm="1">
        <f t="array" ref="DZ21">PRODUCT(1 + 預測IC!$C21:DZ21) - 1</f>
        <v>-0.77594779365661115</v>
      </c>
      <c r="EA21" s="7" cm="1">
        <f t="array" ref="EA21">PRODUCT(1 + 預測IC!$C21:EA21) - 1</f>
        <v>-0.83555841394153152</v>
      </c>
      <c r="EB21" s="7" cm="1">
        <f t="array" ref="EB21">PRODUCT(1 + 預測IC!$C21:EB21) - 1</f>
        <v>-0.81857232838282767</v>
      </c>
      <c r="EC21" s="7" cm="1">
        <f t="array" ref="EC21">PRODUCT(1 + 預測IC!$C21:EC21) - 1</f>
        <v>-0.79315539689826098</v>
      </c>
      <c r="ED21" s="7" cm="1">
        <f t="array" ref="ED21">PRODUCT(1 + 預測IC!$C21:ED21) - 1</f>
        <v>-0.78188260258742281</v>
      </c>
      <c r="EE21" s="7" cm="1">
        <f t="array" ref="EE21">PRODUCT(1 + 預測IC!$C21:EE21) - 1</f>
        <v>-0.77723439165591024</v>
      </c>
      <c r="EF21" s="7" cm="1">
        <f t="array" ref="EF21">PRODUCT(1 + 預測IC!$C21:EF21) - 1</f>
        <v>-0.7730527996021801</v>
      </c>
    </row>
    <row r="22" spans="1:136" x14ac:dyDescent="0.3">
      <c r="A22" s="1">
        <v>3</v>
      </c>
      <c r="B22" s="1" t="s">
        <v>160</v>
      </c>
      <c r="C22" s="7" cm="1">
        <f t="array" ref="C22">PRODUCT(1 + 預測IC!$C22:C22) - 1</f>
        <v>6.4235717628454703E-2</v>
      </c>
      <c r="D22" s="7" cm="1">
        <f t="array" ref="D22">PRODUCT(1 + 預測IC!$C22:D22) - 1</f>
        <v>0.21581252499432435</v>
      </c>
      <c r="E22" s="7" cm="1">
        <f t="array" ref="E22">PRODUCT(1 + 預測IC!$C22:E22) - 1</f>
        <v>0.2656943122702824</v>
      </c>
      <c r="F22" s="7" cm="1">
        <f t="array" ref="F22">PRODUCT(1 + 預測IC!$C22:F22) - 1</f>
        <v>0.38901596629637347</v>
      </c>
      <c r="G22" s="7" cm="1">
        <f t="array" ref="G22">PRODUCT(1 + 預測IC!$C22:G22) - 1</f>
        <v>0.43479074334583467</v>
      </c>
      <c r="H22" s="7" cm="1">
        <f t="array" ref="H22">PRODUCT(1 + 預測IC!$C22:H22) - 1</f>
        <v>0.178322667755759</v>
      </c>
      <c r="I22" s="7" cm="1">
        <f t="array" ref="I22">PRODUCT(1 + 預測IC!$C22:I22) - 1</f>
        <v>3.2807867011710901E-2</v>
      </c>
      <c r="J22" s="7" cm="1">
        <f t="array" ref="J22">PRODUCT(1 + 預測IC!$C22:J22) - 1</f>
        <v>-7.4865970778207003E-2</v>
      </c>
      <c r="K22" s="7" cm="1">
        <f t="array" ref="K22">PRODUCT(1 + 預測IC!$C22:K22) - 1</f>
        <v>6.6944836983796163E-2</v>
      </c>
      <c r="L22" s="7" cm="1">
        <f t="array" ref="L22">PRODUCT(1 + 預測IC!$C22:L22) - 1</f>
        <v>-0.11569836453321058</v>
      </c>
      <c r="M22" s="7" cm="1">
        <f t="array" ref="M22">PRODUCT(1 + 預測IC!$C22:M22) - 1</f>
        <v>-0.18122516769221308</v>
      </c>
      <c r="N22" s="7" cm="1">
        <f t="array" ref="N22">PRODUCT(1 + 預測IC!$C22:N22) - 1</f>
        <v>-0.29035182042788332</v>
      </c>
      <c r="O22" s="7" cm="1">
        <f t="array" ref="O22">PRODUCT(1 + 預測IC!$C22:O22) - 1</f>
        <v>-0.33750250049526898</v>
      </c>
      <c r="P22" s="7" cm="1">
        <f t="array" ref="P22">PRODUCT(1 + 預測IC!$C22:P22) - 1</f>
        <v>-0.30910885901888585</v>
      </c>
      <c r="Q22" s="7" cm="1">
        <f t="array" ref="Q22">PRODUCT(1 + 預測IC!$C22:Q22) - 1</f>
        <v>-0.11788615504135991</v>
      </c>
      <c r="R22" s="7" cm="1">
        <f t="array" ref="R22">PRODUCT(1 + 預測IC!$C22:R22) - 1</f>
        <v>-5.9050667698212322E-2</v>
      </c>
      <c r="S22" s="7" cm="1">
        <f t="array" ref="S22">PRODUCT(1 + 預測IC!$C22:S22) - 1</f>
        <v>-9.5968008862953535E-2</v>
      </c>
      <c r="T22" s="7" cm="1">
        <f t="array" ref="T22">PRODUCT(1 + 預測IC!$C22:T22) - 1</f>
        <v>-0.19075482941022448</v>
      </c>
      <c r="U22" s="7" cm="1">
        <f t="array" ref="U22">PRODUCT(1 + 預測IC!$C22:U22) - 1</f>
        <v>-0.10126038705633778</v>
      </c>
      <c r="V22" s="7" cm="1">
        <f t="array" ref="V22">PRODUCT(1 + 預測IC!$C22:V22) - 1</f>
        <v>-0.15251023574600653</v>
      </c>
      <c r="W22" s="7" cm="1">
        <f t="array" ref="W22">PRODUCT(1 + 預測IC!$C22:W22) - 1</f>
        <v>-0.44590567098853506</v>
      </c>
      <c r="X22" s="7" cm="1">
        <f t="array" ref="X22">PRODUCT(1 + 預測IC!$C22:X22) - 1</f>
        <v>-0.30339130677272141</v>
      </c>
      <c r="Y22" s="7" cm="1">
        <f t="array" ref="Y22">PRODUCT(1 + 預測IC!$C22:Y22) - 1</f>
        <v>-0.33678556570796503</v>
      </c>
      <c r="Z22" s="7" cm="1">
        <f t="array" ref="Z22">PRODUCT(1 + 預測IC!$C22:Z22) - 1</f>
        <v>-0.320957209246029</v>
      </c>
      <c r="AA22" s="7" cm="1">
        <f t="array" ref="AA22">PRODUCT(1 + 預測IC!$C22:AA22) - 1</f>
        <v>-0.24074825761873009</v>
      </c>
      <c r="AB22" s="7" cm="1">
        <f t="array" ref="AB22">PRODUCT(1 + 預測IC!$C22:AB22) - 1</f>
        <v>-0.26980790012630362</v>
      </c>
      <c r="AC22" s="7" cm="1">
        <f t="array" ref="AC22">PRODUCT(1 + 預測IC!$C22:AC22) - 1</f>
        <v>-0.21546672596703176</v>
      </c>
      <c r="AD22" s="7" cm="1">
        <f t="array" ref="AD22">PRODUCT(1 + 預測IC!$C22:AD22) - 1</f>
        <v>-0.22611503038037029</v>
      </c>
      <c r="AE22" s="7" cm="1">
        <f t="array" ref="AE22">PRODUCT(1 + 預測IC!$C22:AE22) - 1</f>
        <v>-0.29200954474093221</v>
      </c>
      <c r="AF22" s="7" cm="1">
        <f t="array" ref="AF22">PRODUCT(1 + 預測IC!$C22:AF22) - 1</f>
        <v>-0.59638651307517609</v>
      </c>
      <c r="AG22" s="7" cm="1">
        <f t="array" ref="AG22">PRODUCT(1 + 預測IC!$C22:AG22) - 1</f>
        <v>-0.59202260346441105</v>
      </c>
      <c r="AH22" s="7" cm="1">
        <f t="array" ref="AH22">PRODUCT(1 + 預測IC!$C22:AH22) - 1</f>
        <v>-0.59222208237809859</v>
      </c>
      <c r="AI22" s="7" cm="1">
        <f t="array" ref="AI22">PRODUCT(1 + 預測IC!$C22:AI22) - 1</f>
        <v>-0.61970341921493899</v>
      </c>
      <c r="AJ22" s="7" cm="1">
        <f t="array" ref="AJ22">PRODUCT(1 + 預測IC!$C22:AJ22) - 1</f>
        <v>-0.62467828477102327</v>
      </c>
      <c r="AK22" s="7" cm="1">
        <f t="array" ref="AK22">PRODUCT(1 + 預測IC!$C22:AK22) - 1</f>
        <v>-0.59518709248525958</v>
      </c>
      <c r="AL22" s="7" cm="1">
        <f t="array" ref="AL22">PRODUCT(1 + 預測IC!$C22:AL22) - 1</f>
        <v>-0.59565049243620283</v>
      </c>
      <c r="AM22" s="7" cm="1">
        <f t="array" ref="AM22">PRODUCT(1 + 預測IC!$C22:AM22) - 1</f>
        <v>-0.57285579261974751</v>
      </c>
      <c r="AN22" s="7" cm="1">
        <f t="array" ref="AN22">PRODUCT(1 + 預測IC!$C22:AN22) - 1</f>
        <v>-0.55779292702083472</v>
      </c>
      <c r="AO22" s="7" cm="1">
        <f t="array" ref="AO22">PRODUCT(1 + 預測IC!$C22:AO22) - 1</f>
        <v>-0.59083347800995667</v>
      </c>
      <c r="AP22" s="7" cm="1">
        <f t="array" ref="AP22">PRODUCT(1 + 預測IC!$C22:AP22) - 1</f>
        <v>-0.56524569559166826</v>
      </c>
      <c r="AQ22" s="7" cm="1">
        <f t="array" ref="AQ22">PRODUCT(1 + 預測IC!$C22:AQ22) - 1</f>
        <v>-0.59977654204792841</v>
      </c>
      <c r="AR22" s="7" cm="1">
        <f t="array" ref="AR22">PRODUCT(1 + 預測IC!$C22:AR22) - 1</f>
        <v>-0.57259156869956929</v>
      </c>
      <c r="AS22" s="7" cm="1">
        <f t="array" ref="AS22">PRODUCT(1 + 預測IC!$C22:AS22) - 1</f>
        <v>-0.60415298982593679</v>
      </c>
      <c r="AT22" s="7" cm="1">
        <f t="array" ref="AT22">PRODUCT(1 + 預測IC!$C22:AT22) - 1</f>
        <v>-0.6141031435069646</v>
      </c>
      <c r="AU22" s="7" cm="1">
        <f t="array" ref="AU22">PRODUCT(1 + 預測IC!$C22:AU22) - 1</f>
        <v>-0.60117542442346383</v>
      </c>
      <c r="AV22" s="7" cm="1">
        <f t="array" ref="AV22">PRODUCT(1 + 預測IC!$C22:AV22) - 1</f>
        <v>-0.62503038922510601</v>
      </c>
      <c r="AW22" s="7" cm="1">
        <f t="array" ref="AW22">PRODUCT(1 + 預測IC!$C22:AW22) - 1</f>
        <v>-0.63633549396115896</v>
      </c>
      <c r="AX22" s="7" cm="1">
        <f t="array" ref="AX22">PRODUCT(1 + 預測IC!$C22:AX22) - 1</f>
        <v>-0.63274423932035662</v>
      </c>
      <c r="AY22" s="7" cm="1">
        <f t="array" ref="AY22">PRODUCT(1 + 預測IC!$C22:AY22) - 1</f>
        <v>-0.66890287390393099</v>
      </c>
      <c r="AZ22" s="7" cm="1">
        <f t="array" ref="AZ22">PRODUCT(1 + 預測IC!$C22:AZ22) - 1</f>
        <v>-0.72019106972748703</v>
      </c>
      <c r="BA22" s="7" cm="1">
        <f t="array" ref="BA22">PRODUCT(1 + 預測IC!$C22:BA22) - 1</f>
        <v>-0.73294991629570583</v>
      </c>
      <c r="BB22" s="7" cm="1">
        <f t="array" ref="BB22">PRODUCT(1 + 預測IC!$C22:BB22) - 1</f>
        <v>-0.63426140209340787</v>
      </c>
      <c r="BC22" s="7" cm="1">
        <f t="array" ref="BC22">PRODUCT(1 + 預測IC!$C22:BC22) - 1</f>
        <v>-0.5627134102102842</v>
      </c>
      <c r="BD22" s="7" cm="1">
        <f t="array" ref="BD22">PRODUCT(1 + 預測IC!$C22:BD22) - 1</f>
        <v>-0.57240988240485458</v>
      </c>
      <c r="BE22" s="7" cm="1">
        <f t="array" ref="BE22">PRODUCT(1 + 預測IC!$C22:BE22) - 1</f>
        <v>-0.60169255219255846</v>
      </c>
      <c r="BF22" s="7" cm="1">
        <f t="array" ref="BF22">PRODUCT(1 + 預測IC!$C22:BF22) - 1</f>
        <v>-0.62355406025155946</v>
      </c>
      <c r="BG22" s="7" cm="1">
        <f t="array" ref="BG22">PRODUCT(1 + 預測IC!$C22:BG22) - 1</f>
        <v>-0.65976007703338868</v>
      </c>
      <c r="BH22" s="7" cm="1">
        <f t="array" ref="BH22">PRODUCT(1 + 預測IC!$C22:BH22) - 1</f>
        <v>-0.66247975493813149</v>
      </c>
      <c r="BI22" s="7" cm="1">
        <f t="array" ref="BI22">PRODUCT(1 + 預測IC!$C22:BI22) - 1</f>
        <v>-0.62498506313929059</v>
      </c>
      <c r="BJ22" s="7" cm="1">
        <f t="array" ref="BJ22">PRODUCT(1 + 預測IC!$C22:BJ22) - 1</f>
        <v>-0.60436058598397757</v>
      </c>
      <c r="BK22" s="7" cm="1">
        <f t="array" ref="BK22">PRODUCT(1 + 預測IC!$C22:BK22) - 1</f>
        <v>-0.58524517232625417</v>
      </c>
      <c r="BL22" s="7" cm="1">
        <f t="array" ref="BL22">PRODUCT(1 + 預測IC!$C22:BL22) - 1</f>
        <v>-0.57783604097006624</v>
      </c>
      <c r="BM22" s="7" cm="1">
        <f t="array" ref="BM22">PRODUCT(1 + 預測IC!$C22:BM22) - 1</f>
        <v>-0.62889239622359194</v>
      </c>
      <c r="BN22" s="7" cm="1">
        <f t="array" ref="BN22">PRODUCT(1 + 預測IC!$C22:BN22) - 1</f>
        <v>-0.65967128125807295</v>
      </c>
      <c r="BO22" s="7" cm="1">
        <f t="array" ref="BO22">PRODUCT(1 + 預測IC!$C22:BO22) - 1</f>
        <v>-0.6466196534659161</v>
      </c>
      <c r="BP22" s="7" cm="1">
        <f t="array" ref="BP22">PRODUCT(1 + 預測IC!$C22:BP22) - 1</f>
        <v>-0.62017424081903583</v>
      </c>
      <c r="BQ22" s="7" cm="1">
        <f t="array" ref="BQ22">PRODUCT(1 + 預測IC!$C22:BQ22) - 1</f>
        <v>-0.60960365294664154</v>
      </c>
      <c r="BR22" s="7" cm="1">
        <f t="array" ref="BR22">PRODUCT(1 + 預測IC!$C22:BR22) - 1</f>
        <v>-0.56800037054922359</v>
      </c>
      <c r="BS22" s="7" cm="1">
        <f t="array" ref="BS22">PRODUCT(1 + 預測IC!$C22:BS22) - 1</f>
        <v>-0.57507340646907901</v>
      </c>
      <c r="BT22" s="7" cm="1">
        <f t="array" ref="BT22">PRODUCT(1 + 預測IC!$C22:BT22) - 1</f>
        <v>-0.61277552598387119</v>
      </c>
      <c r="BU22" s="7" cm="1">
        <f t="array" ref="BU22">PRODUCT(1 + 預測IC!$C22:BU22) - 1</f>
        <v>-0.53031655202369654</v>
      </c>
      <c r="BV22" s="7" cm="1">
        <f t="array" ref="BV22">PRODUCT(1 + 預測IC!$C22:BV22) - 1</f>
        <v>-0.45585107241212763</v>
      </c>
      <c r="BW22" s="7" cm="1">
        <f t="array" ref="BW22">PRODUCT(1 + 預測IC!$C22:BW22) - 1</f>
        <v>-0.55089674824281964</v>
      </c>
      <c r="BX22" s="7" cm="1">
        <f t="array" ref="BX22">PRODUCT(1 + 預測IC!$C22:BX22) - 1</f>
        <v>-0.53444275224647764</v>
      </c>
      <c r="BY22" s="7" cm="1">
        <f t="array" ref="BY22">PRODUCT(1 + 預測IC!$C22:BY22) - 1</f>
        <v>-0.51938063656224176</v>
      </c>
      <c r="BZ22" s="7" cm="1">
        <f t="array" ref="BZ22">PRODUCT(1 + 預測IC!$C22:BZ22) - 1</f>
        <v>-0.49666765363430876</v>
      </c>
      <c r="CA22" s="7" cm="1">
        <f t="array" ref="CA22">PRODUCT(1 + 預測IC!$C22:CA22) - 1</f>
        <v>-0.42414816536478384</v>
      </c>
      <c r="CB22" s="7" cm="1">
        <f t="array" ref="CB22">PRODUCT(1 + 預測IC!$C22:CB22) - 1</f>
        <v>-0.27745609760777157</v>
      </c>
      <c r="CC22" s="7" cm="1">
        <f t="array" ref="CC22">PRODUCT(1 + 預測IC!$C22:CC22) - 1</f>
        <v>-0.36784922659116726</v>
      </c>
      <c r="CD22" s="7" cm="1">
        <f t="array" ref="CD22">PRODUCT(1 + 預測IC!$C22:CD22) - 1</f>
        <v>-0.30746710584417525</v>
      </c>
      <c r="CE22" s="7" cm="1">
        <f t="array" ref="CE22">PRODUCT(1 + 預測IC!$C22:CE22) - 1</f>
        <v>-0.26117810634051308</v>
      </c>
      <c r="CF22" s="7" cm="1">
        <f t="array" ref="CF22">PRODUCT(1 + 預測IC!$C22:CF22) - 1</f>
        <v>-0.18672676033186275</v>
      </c>
      <c r="CG22" s="7" cm="1">
        <f t="array" ref="CG22">PRODUCT(1 + 預測IC!$C22:CG22) - 1</f>
        <v>0.1742045662947973</v>
      </c>
      <c r="CH22" s="7" cm="1">
        <f t="array" ref="CH22">PRODUCT(1 + 預測IC!$C22:CH22) - 1</f>
        <v>0.31031691685040763</v>
      </c>
      <c r="CI22" s="7" cm="1">
        <f t="array" ref="CI22">PRODUCT(1 + 預測IC!$C22:CI22) - 1</f>
        <v>8.3554748061895889E-3</v>
      </c>
      <c r="CJ22" s="7" cm="1">
        <f t="array" ref="CJ22">PRODUCT(1 + 預測IC!$C22:CJ22) - 1</f>
        <v>0.1125987647460045</v>
      </c>
      <c r="CK22" s="7" cm="1">
        <f t="array" ref="CK22">PRODUCT(1 + 預測IC!$C22:CK22) - 1</f>
        <v>0.1528340550570606</v>
      </c>
      <c r="CL22" s="7" cm="1">
        <f t="array" ref="CL22">PRODUCT(1 + 預測IC!$C22:CL22) - 1</f>
        <v>-0.12459753380862038</v>
      </c>
      <c r="CM22" s="7" cm="1">
        <f t="array" ref="CM22">PRODUCT(1 + 預測IC!$C22:CM22) - 1</f>
        <v>-8.3942723661088126E-2</v>
      </c>
      <c r="CN22" s="7" cm="1">
        <f t="array" ref="CN22">PRODUCT(1 + 預測IC!$C22:CN22) - 1</f>
        <v>-0.22391986350816417</v>
      </c>
      <c r="CO22" s="7" cm="1">
        <f t="array" ref="CO22">PRODUCT(1 + 預測IC!$C22:CO22) - 1</f>
        <v>-8.0123267223082606E-2</v>
      </c>
      <c r="CP22" s="7" cm="1">
        <f t="array" ref="CP22">PRODUCT(1 + 預測IC!$C22:CP22) - 1</f>
        <v>-0.31874716306247142</v>
      </c>
      <c r="CQ22" s="7" cm="1">
        <f t="array" ref="CQ22">PRODUCT(1 + 預測IC!$C22:CQ22) - 1</f>
        <v>-0.31034474090670094</v>
      </c>
      <c r="CR22" s="7" cm="1">
        <f t="array" ref="CR22">PRODUCT(1 + 預測IC!$C22:CR22) - 1</f>
        <v>-0.42196573514367208</v>
      </c>
      <c r="CS22" s="7" cm="1">
        <f t="array" ref="CS22">PRODUCT(1 + 預測IC!$C22:CS22) - 1</f>
        <v>-0.40783881653582577</v>
      </c>
      <c r="CT22" s="7" cm="1">
        <f t="array" ref="CT22">PRODUCT(1 + 預測IC!$C22:CT22) - 1</f>
        <v>-0.44232185529808887</v>
      </c>
      <c r="CU22" s="7" cm="1">
        <f t="array" ref="CU22">PRODUCT(1 + 預測IC!$C22:CU22) - 1</f>
        <v>-0.37527125723561616</v>
      </c>
      <c r="CV22" s="7" cm="1">
        <f t="array" ref="CV22">PRODUCT(1 + 預測IC!$C22:CV22) - 1</f>
        <v>-0.44538687253812015</v>
      </c>
      <c r="CW22" s="7" cm="1">
        <f t="array" ref="CW22">PRODUCT(1 + 預測IC!$C22:CW22) - 1</f>
        <v>-0.46560321614524991</v>
      </c>
      <c r="CX22" s="7" cm="1">
        <f t="array" ref="CX22">PRODUCT(1 + 預測IC!$C22:CX22) - 1</f>
        <v>-0.44033402200063831</v>
      </c>
      <c r="CY22" s="7" cm="1">
        <f t="array" ref="CY22">PRODUCT(1 + 預測IC!$C22:CY22) - 1</f>
        <v>-0.43586294801104075</v>
      </c>
      <c r="CZ22" s="7" cm="1">
        <f t="array" ref="CZ22">PRODUCT(1 + 預測IC!$C22:CZ22) - 1</f>
        <v>-0.5841861351003641</v>
      </c>
      <c r="DA22" s="7" cm="1">
        <f t="array" ref="DA22">PRODUCT(1 + 預測IC!$C22:DA22) - 1</f>
        <v>-0.58252630849099307</v>
      </c>
      <c r="DB22" s="7" cm="1">
        <f t="array" ref="DB22">PRODUCT(1 + 預測IC!$C22:DB22) - 1</f>
        <v>-0.55815273037206115</v>
      </c>
      <c r="DC22" s="7" cm="1">
        <f t="array" ref="DC22">PRODUCT(1 + 預測IC!$C22:DC22) - 1</f>
        <v>-0.62052708803556178</v>
      </c>
      <c r="DD22" s="7" cm="1">
        <f t="array" ref="DD22">PRODUCT(1 + 預測IC!$C22:DD22) - 1</f>
        <v>-0.67664889380123083</v>
      </c>
      <c r="DE22" s="7" cm="1">
        <f t="array" ref="DE22">PRODUCT(1 + 預測IC!$C22:DE22) - 1</f>
        <v>-0.67090730875165849</v>
      </c>
      <c r="DF22" s="7" cm="1">
        <f t="array" ref="DF22">PRODUCT(1 + 預測IC!$C22:DF22) - 1</f>
        <v>-0.79914407901643048</v>
      </c>
      <c r="DG22" s="7" cm="1">
        <f t="array" ref="DG22">PRODUCT(1 + 預測IC!$C22:DG22) - 1</f>
        <v>-0.80556846430214135</v>
      </c>
      <c r="DH22" s="7" cm="1">
        <f t="array" ref="DH22">PRODUCT(1 + 預測IC!$C22:DH22) - 1</f>
        <v>-0.8082798793764383</v>
      </c>
      <c r="DI22" s="7" cm="1">
        <f t="array" ref="DI22">PRODUCT(1 + 預測IC!$C22:DI22) - 1</f>
        <v>-0.82382944402473446</v>
      </c>
      <c r="DJ22" s="7" cm="1">
        <f t="array" ref="DJ22">PRODUCT(1 + 預測IC!$C22:DJ22) - 1</f>
        <v>-0.83136547817834971</v>
      </c>
      <c r="DK22" s="7" cm="1">
        <f t="array" ref="DK22">PRODUCT(1 + 預測IC!$C22:DK22) - 1</f>
        <v>-0.86157377498552257</v>
      </c>
      <c r="DL22" s="7" cm="1">
        <f t="array" ref="DL22">PRODUCT(1 + 預測IC!$C22:DL22) - 1</f>
        <v>-0.8620185842300182</v>
      </c>
      <c r="DM22" s="7" cm="1">
        <f t="array" ref="DM22">PRODUCT(1 + 預測IC!$C22:DM22) - 1</f>
        <v>-0.85326144865446041</v>
      </c>
      <c r="DN22" s="7" cm="1">
        <f t="array" ref="DN22">PRODUCT(1 + 預測IC!$C22:DN22) - 1</f>
        <v>-0.8654662379410597</v>
      </c>
      <c r="DO22" s="7" cm="1">
        <f t="array" ref="DO22">PRODUCT(1 + 預測IC!$C22:DO22) - 1</f>
        <v>-0.85527990435983048</v>
      </c>
      <c r="DP22" s="7" cm="1">
        <f t="array" ref="DP22">PRODUCT(1 + 預測IC!$C22:DP22) - 1</f>
        <v>-0.84006995837381326</v>
      </c>
      <c r="DQ22" s="7" cm="1">
        <f t="array" ref="DQ22">PRODUCT(1 + 預測IC!$C22:DQ22) - 1</f>
        <v>-0.83177755343559634</v>
      </c>
      <c r="DR22" s="7" cm="1">
        <f t="array" ref="DR22">PRODUCT(1 + 預測IC!$C22:DR22) - 1</f>
        <v>-0.81979400882038644</v>
      </c>
      <c r="DS22" s="7" cm="1">
        <f t="array" ref="DS22">PRODUCT(1 + 預測IC!$C22:DS22) - 1</f>
        <v>-0.8132441946060347</v>
      </c>
      <c r="DT22" s="7" cm="1">
        <f t="array" ref="DT22">PRODUCT(1 + 預測IC!$C22:DT22) - 1</f>
        <v>-0.80234568439046083</v>
      </c>
      <c r="DU22" s="7" cm="1">
        <f t="array" ref="DU22">PRODUCT(1 + 預測IC!$C22:DU22) - 1</f>
        <v>-0.79098147226390247</v>
      </c>
      <c r="DV22" s="7" cm="1">
        <f t="array" ref="DV22">PRODUCT(1 + 預測IC!$C22:DV22) - 1</f>
        <v>-0.81725617088988811</v>
      </c>
      <c r="DW22" s="7" cm="1">
        <f t="array" ref="DW22">PRODUCT(1 + 預測IC!$C22:DW22) - 1</f>
        <v>-0.80293093261678783</v>
      </c>
      <c r="DX22" s="7" cm="1">
        <f t="array" ref="DX22">PRODUCT(1 + 預測IC!$C22:DX22) - 1</f>
        <v>-0.77054221280947166</v>
      </c>
      <c r="DY22" s="7" cm="1">
        <f t="array" ref="DY22">PRODUCT(1 + 預測IC!$C22:DY22) - 1</f>
        <v>-0.6976309976566023</v>
      </c>
      <c r="DZ22" s="7" cm="1">
        <f t="array" ref="DZ22">PRODUCT(1 + 預測IC!$C22:DZ22) - 1</f>
        <v>-0.74771124048976589</v>
      </c>
      <c r="EA22" s="7" cm="1">
        <f t="array" ref="EA22">PRODUCT(1 + 預測IC!$C22:EA22) - 1</f>
        <v>-0.78312152249053835</v>
      </c>
      <c r="EB22" s="7" cm="1">
        <f t="array" ref="EB22">PRODUCT(1 + 預測IC!$C22:EB22) - 1</f>
        <v>-0.75212371584143056</v>
      </c>
      <c r="EC22" s="7" cm="1">
        <f t="array" ref="EC22">PRODUCT(1 + 預測IC!$C22:EC22) - 1</f>
        <v>-0.75917054406801721</v>
      </c>
      <c r="ED22" s="7" cm="1">
        <f t="array" ref="ED22">PRODUCT(1 + 預測IC!$C22:ED22) - 1</f>
        <v>-0.74052707683177954</v>
      </c>
      <c r="EE22" s="7" cm="1">
        <f t="array" ref="EE22">PRODUCT(1 + 預測IC!$C22:EE22) - 1</f>
        <v>-0.72816665357126276</v>
      </c>
      <c r="EF22" s="7" cm="1">
        <f t="array" ref="EF22">PRODUCT(1 + 預測IC!$C22:EF22) - 1</f>
        <v>-0.71870950447683501</v>
      </c>
    </row>
    <row r="23" spans="1:136" x14ac:dyDescent="0.3">
      <c r="A23" s="1">
        <v>2</v>
      </c>
      <c r="B23" s="1" t="s">
        <v>161</v>
      </c>
      <c r="C23" s="7" cm="1">
        <f t="array" ref="C23">PRODUCT(1 + 預測IC!$C23:C23) - 1</f>
        <v>-3.4987009286289172E-2</v>
      </c>
      <c r="D23" s="7" cm="1">
        <f t="array" ref="D23">PRODUCT(1 + 預測IC!$C23:D23) - 1</f>
        <v>0.21021567704895006</v>
      </c>
      <c r="E23" s="7" cm="1">
        <f t="array" ref="E23">PRODUCT(1 + 預測IC!$C23:E23) - 1</f>
        <v>0.30817195301270184</v>
      </c>
      <c r="F23" s="7" cm="1">
        <f t="array" ref="F23">PRODUCT(1 + 預測IC!$C23:F23) - 1</f>
        <v>0.49349401376049506</v>
      </c>
      <c r="G23" s="7" cm="1">
        <f t="array" ref="G23">PRODUCT(1 + 預測IC!$C23:G23) - 1</f>
        <v>0.57149050477382768</v>
      </c>
      <c r="H23" s="7" cm="1">
        <f t="array" ref="H23">PRODUCT(1 + 預測IC!$C23:H23) - 1</f>
        <v>0.2513491182934271</v>
      </c>
      <c r="I23" s="7" cm="1">
        <f t="array" ref="I23">PRODUCT(1 + 預測IC!$C23:I23) - 1</f>
        <v>6.5959207931066688E-2</v>
      </c>
      <c r="J23" s="7" cm="1">
        <f t="array" ref="J23">PRODUCT(1 + 預測IC!$C23:J23) - 1</f>
        <v>-5.6495527299647019E-2</v>
      </c>
      <c r="K23" s="7" cm="1">
        <f t="array" ref="K23">PRODUCT(1 + 預測IC!$C23:K23) - 1</f>
        <v>0.13644120837205898</v>
      </c>
      <c r="L23" s="7" cm="1">
        <f t="array" ref="L23">PRODUCT(1 + 預測IC!$C23:L23) - 1</f>
        <v>7.5023914089186183E-2</v>
      </c>
      <c r="M23" s="7" cm="1">
        <f t="array" ref="M23">PRODUCT(1 + 預測IC!$C23:M23) - 1</f>
        <v>-0.20281592659070447</v>
      </c>
      <c r="N23" s="7" cm="1">
        <f t="array" ref="N23">PRODUCT(1 + 預測IC!$C23:N23) - 1</f>
        <v>-0.32751085160895765</v>
      </c>
      <c r="O23" s="7" cm="1">
        <f t="array" ref="O23">PRODUCT(1 + 預測IC!$C23:O23) - 1</f>
        <v>-0.41015957111346368</v>
      </c>
      <c r="P23" s="7" cm="1">
        <f t="array" ref="P23">PRODUCT(1 + 預測IC!$C23:P23) - 1</f>
        <v>-0.40385800808396333</v>
      </c>
      <c r="Q23" s="7" cm="1">
        <f t="array" ref="Q23">PRODUCT(1 + 預測IC!$C23:Q23) - 1</f>
        <v>-0.43936900433352777</v>
      </c>
      <c r="R23" s="7" cm="1">
        <f t="array" ref="R23">PRODUCT(1 + 預測IC!$C23:R23) - 1</f>
        <v>-0.40414905627460307</v>
      </c>
      <c r="S23" s="7" cm="1">
        <f t="array" ref="S23">PRODUCT(1 + 預測IC!$C23:S23) - 1</f>
        <v>-0.44739154687583926</v>
      </c>
      <c r="T23" s="7" cm="1">
        <f t="array" ref="T23">PRODUCT(1 + 預測IC!$C23:T23) - 1</f>
        <v>-0.49418431738386592</v>
      </c>
      <c r="U23" s="7" cm="1">
        <f t="array" ref="U23">PRODUCT(1 + 預測IC!$C23:U23) - 1</f>
        <v>-0.44676034275164622</v>
      </c>
      <c r="V23" s="7" cm="1">
        <f t="array" ref="V23">PRODUCT(1 + 預測IC!$C23:V23) - 1</f>
        <v>-0.41170873171330757</v>
      </c>
      <c r="W23" s="7" cm="1">
        <f t="array" ref="W23">PRODUCT(1 + 預測IC!$C23:W23) - 1</f>
        <v>-0.70816007417049587</v>
      </c>
      <c r="X23" s="7" cm="1">
        <f t="array" ref="X23">PRODUCT(1 + 預測IC!$C23:X23) - 1</f>
        <v>-0.65138073088904613</v>
      </c>
      <c r="Y23" s="7" cm="1">
        <f t="array" ref="Y23">PRODUCT(1 + 預測IC!$C23:Y23) - 1</f>
        <v>-0.65402632004900785</v>
      </c>
      <c r="Z23" s="7" cm="1">
        <f t="array" ref="Z23">PRODUCT(1 + 預測IC!$C23:Z23) - 1</f>
        <v>-0.63982342012277149</v>
      </c>
      <c r="AA23" s="7" cm="1">
        <f t="array" ref="AA23">PRODUCT(1 + 預測IC!$C23:AA23) - 1</f>
        <v>-0.58520288243779572</v>
      </c>
      <c r="AB23" s="7" cm="1">
        <f t="array" ref="AB23">PRODUCT(1 + 預測IC!$C23:AB23) - 1</f>
        <v>-0.605009007281337</v>
      </c>
      <c r="AC23" s="7" cm="1">
        <f t="array" ref="AC23">PRODUCT(1 + 預測IC!$C23:AC23) - 1</f>
        <v>-0.5748528913862827</v>
      </c>
      <c r="AD23" s="7" cm="1">
        <f t="array" ref="AD23">PRODUCT(1 + 預測IC!$C23:AD23) - 1</f>
        <v>-0.60530569754618047</v>
      </c>
      <c r="AE23" s="7" cm="1">
        <f t="array" ref="AE23">PRODUCT(1 + 預測IC!$C23:AE23) - 1</f>
        <v>-0.69281464850358554</v>
      </c>
      <c r="AF23" s="7" cm="1">
        <f t="array" ref="AF23">PRODUCT(1 + 預測IC!$C23:AF23) - 1</f>
        <v>-0.79254523756696271</v>
      </c>
      <c r="AG23" s="7" cm="1">
        <f t="array" ref="AG23">PRODUCT(1 + 預測IC!$C23:AG23) - 1</f>
        <v>-0.82281162046719336</v>
      </c>
      <c r="AH23" s="7" cm="1">
        <f t="array" ref="AH23">PRODUCT(1 + 預測IC!$C23:AH23) - 1</f>
        <v>-0.82941711295578113</v>
      </c>
      <c r="AI23" s="7" cm="1">
        <f t="array" ref="AI23">PRODUCT(1 + 預測IC!$C23:AI23) - 1</f>
        <v>-0.84228762073791497</v>
      </c>
      <c r="AJ23" s="7" cm="1">
        <f t="array" ref="AJ23">PRODUCT(1 + 預測IC!$C23:AJ23) - 1</f>
        <v>-0.84600765206738793</v>
      </c>
      <c r="AK23" s="7" cm="1">
        <f t="array" ref="AK23">PRODUCT(1 + 預測IC!$C23:AK23) - 1</f>
        <v>-0.83196366939160782</v>
      </c>
      <c r="AL23" s="7" cm="1">
        <f t="array" ref="AL23">PRODUCT(1 + 預測IC!$C23:AL23) - 1</f>
        <v>-0.84058566580508765</v>
      </c>
      <c r="AM23" s="7" cm="1">
        <f t="array" ref="AM23">PRODUCT(1 + 預測IC!$C23:AM23) - 1</f>
        <v>-0.8438489638361979</v>
      </c>
      <c r="AN23" s="7" cm="1">
        <f t="array" ref="AN23">PRODUCT(1 + 預測IC!$C23:AN23) - 1</f>
        <v>-0.82391946973634866</v>
      </c>
      <c r="AO23" s="7" cm="1">
        <f t="array" ref="AO23">PRODUCT(1 + 預測IC!$C23:AO23) - 1</f>
        <v>-0.82297973636449095</v>
      </c>
      <c r="AP23" s="7" cm="1">
        <f t="array" ref="AP23">PRODUCT(1 + 預測IC!$C23:AP23) - 1</f>
        <v>-0.8235322341946687</v>
      </c>
      <c r="AQ23" s="7" cm="1">
        <f t="array" ref="AQ23">PRODUCT(1 + 預測IC!$C23:AQ23) - 1</f>
        <v>-0.83931286278588124</v>
      </c>
      <c r="AR23" s="7" cm="1">
        <f t="array" ref="AR23">PRODUCT(1 + 預測IC!$C23:AR23) - 1</f>
        <v>-0.81583066089473644</v>
      </c>
      <c r="AS23" s="7" cm="1">
        <f t="array" ref="AS23">PRODUCT(1 + 預測IC!$C23:AS23) - 1</f>
        <v>-0.83087059596283686</v>
      </c>
      <c r="AT23" s="7" cm="1">
        <f t="array" ref="AT23">PRODUCT(1 + 預測IC!$C23:AT23) - 1</f>
        <v>-0.83787724186379686</v>
      </c>
      <c r="AU23" s="7" cm="1">
        <f t="array" ref="AU23">PRODUCT(1 + 預測IC!$C23:AU23) - 1</f>
        <v>-0.83250359774796823</v>
      </c>
      <c r="AV23" s="7" cm="1">
        <f t="array" ref="AV23">PRODUCT(1 + 預測IC!$C23:AV23) - 1</f>
        <v>-0.83713302983789317</v>
      </c>
      <c r="AW23" s="7" cm="1">
        <f t="array" ref="AW23">PRODUCT(1 + 預測IC!$C23:AW23) - 1</f>
        <v>-0.84560649501017093</v>
      </c>
      <c r="AX23" s="7" cm="1">
        <f t="array" ref="AX23">PRODUCT(1 + 預測IC!$C23:AX23) - 1</f>
        <v>-0.84331949814040252</v>
      </c>
      <c r="AY23" s="7" cm="1">
        <f t="array" ref="AY23">PRODUCT(1 + 預測IC!$C23:AY23) - 1</f>
        <v>-0.85242883986305062</v>
      </c>
      <c r="AZ23" s="7" cm="1">
        <f t="array" ref="AZ23">PRODUCT(1 + 預測IC!$C23:AZ23) - 1</f>
        <v>-0.8618370351458523</v>
      </c>
      <c r="BA23" s="7" cm="1">
        <f t="array" ref="BA23">PRODUCT(1 + 預測IC!$C23:BA23) - 1</f>
        <v>-0.86050420740868971</v>
      </c>
      <c r="BB23" s="7" cm="1">
        <f t="array" ref="BB23">PRODUCT(1 + 預測IC!$C23:BB23) - 1</f>
        <v>-0.78143429189592295</v>
      </c>
      <c r="BC23" s="7" cm="1">
        <f t="array" ref="BC23">PRODUCT(1 + 預測IC!$C23:BC23) - 1</f>
        <v>-0.72616576009626399</v>
      </c>
      <c r="BD23" s="7" cm="1">
        <f t="array" ref="BD23">PRODUCT(1 + 預測IC!$C23:BD23) - 1</f>
        <v>-0.70019781778335743</v>
      </c>
      <c r="BE23" s="7" cm="1">
        <f t="array" ref="BE23">PRODUCT(1 + 預測IC!$C23:BE23) - 1</f>
        <v>-0.72614041857383238</v>
      </c>
      <c r="BF23" s="7" cm="1">
        <f t="array" ref="BF23">PRODUCT(1 + 預測IC!$C23:BF23) - 1</f>
        <v>-0.74257553819425759</v>
      </c>
      <c r="BG23" s="7" cm="1">
        <f t="array" ref="BG23">PRODUCT(1 + 預測IC!$C23:BG23) - 1</f>
        <v>-0.75413612960783838</v>
      </c>
      <c r="BH23" s="7" cm="1">
        <f t="array" ref="BH23">PRODUCT(1 + 預測IC!$C23:BH23) - 1</f>
        <v>-0.74095859719989954</v>
      </c>
      <c r="BI23" s="7" cm="1">
        <f t="array" ref="BI23">PRODUCT(1 + 預測IC!$C23:BI23) - 1</f>
        <v>-0.69145265607997408</v>
      </c>
      <c r="BJ23" s="7" cm="1">
        <f t="array" ref="BJ23">PRODUCT(1 + 預測IC!$C23:BJ23) - 1</f>
        <v>-0.65936270939517816</v>
      </c>
      <c r="BK23" s="7" cm="1">
        <f t="array" ref="BK23">PRODUCT(1 + 預測IC!$C23:BK23) - 1</f>
        <v>-0.6430634455485873</v>
      </c>
      <c r="BL23" s="7" cm="1">
        <f t="array" ref="BL23">PRODUCT(1 + 預測IC!$C23:BL23) - 1</f>
        <v>-0.66213535803232881</v>
      </c>
      <c r="BM23" s="7" cm="1">
        <f t="array" ref="BM23">PRODUCT(1 + 預測IC!$C23:BM23) - 1</f>
        <v>-0.72435239100064042</v>
      </c>
      <c r="BN23" s="7" cm="1">
        <f t="array" ref="BN23">PRODUCT(1 + 預測IC!$C23:BN23) - 1</f>
        <v>-0.73495193390420677</v>
      </c>
      <c r="BO23" s="7" cm="1">
        <f t="array" ref="BO23">PRODUCT(1 + 預測IC!$C23:BO23) - 1</f>
        <v>-0.7185678604839405</v>
      </c>
      <c r="BP23" s="7" cm="1">
        <f t="array" ref="BP23">PRODUCT(1 + 預測IC!$C23:BP23) - 1</f>
        <v>-0.69091253751132109</v>
      </c>
      <c r="BQ23" s="7" cm="1">
        <f t="array" ref="BQ23">PRODUCT(1 + 預測IC!$C23:BQ23) - 1</f>
        <v>-0.66864343447906016</v>
      </c>
      <c r="BR23" s="7" cm="1">
        <f t="array" ref="BR23">PRODUCT(1 + 預測IC!$C23:BR23) - 1</f>
        <v>-0.63457249413893213</v>
      </c>
      <c r="BS23" s="7" cm="1">
        <f t="array" ref="BS23">PRODUCT(1 + 預測IC!$C23:BS23) - 1</f>
        <v>-0.6613493366571932</v>
      </c>
      <c r="BT23" s="7" cm="1">
        <f t="array" ref="BT23">PRODUCT(1 + 預測IC!$C23:BT23) - 1</f>
        <v>-0.73523839926216339</v>
      </c>
      <c r="BU23" s="7" cm="1">
        <f t="array" ref="BU23">PRODUCT(1 + 預測IC!$C23:BU23) - 1</f>
        <v>-0.68078018506744931</v>
      </c>
      <c r="BV23" s="7" cm="1">
        <f t="array" ref="BV23">PRODUCT(1 + 預測IC!$C23:BV23) - 1</f>
        <v>-0.64455908889466351</v>
      </c>
      <c r="BW23" s="7" cm="1">
        <f t="array" ref="BW23">PRODUCT(1 + 預測IC!$C23:BW23) - 1</f>
        <v>-0.71641229841624476</v>
      </c>
      <c r="BX23" s="7" cm="1">
        <f t="array" ref="BX23">PRODUCT(1 + 預測IC!$C23:BX23) - 1</f>
        <v>-0.71874143816252867</v>
      </c>
      <c r="BY23" s="7" cm="1">
        <f t="array" ref="BY23">PRODUCT(1 + 預測IC!$C23:BY23) - 1</f>
        <v>-0.70750812621104697</v>
      </c>
      <c r="BZ23" s="7" cm="1">
        <f t="array" ref="BZ23">PRODUCT(1 + 預測IC!$C23:BZ23) - 1</f>
        <v>-0.70526478302584061</v>
      </c>
      <c r="CA23" s="7" cm="1">
        <f t="array" ref="CA23">PRODUCT(1 + 預測IC!$C23:CA23) - 1</f>
        <v>-0.64443947391541667</v>
      </c>
      <c r="CB23" s="7" cm="1">
        <f t="array" ref="CB23">PRODUCT(1 + 預測IC!$C23:CB23) - 1</f>
        <v>-0.53202305377401637</v>
      </c>
      <c r="CC23" s="7" cm="1">
        <f t="array" ref="CC23">PRODUCT(1 + 預測IC!$C23:CC23) - 1</f>
        <v>-0.57158798438855729</v>
      </c>
      <c r="CD23" s="7" cm="1">
        <f t="array" ref="CD23">PRODUCT(1 + 預測IC!$C23:CD23) - 1</f>
        <v>-0.5110782384014293</v>
      </c>
      <c r="CE23" s="7" cm="1">
        <f t="array" ref="CE23">PRODUCT(1 + 預測IC!$C23:CE23) - 1</f>
        <v>-0.4819373759916028</v>
      </c>
      <c r="CF23" s="7" cm="1">
        <f t="array" ref="CF23">PRODUCT(1 + 預測IC!$C23:CF23) - 1</f>
        <v>-0.47356505118252679</v>
      </c>
      <c r="CG23" s="7" cm="1">
        <f t="array" ref="CG23">PRODUCT(1 + 預測IC!$C23:CG23) - 1</f>
        <v>-0.31937018151107943</v>
      </c>
      <c r="CH23" s="7" cm="1">
        <f t="array" ref="CH23">PRODUCT(1 + 預測IC!$C23:CH23) - 1</f>
        <v>-0.19672310518933955</v>
      </c>
      <c r="CI23" s="7" cm="1">
        <f t="array" ref="CI23">PRODUCT(1 + 預測IC!$C23:CI23) - 1</f>
        <v>-0.24421482244811932</v>
      </c>
      <c r="CJ23" s="7" cm="1">
        <f t="array" ref="CJ23">PRODUCT(1 + 預測IC!$C23:CJ23) - 1</f>
        <v>-0.22919331425512335</v>
      </c>
      <c r="CK23" s="7" cm="1">
        <f t="array" ref="CK23">PRODUCT(1 + 預測IC!$C23:CK23) - 1</f>
        <v>-0.1551056921051055</v>
      </c>
      <c r="CL23" s="7" cm="1">
        <f t="array" ref="CL23">PRODUCT(1 + 預測IC!$C23:CL23) - 1</f>
        <v>-0.50038105556637069</v>
      </c>
      <c r="CM23" s="7" cm="1">
        <f t="array" ref="CM23">PRODUCT(1 + 預測IC!$C23:CM23) - 1</f>
        <v>-0.49689620892577013</v>
      </c>
      <c r="CN23" s="7" cm="1">
        <f t="array" ref="CN23">PRODUCT(1 + 預測IC!$C23:CN23) - 1</f>
        <v>-0.6363084136386945</v>
      </c>
      <c r="CO23" s="7" cm="1">
        <f t="array" ref="CO23">PRODUCT(1 + 預測IC!$C23:CO23) - 1</f>
        <v>-0.53867505198854604</v>
      </c>
      <c r="CP23" s="7" cm="1">
        <f t="array" ref="CP23">PRODUCT(1 + 預測IC!$C23:CP23) - 1</f>
        <v>-0.68231353064091249</v>
      </c>
      <c r="CQ23" s="7" cm="1">
        <f t="array" ref="CQ23">PRODUCT(1 + 預測IC!$C23:CQ23) - 1</f>
        <v>-0.67939597927527318</v>
      </c>
      <c r="CR23" s="7" cm="1">
        <f t="array" ref="CR23">PRODUCT(1 + 預測IC!$C23:CR23) - 1</f>
        <v>-0.6831142818118876</v>
      </c>
      <c r="CS23" s="7" cm="1">
        <f t="array" ref="CS23">PRODUCT(1 + 預測IC!$C23:CS23) - 1</f>
        <v>-0.66124429645187821</v>
      </c>
      <c r="CT23" s="7" cm="1">
        <f t="array" ref="CT23">PRODUCT(1 + 預測IC!$C23:CT23) - 1</f>
        <v>-0.67671274289506944</v>
      </c>
      <c r="CU23" s="7" cm="1">
        <f t="array" ref="CU23">PRODUCT(1 + 預測IC!$C23:CU23) - 1</f>
        <v>-0.66990541382295343</v>
      </c>
      <c r="CV23" s="7" cm="1">
        <f t="array" ref="CV23">PRODUCT(1 + 預測IC!$C23:CV23) - 1</f>
        <v>-0.66256241436913466</v>
      </c>
      <c r="CW23" s="7" cm="1">
        <f t="array" ref="CW23">PRODUCT(1 + 預測IC!$C23:CW23) - 1</f>
        <v>-0.69661031615948166</v>
      </c>
      <c r="CX23" s="7" cm="1">
        <f t="array" ref="CX23">PRODUCT(1 + 預測IC!$C23:CX23) - 1</f>
        <v>-0.71003654736266819</v>
      </c>
      <c r="CY23" s="7" cm="1">
        <f t="array" ref="CY23">PRODUCT(1 + 預測IC!$C23:CY23) - 1</f>
        <v>-0.71642923553859295</v>
      </c>
      <c r="CZ23" s="7" cm="1">
        <f t="array" ref="CZ23">PRODUCT(1 + 預測IC!$C23:CZ23) - 1</f>
        <v>-0.76803877264377607</v>
      </c>
      <c r="DA23" s="7" cm="1">
        <f t="array" ref="DA23">PRODUCT(1 + 預測IC!$C23:DA23) - 1</f>
        <v>-0.76085211829869615</v>
      </c>
      <c r="DB23" s="7" cm="1">
        <f t="array" ref="DB23">PRODUCT(1 + 預測IC!$C23:DB23) - 1</f>
        <v>-0.75703647633174187</v>
      </c>
      <c r="DC23" s="7" cm="1">
        <f t="array" ref="DC23">PRODUCT(1 + 預測IC!$C23:DC23) - 1</f>
        <v>-0.7954122974696276</v>
      </c>
      <c r="DD23" s="7" cm="1">
        <f t="array" ref="DD23">PRODUCT(1 + 預測IC!$C23:DD23) - 1</f>
        <v>-0.83907357273946237</v>
      </c>
      <c r="DE23" s="7" cm="1">
        <f t="array" ref="DE23">PRODUCT(1 + 預測IC!$C23:DE23) - 1</f>
        <v>-0.82940415587808625</v>
      </c>
      <c r="DF23" s="7" cm="1">
        <f t="array" ref="DF23">PRODUCT(1 + 預測IC!$C23:DF23) - 1</f>
        <v>-0.89914287042392704</v>
      </c>
      <c r="DG23" s="7" cm="1">
        <f t="array" ref="DG23">PRODUCT(1 + 預測IC!$C23:DG23) - 1</f>
        <v>-0.90300267397045331</v>
      </c>
      <c r="DH23" s="7" cm="1">
        <f t="array" ref="DH23">PRODUCT(1 + 預測IC!$C23:DH23) - 1</f>
        <v>-0.90837763018548046</v>
      </c>
      <c r="DI23" s="7" cm="1">
        <f t="array" ref="DI23">PRODUCT(1 + 預測IC!$C23:DI23) - 1</f>
        <v>-0.9253197712095913</v>
      </c>
      <c r="DJ23" s="7" cm="1">
        <f t="array" ref="DJ23">PRODUCT(1 + 預測IC!$C23:DJ23) - 1</f>
        <v>-0.92279374411311244</v>
      </c>
      <c r="DK23" s="7" cm="1">
        <f t="array" ref="DK23">PRODUCT(1 + 預測IC!$C23:DK23) - 1</f>
        <v>-0.94424420652463159</v>
      </c>
      <c r="DL23" s="7" cm="1">
        <f t="array" ref="DL23">PRODUCT(1 + 預測IC!$C23:DL23) - 1</f>
        <v>-0.94278102663364016</v>
      </c>
      <c r="DM23" s="7" cm="1">
        <f t="array" ref="DM23">PRODUCT(1 + 預測IC!$C23:DM23) - 1</f>
        <v>-0.94166541086274314</v>
      </c>
      <c r="DN23" s="7" cm="1">
        <f t="array" ref="DN23">PRODUCT(1 + 預測IC!$C23:DN23) - 1</f>
        <v>-0.94856083664633406</v>
      </c>
      <c r="DO23" s="7" cm="1">
        <f t="array" ref="DO23">PRODUCT(1 + 預測IC!$C23:DO23) - 1</f>
        <v>-0.94217885979189253</v>
      </c>
      <c r="DP23" s="7" cm="1">
        <f t="array" ref="DP23">PRODUCT(1 + 預測IC!$C23:DP23) - 1</f>
        <v>-0.93995827383553598</v>
      </c>
      <c r="DQ23" s="7" cm="1">
        <f t="array" ref="DQ23">PRODUCT(1 + 預測IC!$C23:DQ23) - 1</f>
        <v>-0.93268529698461311</v>
      </c>
      <c r="DR23" s="7" cm="1">
        <f t="array" ref="DR23">PRODUCT(1 + 預測IC!$C23:DR23) - 1</f>
        <v>-0.92579053499725417</v>
      </c>
      <c r="DS23" s="7" cm="1">
        <f t="array" ref="DS23">PRODUCT(1 + 預測IC!$C23:DS23) - 1</f>
        <v>-0.91713949302348607</v>
      </c>
      <c r="DT23" s="7" cm="1">
        <f t="array" ref="DT23">PRODUCT(1 + 預測IC!$C23:DT23) - 1</f>
        <v>-0.90686850038706213</v>
      </c>
      <c r="DU23" s="7" cm="1">
        <f t="array" ref="DU23">PRODUCT(1 + 預測IC!$C23:DU23) - 1</f>
        <v>-0.91006171736736663</v>
      </c>
      <c r="DV23" s="7" cm="1">
        <f t="array" ref="DV23">PRODUCT(1 + 預測IC!$C23:DV23) - 1</f>
        <v>-0.9349091113606719</v>
      </c>
      <c r="DW23" s="7" cm="1">
        <f t="array" ref="DW23">PRODUCT(1 + 預測IC!$C23:DW23) - 1</f>
        <v>-0.92571644020089328</v>
      </c>
      <c r="DX23" s="7" cm="1">
        <f t="array" ref="DX23">PRODUCT(1 + 預測IC!$C23:DX23) - 1</f>
        <v>-0.91301374444930816</v>
      </c>
      <c r="DY23" s="7" cm="1">
        <f t="array" ref="DY23">PRODUCT(1 + 預測IC!$C23:DY23) - 1</f>
        <v>-0.88968212315664497</v>
      </c>
      <c r="DZ23" s="7" cm="1">
        <f t="array" ref="DZ23">PRODUCT(1 + 預測IC!$C23:DZ23) - 1</f>
        <v>-0.90394986683805922</v>
      </c>
      <c r="EA23" s="7" cm="1">
        <f t="array" ref="EA23">PRODUCT(1 + 預測IC!$C23:EA23) - 1</f>
        <v>-0.90118758221096051</v>
      </c>
      <c r="EB23" s="7" cm="1">
        <f t="array" ref="EB23">PRODUCT(1 + 預測IC!$C23:EB23) - 1</f>
        <v>-0.88752918683774995</v>
      </c>
      <c r="EC23" s="7" cm="1">
        <f t="array" ref="EC23">PRODUCT(1 + 預測IC!$C23:EC23) - 1</f>
        <v>-0.90138614695758212</v>
      </c>
      <c r="ED23" s="7" cm="1">
        <f t="array" ref="ED23">PRODUCT(1 + 預測IC!$C23:ED23) - 1</f>
        <v>-0.89237028623513692</v>
      </c>
      <c r="EE23" s="7" cm="1">
        <f t="array" ref="EE23">PRODUCT(1 + 預測IC!$C23:EE23) - 1</f>
        <v>-0.88492101030780024</v>
      </c>
      <c r="EF23" s="7" cm="1">
        <f t="array" ref="EF23">PRODUCT(1 + 預測IC!$C23:EF23) - 1</f>
        <v>-0.87942227396228079</v>
      </c>
    </row>
    <row r="24" spans="1:136" x14ac:dyDescent="0.3">
      <c r="A24" s="1">
        <v>1</v>
      </c>
      <c r="B24" s="1" t="s">
        <v>162</v>
      </c>
      <c r="C24" s="7" cm="1">
        <f t="array" ref="C24">PRODUCT(1 + 預測IC!$C24:C24) - 1</f>
        <v>0.16299313693108508</v>
      </c>
      <c r="D24" s="7" cm="1">
        <f t="array" ref="D24">PRODUCT(1 + 預測IC!$C24:D24) - 1</f>
        <v>0.28000177514012226</v>
      </c>
      <c r="E24" s="7" cm="1">
        <f t="array" ref="E24">PRODUCT(1 + 預測IC!$C24:E24) - 1</f>
        <v>0.18860922577783135</v>
      </c>
      <c r="F24" s="7" cm="1">
        <f t="array" ref="F24">PRODUCT(1 + 預測IC!$C24:F24) - 1</f>
        <v>0.45861315863378049</v>
      </c>
      <c r="G24" s="7" cm="1">
        <f t="array" ref="G24">PRODUCT(1 + 預測IC!$C24:G24) - 1</f>
        <v>0.12931661830853969</v>
      </c>
      <c r="H24" s="7" cm="1">
        <f t="array" ref="H24">PRODUCT(1 + 預測IC!$C24:H24) - 1</f>
        <v>-0.1492708036920275</v>
      </c>
      <c r="I24" s="7" cm="1">
        <f t="array" ref="I24">PRODUCT(1 + 預測IC!$C24:I24) - 1</f>
        <v>-0.14747412045546116</v>
      </c>
      <c r="J24" s="7" cm="1">
        <f t="array" ref="J24">PRODUCT(1 + 預測IC!$C24:J24) - 1</f>
        <v>-0.24590914405754427</v>
      </c>
      <c r="K24" s="7" cm="1">
        <f t="array" ref="K24">PRODUCT(1 + 預測IC!$C24:K24) - 1</f>
        <v>-0.22968466938701215</v>
      </c>
      <c r="L24" s="7" cm="1">
        <f t="array" ref="L24">PRODUCT(1 + 預測IC!$C24:L24) - 1</f>
        <v>-0.30334472521689615</v>
      </c>
      <c r="M24" s="7" cm="1">
        <f t="array" ref="M24">PRODUCT(1 + 預測IC!$C24:M24) - 1</f>
        <v>-0.40562719210140685</v>
      </c>
      <c r="N24" s="7" cm="1">
        <f t="array" ref="N24">PRODUCT(1 + 預測IC!$C24:N24) - 1</f>
        <v>-0.49129441379834682</v>
      </c>
      <c r="O24" s="7" cm="1">
        <f t="array" ref="O24">PRODUCT(1 + 預測IC!$C24:O24) - 1</f>
        <v>-0.61555992748931998</v>
      </c>
      <c r="P24" s="7" cm="1">
        <f t="array" ref="P24">PRODUCT(1 + 預測IC!$C24:P24) - 1</f>
        <v>-0.5856749072308608</v>
      </c>
      <c r="Q24" s="7" cm="1">
        <f t="array" ref="Q24">PRODUCT(1 + 預測IC!$C24:Q24) - 1</f>
        <v>-0.61093422062079938</v>
      </c>
      <c r="R24" s="7" cm="1">
        <f t="array" ref="R24">PRODUCT(1 + 預測IC!$C24:R24) - 1</f>
        <v>-0.6217591292801814</v>
      </c>
      <c r="S24" s="7" cm="1">
        <f t="array" ref="S24">PRODUCT(1 + 預測IC!$C24:S24) - 1</f>
        <v>-0.6259403779343844</v>
      </c>
      <c r="T24" s="7" cm="1">
        <f t="array" ref="T24">PRODUCT(1 + 預測IC!$C24:T24) - 1</f>
        <v>-0.7336009478710932</v>
      </c>
      <c r="U24" s="7" cm="1">
        <f t="array" ref="U24">PRODUCT(1 + 預測IC!$C24:U24) - 1</f>
        <v>-0.69403571383439955</v>
      </c>
      <c r="V24" s="7" cm="1">
        <f t="array" ref="V24">PRODUCT(1 + 預測IC!$C24:V24) - 1</f>
        <v>-0.65837853902061516</v>
      </c>
      <c r="W24" s="7" cm="1">
        <f t="array" ref="W24">PRODUCT(1 + 預測IC!$C24:W24) - 1</f>
        <v>-0.87801843037551164</v>
      </c>
      <c r="X24" s="7" cm="1">
        <f t="array" ref="X24">PRODUCT(1 + 預測IC!$C24:X24) - 1</f>
        <v>-0.87812807673761295</v>
      </c>
      <c r="Y24" s="7" cm="1">
        <f t="array" ref="Y24">PRODUCT(1 + 預測IC!$C24:Y24) - 1</f>
        <v>-0.88171096985896269</v>
      </c>
      <c r="Z24" s="7" cm="1">
        <f t="array" ref="Z24">PRODUCT(1 + 預測IC!$C24:Z24) - 1</f>
        <v>-0.88459657737127828</v>
      </c>
      <c r="AA24" s="7" cm="1">
        <f t="array" ref="AA24">PRODUCT(1 + 預測IC!$C24:AA24) - 1</f>
        <v>-0.87370715855674819</v>
      </c>
      <c r="AB24" s="7" cm="1">
        <f t="array" ref="AB24">PRODUCT(1 + 預測IC!$C24:AB24) - 1</f>
        <v>-0.89697679426554977</v>
      </c>
      <c r="AC24" s="7" cm="1">
        <f t="array" ref="AC24">PRODUCT(1 + 預測IC!$C24:AC24) - 1</f>
        <v>-0.88405970550180379</v>
      </c>
      <c r="AD24" s="7" cm="1">
        <f t="array" ref="AD24">PRODUCT(1 + 預測IC!$C24:AD24) - 1</f>
        <v>-0.89578999949357141</v>
      </c>
      <c r="AE24" s="7" cm="1">
        <f t="array" ref="AE24">PRODUCT(1 + 預測IC!$C24:AE24) - 1</f>
        <v>-0.91405476279424769</v>
      </c>
      <c r="AF24" s="7" cm="1">
        <f t="array" ref="AF24">PRODUCT(1 + 預測IC!$C24:AF24) - 1</f>
        <v>-0.95663112338691969</v>
      </c>
      <c r="AG24" s="7" cm="1">
        <f t="array" ref="AG24">PRODUCT(1 + 預測IC!$C24:AG24) - 1</f>
        <v>-0.9731136988139788</v>
      </c>
      <c r="AH24" s="7" cm="1">
        <f t="array" ref="AH24">PRODUCT(1 + 預測IC!$C24:AH24) - 1</f>
        <v>-0.97126892753614236</v>
      </c>
      <c r="AI24" s="7" cm="1">
        <f t="array" ref="AI24">PRODUCT(1 + 預測IC!$C24:AI24) - 1</f>
        <v>-0.97563351287245015</v>
      </c>
      <c r="AJ24" s="7" cm="1">
        <f t="array" ref="AJ24">PRODUCT(1 + 預測IC!$C24:AJ24) - 1</f>
        <v>-0.97771526861712688</v>
      </c>
      <c r="AK24" s="7" cm="1">
        <f t="array" ref="AK24">PRODUCT(1 + 預測IC!$C24:AK24) - 1</f>
        <v>-0.97519310135424886</v>
      </c>
      <c r="AL24" s="7" cm="1">
        <f t="array" ref="AL24">PRODUCT(1 + 預測IC!$C24:AL24) - 1</f>
        <v>-0.97785871241665279</v>
      </c>
      <c r="AM24" s="7" cm="1">
        <f t="array" ref="AM24">PRODUCT(1 + 預測IC!$C24:AM24) - 1</f>
        <v>-0.97752733383228074</v>
      </c>
      <c r="AN24" s="7" cm="1">
        <f t="array" ref="AN24">PRODUCT(1 + 預測IC!$C24:AN24) - 1</f>
        <v>-0.97386559846274845</v>
      </c>
      <c r="AO24" s="7" cm="1">
        <f t="array" ref="AO24">PRODUCT(1 + 預測IC!$C24:AO24) - 1</f>
        <v>-0.97559282398292912</v>
      </c>
      <c r="AP24" s="7" cm="1">
        <f t="array" ref="AP24">PRODUCT(1 + 預測IC!$C24:AP24) - 1</f>
        <v>-0.97503507814069468</v>
      </c>
      <c r="AQ24" s="7" cm="1">
        <f t="array" ref="AQ24">PRODUCT(1 + 預測IC!$C24:AQ24) - 1</f>
        <v>-0.97621035108887422</v>
      </c>
      <c r="AR24" s="7" cm="1">
        <f t="array" ref="AR24">PRODUCT(1 + 預測IC!$C24:AR24) - 1</f>
        <v>-0.97214628433377859</v>
      </c>
      <c r="AS24" s="7" cm="1">
        <f t="array" ref="AS24">PRODUCT(1 + 預測IC!$C24:AS24) - 1</f>
        <v>-0.9722378331940621</v>
      </c>
      <c r="AT24" s="7" cm="1">
        <f t="array" ref="AT24">PRODUCT(1 + 預測IC!$C24:AT24) - 1</f>
        <v>-0.97139221959509492</v>
      </c>
      <c r="AU24" s="7" cm="1">
        <f t="array" ref="AU24">PRODUCT(1 + 預測IC!$C24:AU24) - 1</f>
        <v>-0.97013075036750651</v>
      </c>
      <c r="AV24" s="7" cm="1">
        <f t="array" ref="AV24">PRODUCT(1 + 預測IC!$C24:AV24) - 1</f>
        <v>-0.97273391378333607</v>
      </c>
      <c r="AW24" s="7" cm="1">
        <f t="array" ref="AW24">PRODUCT(1 + 預測IC!$C24:AW24) - 1</f>
        <v>-0.97259792304648685</v>
      </c>
      <c r="AX24" s="7" cm="1">
        <f t="array" ref="AX24">PRODUCT(1 + 預測IC!$C24:AX24) - 1</f>
        <v>-0.97565301724031506</v>
      </c>
      <c r="AY24" s="7" cm="1">
        <f t="array" ref="AY24">PRODUCT(1 + 預測IC!$C24:AY24) - 1</f>
        <v>-0.98216427070552004</v>
      </c>
      <c r="AZ24" s="7" cm="1">
        <f t="array" ref="AZ24">PRODUCT(1 + 預測IC!$C24:AZ24) - 1</f>
        <v>-0.98148888383162225</v>
      </c>
      <c r="BA24" s="7" cm="1">
        <f t="array" ref="BA24">PRODUCT(1 + 預測IC!$C24:BA24) - 1</f>
        <v>-0.98248468436648773</v>
      </c>
      <c r="BB24" s="7" cm="1">
        <f t="array" ref="BB24">PRODUCT(1 + 預測IC!$C24:BB24) - 1</f>
        <v>-0.97038551538713236</v>
      </c>
      <c r="BC24" s="7" cm="1">
        <f t="array" ref="BC24">PRODUCT(1 + 預測IC!$C24:BC24) - 1</f>
        <v>-0.97051483798013394</v>
      </c>
      <c r="BD24" s="7" cm="1">
        <f t="array" ref="BD24">PRODUCT(1 + 預測IC!$C24:BD24) - 1</f>
        <v>-0.9650425328705402</v>
      </c>
      <c r="BE24" s="7" cm="1">
        <f t="array" ref="BE24">PRODUCT(1 + 預測IC!$C24:BE24) - 1</f>
        <v>-0.96868269317474676</v>
      </c>
      <c r="BF24" s="7" cm="1">
        <f t="array" ref="BF24">PRODUCT(1 + 預測IC!$C24:BF24) - 1</f>
        <v>-0.97182168024579463</v>
      </c>
      <c r="BG24" s="7" cm="1">
        <f t="array" ref="BG24">PRODUCT(1 + 預測IC!$C24:BG24) - 1</f>
        <v>-0.97679863471028472</v>
      </c>
      <c r="BH24" s="7" cm="1">
        <f t="array" ref="BH24">PRODUCT(1 + 預測IC!$C24:BH24) - 1</f>
        <v>-0.97657661038163701</v>
      </c>
      <c r="BI24" s="7" cm="1">
        <f t="array" ref="BI24">PRODUCT(1 + 預測IC!$C24:BI24) - 1</f>
        <v>-0.97133845870015212</v>
      </c>
      <c r="BJ24" s="7" cm="1">
        <f t="array" ref="BJ24">PRODUCT(1 + 預測IC!$C24:BJ24) - 1</f>
        <v>-0.97124249080985847</v>
      </c>
      <c r="BK24" s="7" cm="1">
        <f t="array" ref="BK24">PRODUCT(1 + 預測IC!$C24:BK24) - 1</f>
        <v>-0.97024093442621651</v>
      </c>
      <c r="BL24" s="7" cm="1">
        <f t="array" ref="BL24">PRODUCT(1 + 預測IC!$C24:BL24) - 1</f>
        <v>-0.97116044823255443</v>
      </c>
      <c r="BM24" s="7" cm="1">
        <f t="array" ref="BM24">PRODUCT(1 + 預測IC!$C24:BM24) - 1</f>
        <v>-0.98203054703839276</v>
      </c>
      <c r="BN24" s="7" cm="1">
        <f t="array" ref="BN24">PRODUCT(1 + 預測IC!$C24:BN24) - 1</f>
        <v>-0.98398765874654626</v>
      </c>
      <c r="BO24" s="7" cm="1">
        <f t="array" ref="BO24">PRODUCT(1 + 預測IC!$C24:BO24) - 1</f>
        <v>-0.98407771890389373</v>
      </c>
      <c r="BP24" s="7" cm="1">
        <f t="array" ref="BP24">PRODUCT(1 + 預測IC!$C24:BP24) - 1</f>
        <v>-0.9821136867244159</v>
      </c>
      <c r="BQ24" s="7" cm="1">
        <f t="array" ref="BQ24">PRODUCT(1 + 預測IC!$C24:BQ24) - 1</f>
        <v>-0.98326144488893774</v>
      </c>
      <c r="BR24" s="7" cm="1">
        <f t="array" ref="BR24">PRODUCT(1 + 預測IC!$C24:BR24) - 1</f>
        <v>-0.98160565213367534</v>
      </c>
      <c r="BS24" s="7" cm="1">
        <f t="array" ref="BS24">PRODUCT(1 + 預測IC!$C24:BS24) - 1</f>
        <v>-0.98162928367399438</v>
      </c>
      <c r="BT24" s="7" cm="1">
        <f t="array" ref="BT24">PRODUCT(1 + 預測IC!$C24:BT24) - 1</f>
        <v>-0.98671281022151747</v>
      </c>
      <c r="BU24" s="7" cm="1">
        <f t="array" ref="BU24">PRODUCT(1 + 預測IC!$C24:BU24) - 1</f>
        <v>-0.98367899093649891</v>
      </c>
      <c r="BV24" s="7" cm="1">
        <f t="array" ref="BV24">PRODUCT(1 + 預測IC!$C24:BV24) - 1</f>
        <v>-0.98192075386419619</v>
      </c>
      <c r="BW24" s="7" cm="1">
        <f t="array" ref="BW24">PRODUCT(1 + 預測IC!$C24:BW24) - 1</f>
        <v>-0.98303870002446903</v>
      </c>
      <c r="BX24" s="7" cm="1">
        <f t="array" ref="BX24">PRODUCT(1 + 預測IC!$C24:BX24) - 1</f>
        <v>-0.98529387541413738</v>
      </c>
      <c r="BY24" s="7" cm="1">
        <f t="array" ref="BY24">PRODUCT(1 + 預測IC!$C24:BY24) - 1</f>
        <v>-0.98956360566895474</v>
      </c>
      <c r="BZ24" s="7" cm="1">
        <f t="array" ref="BZ24">PRODUCT(1 + 預測IC!$C24:BZ24) - 1</f>
        <v>-0.98686169728704876</v>
      </c>
      <c r="CA24" s="7" cm="1">
        <f t="array" ref="CA24">PRODUCT(1 + 預測IC!$C24:CA24) - 1</f>
        <v>-0.98554753966588982</v>
      </c>
      <c r="CB24" s="7" cm="1">
        <f t="array" ref="CB24">PRODUCT(1 + 預測IC!$C24:CB24) - 1</f>
        <v>-0.97630232776373271</v>
      </c>
      <c r="CC24" s="7" cm="1">
        <f t="array" ref="CC24">PRODUCT(1 + 預測IC!$C24:CC24) - 1</f>
        <v>-0.98062643917029924</v>
      </c>
      <c r="CD24" s="7" cm="1">
        <f t="array" ref="CD24">PRODUCT(1 + 預測IC!$C24:CD24) - 1</f>
        <v>-0.98004613271479246</v>
      </c>
      <c r="CE24" s="7" cm="1">
        <f t="array" ref="CE24">PRODUCT(1 + 預測IC!$C24:CE24) - 1</f>
        <v>-0.97674247319208163</v>
      </c>
      <c r="CF24" s="7" cm="1">
        <f t="array" ref="CF24">PRODUCT(1 + 預測IC!$C24:CF24) - 1</f>
        <v>-0.97776498184586091</v>
      </c>
      <c r="CG24" s="7" cm="1">
        <f t="array" ref="CG24">PRODUCT(1 + 預測IC!$C24:CG24) - 1</f>
        <v>-0.9724891048801757</v>
      </c>
      <c r="CH24" s="7" cm="1">
        <f t="array" ref="CH24">PRODUCT(1 + 預測IC!$C24:CH24) - 1</f>
        <v>-0.96274261932340666</v>
      </c>
      <c r="CI24" s="7" cm="1">
        <f t="array" ref="CI24">PRODUCT(1 + 預測IC!$C24:CI24) - 1</f>
        <v>-0.96492248001012404</v>
      </c>
      <c r="CJ24" s="7" cm="1">
        <f t="array" ref="CJ24">PRODUCT(1 + 預測IC!$C24:CJ24) - 1</f>
        <v>-0.96538232824698067</v>
      </c>
      <c r="CK24" s="7" cm="1">
        <f t="array" ref="CK24">PRODUCT(1 + 預測IC!$C24:CK24) - 1</f>
        <v>-0.96214453466219607</v>
      </c>
      <c r="CL24" s="7" cm="1">
        <f t="array" ref="CL24">PRODUCT(1 + 預測IC!$C24:CL24) - 1</f>
        <v>-0.95677832055326295</v>
      </c>
      <c r="CM24" s="7" cm="1">
        <f t="array" ref="CM24">PRODUCT(1 + 預測IC!$C24:CM24) - 1</f>
        <v>-0.95484680687488277</v>
      </c>
      <c r="CN24" s="7" cm="1">
        <f t="array" ref="CN24">PRODUCT(1 + 預測IC!$C24:CN24) - 1</f>
        <v>-0.98237567910706314</v>
      </c>
      <c r="CO24" s="7" cm="1">
        <f t="array" ref="CO24">PRODUCT(1 + 預測IC!$C24:CO24) - 1</f>
        <v>-0.97228734846289855</v>
      </c>
      <c r="CP24" s="7" cm="1">
        <f t="array" ref="CP24">PRODUCT(1 + 預測IC!$C24:CP24) - 1</f>
        <v>-0.97673091153692582</v>
      </c>
      <c r="CQ24" s="7" cm="1">
        <f t="array" ref="CQ24">PRODUCT(1 + 預測IC!$C24:CQ24) - 1</f>
        <v>-0.97939957753113083</v>
      </c>
      <c r="CR24" s="7" cm="1">
        <f t="array" ref="CR24">PRODUCT(1 + 預測IC!$C24:CR24) - 1</f>
        <v>-0.98065795100530828</v>
      </c>
      <c r="CS24" s="7" cm="1">
        <f t="array" ref="CS24">PRODUCT(1 + 預測IC!$C24:CS24) - 1</f>
        <v>-0.98117738023246015</v>
      </c>
      <c r="CT24" s="7" cm="1">
        <f t="array" ref="CT24">PRODUCT(1 + 預測IC!$C24:CT24) - 1</f>
        <v>-0.98299223856118201</v>
      </c>
      <c r="CU24" s="7" cm="1">
        <f t="array" ref="CU24">PRODUCT(1 + 預測IC!$C24:CU24) - 1</f>
        <v>-0.98175490099588414</v>
      </c>
      <c r="CV24" s="7" cm="1">
        <f t="array" ref="CV24">PRODUCT(1 + 預測IC!$C24:CV24) - 1</f>
        <v>-0.98202974603464277</v>
      </c>
      <c r="CW24" s="7" cm="1">
        <f t="array" ref="CW24">PRODUCT(1 + 預測IC!$C24:CW24) - 1</f>
        <v>-0.98517664598265031</v>
      </c>
      <c r="CX24" s="7" cm="1">
        <f t="array" ref="CX24">PRODUCT(1 + 預測IC!$C24:CX24) - 1</f>
        <v>-0.98439448787099948</v>
      </c>
      <c r="CY24" s="7" cm="1">
        <f t="array" ref="CY24">PRODUCT(1 + 預測IC!$C24:CY24) - 1</f>
        <v>-0.98314500281955808</v>
      </c>
      <c r="CZ24" s="7" cm="1">
        <f t="array" ref="CZ24">PRODUCT(1 + 預測IC!$C24:CZ24) - 1</f>
        <v>-0.98503624522561817</v>
      </c>
      <c r="DA24" s="7" cm="1">
        <f t="array" ref="DA24">PRODUCT(1 + 預測IC!$C24:DA24) - 1</f>
        <v>-0.9854030248739345</v>
      </c>
      <c r="DB24" s="7" cm="1">
        <f t="array" ref="DB24">PRODUCT(1 + 預測IC!$C24:DB24) - 1</f>
        <v>-0.98254989029914319</v>
      </c>
      <c r="DC24" s="7" cm="1">
        <f t="array" ref="DC24">PRODUCT(1 + 預測IC!$C24:DC24) - 1</f>
        <v>-0.98748355595365478</v>
      </c>
      <c r="DD24" s="7" cm="1">
        <f t="array" ref="DD24">PRODUCT(1 + 預測IC!$C24:DD24) - 1</f>
        <v>-0.98940334542342701</v>
      </c>
      <c r="DE24" s="7" cm="1">
        <f t="array" ref="DE24">PRODUCT(1 + 預測IC!$C24:DE24) - 1</f>
        <v>-0.99079771248163984</v>
      </c>
      <c r="DF24" s="7" cm="1">
        <f t="array" ref="DF24">PRODUCT(1 + 預測IC!$C24:DF24) - 1</f>
        <v>-0.99563429682352056</v>
      </c>
      <c r="DG24" s="7" cm="1">
        <f t="array" ref="DG24">PRODUCT(1 + 預測IC!$C24:DG24) - 1</f>
        <v>-0.99589233535130572</v>
      </c>
      <c r="DH24" s="7" cm="1">
        <f t="array" ref="DH24">PRODUCT(1 + 預測IC!$C24:DH24) - 1</f>
        <v>-0.99589581259239102</v>
      </c>
      <c r="DI24" s="7" cm="1">
        <f t="array" ref="DI24">PRODUCT(1 + 預測IC!$C24:DI24) - 1</f>
        <v>-0.99763228935841053</v>
      </c>
      <c r="DJ24" s="7" cm="1">
        <f t="array" ref="DJ24">PRODUCT(1 + 預測IC!$C24:DJ24) - 1</f>
        <v>-0.99768220418201137</v>
      </c>
      <c r="DK24" s="7" cm="1">
        <f t="array" ref="DK24">PRODUCT(1 + 預測IC!$C24:DK24) - 1</f>
        <v>-0.99846911721057918</v>
      </c>
      <c r="DL24" s="7" cm="1">
        <f t="array" ref="DL24">PRODUCT(1 + 預測IC!$C24:DL24) - 1</f>
        <v>-0.9983751814569477</v>
      </c>
      <c r="DM24" s="7" cm="1">
        <f t="array" ref="DM24">PRODUCT(1 + 預測IC!$C24:DM24) - 1</f>
        <v>-0.99814536789038888</v>
      </c>
      <c r="DN24" s="7" cm="1">
        <f t="array" ref="DN24">PRODUCT(1 + 預測IC!$C24:DN24) - 1</f>
        <v>-0.9984217697520501</v>
      </c>
      <c r="DO24" s="7" cm="1">
        <f t="array" ref="DO24">PRODUCT(1 + 預測IC!$C24:DO24) - 1</f>
        <v>-0.99823930746760747</v>
      </c>
      <c r="DP24" s="7" cm="1">
        <f t="array" ref="DP24">PRODUCT(1 + 預測IC!$C24:DP24) - 1</f>
        <v>-0.99798518558337301</v>
      </c>
      <c r="DQ24" s="7" cm="1">
        <f t="array" ref="DQ24">PRODUCT(1 + 預測IC!$C24:DQ24) - 1</f>
        <v>-0.99788346527895544</v>
      </c>
      <c r="DR24" s="7" cm="1">
        <f t="array" ref="DR24">PRODUCT(1 + 預測IC!$C24:DR24) - 1</f>
        <v>-0.99783395586752965</v>
      </c>
      <c r="DS24" s="7" cm="1">
        <f t="array" ref="DS24">PRODUCT(1 + 預測IC!$C24:DS24) - 1</f>
        <v>-0.99768804562063773</v>
      </c>
      <c r="DT24" s="7" cm="1">
        <f t="array" ref="DT24">PRODUCT(1 + 預測IC!$C24:DT24) - 1</f>
        <v>-0.99759935242419084</v>
      </c>
      <c r="DU24" s="7" cm="1">
        <f t="array" ref="DU24">PRODUCT(1 + 預測IC!$C24:DU24) - 1</f>
        <v>-0.99748498896513704</v>
      </c>
      <c r="DV24" s="7" cm="1">
        <f t="array" ref="DV24">PRODUCT(1 + 預測IC!$C24:DV24) - 1</f>
        <v>-0.99788292582821414</v>
      </c>
      <c r="DW24" s="7" cm="1">
        <f t="array" ref="DW24">PRODUCT(1 + 預測IC!$C24:DW24) - 1</f>
        <v>-0.9976524672947894</v>
      </c>
      <c r="DX24" s="7" cm="1">
        <f t="array" ref="DX24">PRODUCT(1 + 預測IC!$C24:DX24) - 1</f>
        <v>-0.99724461322944657</v>
      </c>
      <c r="DY24" s="7" cm="1">
        <f t="array" ref="DY24">PRODUCT(1 + 預測IC!$C24:DY24) - 1</f>
        <v>-0.99715625752111881</v>
      </c>
      <c r="DZ24" s="7" cm="1">
        <f t="array" ref="DZ24">PRODUCT(1 + 預測IC!$C24:DZ24) - 1</f>
        <v>-0.99701718524995064</v>
      </c>
      <c r="EA24" s="7" cm="1">
        <f t="array" ref="EA24">PRODUCT(1 + 預測IC!$C24:EA24) - 1</f>
        <v>-0.99685336851551276</v>
      </c>
      <c r="EB24" s="7" cm="1">
        <f t="array" ref="EB24">PRODUCT(1 + 預測IC!$C24:EB24) - 1</f>
        <v>-0.99650966582135259</v>
      </c>
      <c r="EC24" s="7" cm="1">
        <f t="array" ref="EC24">PRODUCT(1 + 預測IC!$C24:EC24) - 1</f>
        <v>-0.99740546490483628</v>
      </c>
      <c r="ED24" s="7" cm="1">
        <f t="array" ref="ED24">PRODUCT(1 + 預測IC!$C24:ED24) - 1</f>
        <v>-0.99725972248631456</v>
      </c>
      <c r="EE24" s="7" cm="1">
        <f t="array" ref="EE24">PRODUCT(1 + 預測IC!$C24:EE24) - 1</f>
        <v>-0.9969651956581389</v>
      </c>
      <c r="EF24" s="7" cm="1">
        <f t="array" ref="EF24">PRODUCT(1 + 預測IC!$C24:EF24) - 1</f>
        <v>-0.99716936720973792</v>
      </c>
    </row>
    <row r="25" spans="1:136" s="5" customFormat="1" x14ac:dyDescent="0.3">
      <c r="A25" s="13" t="s">
        <v>146</v>
      </c>
      <c r="B25" s="13" t="s">
        <v>147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A508-D344-40B4-8C76-79B9A2AD3679}">
  <dimension ref="A1:EI25"/>
  <sheetViews>
    <sheetView topLeftCell="DY10" workbookViewId="0">
      <selection activeCell="EI29" sqref="EI29"/>
    </sheetView>
  </sheetViews>
  <sheetFormatPr defaultRowHeight="15" x14ac:dyDescent="0.3"/>
  <sheetData>
    <row r="1" spans="1:139" x14ac:dyDescent="0.3">
      <c r="A1" t="s">
        <v>148</v>
      </c>
    </row>
    <row r="2" spans="1:139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143</v>
      </c>
    </row>
    <row r="3" spans="1:139" x14ac:dyDescent="0.3">
      <c r="B3" s="1" t="s">
        <v>135</v>
      </c>
      <c r="C3" s="7">
        <v>4.0547288954257972E-2</v>
      </c>
      <c r="D3" s="7">
        <v>1.474617514759302E-2</v>
      </c>
      <c r="E3" s="7">
        <v>-5.1652342081069953E-2</v>
      </c>
      <c r="F3" s="7">
        <v>-5.4286114871501923E-2</v>
      </c>
      <c r="G3" s="7">
        <v>-5.7552006095647812E-2</v>
      </c>
      <c r="H3" s="7">
        <v>-7.6259449124336243E-2</v>
      </c>
      <c r="I3" s="7">
        <v>-0.107886478304863</v>
      </c>
      <c r="J3" s="7">
        <v>1.373711228370667E-2</v>
      </c>
      <c r="K3" s="7">
        <v>-5.9229228645563133E-2</v>
      </c>
      <c r="L3" s="7">
        <v>-0.1078036949038506</v>
      </c>
      <c r="M3" s="7">
        <v>2.4141319096088409E-2</v>
      </c>
      <c r="N3" s="7">
        <v>-0.1346741318702698</v>
      </c>
      <c r="O3" s="7">
        <v>-7.92685616761446E-3</v>
      </c>
      <c r="P3" s="7">
        <v>-7.5651742517948151E-2</v>
      </c>
      <c r="Q3" s="7">
        <v>-8.6447760462760925E-2</v>
      </c>
      <c r="R3" s="7">
        <v>-3.0133344698697329E-3</v>
      </c>
      <c r="S3" s="7">
        <v>-4.0853243321180337E-2</v>
      </c>
      <c r="T3" s="7">
        <v>-3.2101776450872421E-2</v>
      </c>
      <c r="U3" s="7">
        <v>-0.10543976724147799</v>
      </c>
      <c r="V3" s="7">
        <v>-4.5746464282274253E-2</v>
      </c>
      <c r="W3" s="7">
        <v>-6.8120560608804226E-3</v>
      </c>
      <c r="X3" s="7">
        <v>9.7701430320739746E-2</v>
      </c>
      <c r="Y3" s="7">
        <v>6.1205495148897171E-2</v>
      </c>
      <c r="Z3" s="7">
        <v>1.6075653955340389E-2</v>
      </c>
      <c r="AA3" s="7">
        <v>-1.270355191081762E-2</v>
      </c>
      <c r="AB3" s="7">
        <v>-1.026225462555885E-2</v>
      </c>
      <c r="AC3" s="7">
        <v>2.934014052152634E-2</v>
      </c>
      <c r="AD3" s="7">
        <v>-5.8081243187189102E-3</v>
      </c>
      <c r="AE3" s="7">
        <v>1.1994774453341959E-2</v>
      </c>
      <c r="AF3" s="7">
        <v>3.9971381425857537E-2</v>
      </c>
      <c r="AG3" s="7">
        <v>-1.210324652493E-2</v>
      </c>
      <c r="AH3" s="7">
        <v>2.2090664133429531E-2</v>
      </c>
      <c r="AI3" s="7">
        <v>2.1936081349849701E-2</v>
      </c>
      <c r="AJ3" s="7">
        <v>2.584474720060825E-2</v>
      </c>
      <c r="AK3" s="7">
        <v>-2.3109074681997299E-3</v>
      </c>
      <c r="AL3" s="7">
        <v>-2.0252099260687832E-2</v>
      </c>
      <c r="AM3" s="7">
        <v>2.2393656894564629E-2</v>
      </c>
      <c r="AN3" s="7">
        <v>-3.5141657572239642E-3</v>
      </c>
      <c r="AO3" s="7">
        <v>-2.9745671898126599E-2</v>
      </c>
      <c r="AP3" s="7">
        <v>-2.683783695101738E-2</v>
      </c>
      <c r="AQ3" s="7">
        <v>-2.169711887836456E-2</v>
      </c>
      <c r="AR3" s="7">
        <v>2.3448716849088669E-2</v>
      </c>
      <c r="AS3" s="7">
        <v>1.5802856534719471E-2</v>
      </c>
      <c r="AT3" s="7">
        <v>6.6039755940437317E-2</v>
      </c>
      <c r="AU3" s="7">
        <v>6.2266789376735687E-2</v>
      </c>
      <c r="AV3" s="7">
        <v>5.7940512895584113E-2</v>
      </c>
      <c r="AW3" s="7">
        <v>0.1063941121101379</v>
      </c>
      <c r="AX3" s="7">
        <v>-5.7518132962286472E-3</v>
      </c>
      <c r="AY3" s="7">
        <v>3.4562649670988321E-3</v>
      </c>
      <c r="AZ3" s="7">
        <v>8.6036309599876404E-2</v>
      </c>
      <c r="BA3" s="7">
        <v>0.10234846919775011</v>
      </c>
      <c r="BB3" s="7">
        <v>6.3502728939056396E-2</v>
      </c>
      <c r="BC3" s="7">
        <v>4.844263568520546E-2</v>
      </c>
      <c r="BD3" s="7">
        <v>7.7497914433479309E-2</v>
      </c>
      <c r="BE3" s="7">
        <v>2.7031764388084412E-2</v>
      </c>
      <c r="BF3" s="7">
        <v>2.1175272762775421E-2</v>
      </c>
      <c r="BG3" s="7">
        <v>-1.226798165589571E-2</v>
      </c>
      <c r="BH3" s="7">
        <v>5.1240973174571991E-2</v>
      </c>
      <c r="BI3" s="7">
        <v>5.5158428847789757E-2</v>
      </c>
      <c r="BJ3" s="7">
        <v>8.664897084236145E-2</v>
      </c>
      <c r="BK3" s="7">
        <v>8.1092678010463715E-2</v>
      </c>
      <c r="BL3" s="7">
        <v>5.7930886745452881E-2</v>
      </c>
      <c r="BM3" s="7">
        <v>1.4249543659389021E-2</v>
      </c>
      <c r="BN3" s="7">
        <v>-4.6854224056005478E-3</v>
      </c>
      <c r="BO3" s="7">
        <v>4.5861139893531799E-2</v>
      </c>
      <c r="BP3" s="7">
        <v>8.6037963628768921E-2</v>
      </c>
      <c r="BQ3" s="7">
        <v>0.144142210483551</v>
      </c>
      <c r="BR3" s="7">
        <v>3.7985831499099731E-2</v>
      </c>
      <c r="BS3" s="7">
        <v>8.1880234181880951E-2</v>
      </c>
      <c r="BT3" s="7">
        <v>4.3688308447599411E-2</v>
      </c>
      <c r="BU3" s="7">
        <v>0.10545723885297779</v>
      </c>
      <c r="BV3" s="7">
        <v>0.1175376549363136</v>
      </c>
      <c r="BW3" s="7">
        <v>9.2942401766777039E-2</v>
      </c>
      <c r="BX3" s="7">
        <v>3.5637497901916497E-2</v>
      </c>
      <c r="BY3" s="7">
        <v>4.2925089597702033E-2</v>
      </c>
      <c r="BZ3" s="7">
        <v>9.8455093801021576E-2</v>
      </c>
      <c r="CA3" s="7">
        <v>1.8217885866761211E-2</v>
      </c>
      <c r="CB3" s="7">
        <v>1.9438756629824638E-2</v>
      </c>
      <c r="CC3" s="7">
        <v>-5.0573386251926422E-3</v>
      </c>
      <c r="CD3" s="7">
        <v>-5.7951014488935471E-2</v>
      </c>
      <c r="CE3" s="7">
        <v>-1.193848438560963E-2</v>
      </c>
      <c r="CF3" s="7">
        <v>6.4156758598983288E-3</v>
      </c>
      <c r="CG3" s="7">
        <v>5.6247138418257236E-3</v>
      </c>
      <c r="CH3" s="7">
        <v>5.8184977620840073E-2</v>
      </c>
      <c r="CI3" s="7">
        <v>1.276898570358753E-2</v>
      </c>
      <c r="CJ3" s="7">
        <v>-8.0891326069831848E-2</v>
      </c>
      <c r="CK3" s="7">
        <v>7.3738843202590942E-2</v>
      </c>
      <c r="CL3" s="7">
        <v>6.7692369222640991E-2</v>
      </c>
      <c r="CM3" s="7">
        <v>-1.829254254698753E-2</v>
      </c>
      <c r="CN3" s="7">
        <v>4.6888105571269989E-3</v>
      </c>
      <c r="CO3" s="7">
        <v>-1.2873713858425621E-2</v>
      </c>
      <c r="CP3" s="7">
        <v>-5.2108332514762878E-2</v>
      </c>
      <c r="CQ3" s="7">
        <v>-7.2693914175033569E-2</v>
      </c>
      <c r="CR3" s="7">
        <v>-6.0804408043622971E-2</v>
      </c>
      <c r="CS3" s="7">
        <v>1.5148262493312361E-2</v>
      </c>
      <c r="CT3" s="7">
        <v>-6.339031457901001E-2</v>
      </c>
      <c r="CU3" s="7">
        <v>-6.1079829931259162E-2</v>
      </c>
      <c r="CV3" s="7">
        <v>-2.170033194124699E-2</v>
      </c>
      <c r="CW3" s="7">
        <v>-6.0720678418874741E-2</v>
      </c>
      <c r="CX3" s="7">
        <v>-4.0655191987752907E-2</v>
      </c>
      <c r="CY3" s="7">
        <v>-4.5480586588382721E-2</v>
      </c>
      <c r="CZ3" s="7">
        <v>-6.9138072431087494E-2</v>
      </c>
      <c r="DA3" s="7">
        <v>-8.9778468012809753E-2</v>
      </c>
      <c r="DB3" s="7">
        <v>-6.527487188577652E-2</v>
      </c>
      <c r="DC3" s="7">
        <v>-1.3747443445026869E-2</v>
      </c>
      <c r="DD3" s="7">
        <v>-5.9340178966522217E-2</v>
      </c>
      <c r="DE3" s="7">
        <v>-2.9697688296437259E-3</v>
      </c>
      <c r="DF3" s="7">
        <v>2.9266869649291039E-2</v>
      </c>
      <c r="DG3" s="7">
        <v>-2.4713881313800808E-2</v>
      </c>
      <c r="DH3" s="7">
        <v>-3.5376153886318207E-2</v>
      </c>
      <c r="DI3" s="7">
        <v>-2.7640743181109428E-2</v>
      </c>
      <c r="DJ3" s="7">
        <v>-5.7575446553528309E-3</v>
      </c>
      <c r="DK3" s="7">
        <v>-4.8771854490041733E-2</v>
      </c>
      <c r="DL3" s="7">
        <v>-1.13038681447506E-2</v>
      </c>
      <c r="DM3" s="7">
        <v>-4.967803880572319E-2</v>
      </c>
      <c r="DN3" s="7">
        <v>-1.280778273940086E-2</v>
      </c>
      <c r="DO3" s="7">
        <v>-1.587224006652832E-2</v>
      </c>
      <c r="DP3" s="7">
        <v>-7.589586079120636E-3</v>
      </c>
      <c r="DQ3" s="7">
        <v>4.0078632533550262E-2</v>
      </c>
      <c r="DR3" s="7">
        <v>-1.5922309830784801E-2</v>
      </c>
      <c r="DS3" s="7">
        <v>2.3432238027453419E-2</v>
      </c>
      <c r="DT3" s="7">
        <v>-5.3663063794374473E-2</v>
      </c>
      <c r="DU3" s="7">
        <v>-4.4161681085824973E-2</v>
      </c>
      <c r="DV3" s="7">
        <v>-2.3813089355826381E-2</v>
      </c>
      <c r="DW3" s="7">
        <v>2.5176366791129109E-2</v>
      </c>
      <c r="DX3" s="7">
        <v>-3.2621368765830987E-2</v>
      </c>
      <c r="DY3" s="7">
        <v>1.3060665689408779E-2</v>
      </c>
      <c r="DZ3" s="7">
        <v>-4.7912493348121643E-2</v>
      </c>
      <c r="EA3" s="7">
        <v>1.4760352671146389E-2</v>
      </c>
      <c r="EB3" s="7">
        <v>-2.9227724298834801E-2</v>
      </c>
      <c r="EC3" s="7">
        <v>-3.5695001482963562E-2</v>
      </c>
      <c r="ED3" s="7">
        <v>-5.2812475711107247E-2</v>
      </c>
      <c r="EE3" s="7">
        <v>-1.3054582290351391E-2</v>
      </c>
      <c r="EF3" s="7">
        <v>-6.9071874022483826E-2</v>
      </c>
      <c r="EG3" s="1"/>
    </row>
    <row r="4" spans="1:139" x14ac:dyDescent="0.3">
      <c r="B4" s="1" t="s">
        <v>136</v>
      </c>
      <c r="C4" s="7">
        <v>-1.8580827862024311E-2</v>
      </c>
      <c r="D4" s="7">
        <v>-4.8252779990434647E-2</v>
      </c>
      <c r="E4" s="7">
        <v>7.8275678679347038E-3</v>
      </c>
      <c r="F4" s="7">
        <v>-2.6776634156703949E-2</v>
      </c>
      <c r="G4" s="7">
        <v>1.6258874908089641E-2</v>
      </c>
      <c r="H4" s="7">
        <v>-8.7667405605316162E-3</v>
      </c>
      <c r="I4" s="7">
        <v>-7.0548905059695244E-3</v>
      </c>
      <c r="J4" s="7">
        <v>-3.2917611300945282E-2</v>
      </c>
      <c r="K4" s="7">
        <v>7.3888557963073254E-3</v>
      </c>
      <c r="L4" s="7">
        <v>3.5096999257802963E-2</v>
      </c>
      <c r="M4" s="7">
        <v>-1.934842579066753E-2</v>
      </c>
      <c r="N4" s="7">
        <v>-1.2498205527663229E-2</v>
      </c>
      <c r="O4" s="7">
        <v>-6.7216232419013977E-2</v>
      </c>
      <c r="P4" s="7">
        <v>-2.768821083009243E-2</v>
      </c>
      <c r="Q4" s="7">
        <v>-5.9864789247512817E-2</v>
      </c>
      <c r="R4" s="7">
        <v>-7.7407129108905792E-2</v>
      </c>
      <c r="S4" s="7">
        <v>-8.372652530670166E-2</v>
      </c>
      <c r="T4" s="7">
        <v>-5.9324655681848533E-2</v>
      </c>
      <c r="U4" s="7">
        <v>-2.3863557726144791E-3</v>
      </c>
      <c r="V4" s="7">
        <v>4.6488689258694649E-3</v>
      </c>
      <c r="W4" s="7">
        <v>-7.4044972658157349E-2</v>
      </c>
      <c r="X4" s="7">
        <v>-9.8803862929344177E-2</v>
      </c>
      <c r="Y4" s="7">
        <v>-9.1002114117145538E-2</v>
      </c>
      <c r="Z4" s="7">
        <v>-6.800408661365509E-2</v>
      </c>
      <c r="AA4" s="7">
        <v>-8.6181230843067169E-2</v>
      </c>
      <c r="AB4" s="7">
        <v>-8.889392763376236E-2</v>
      </c>
      <c r="AC4" s="7">
        <v>-1.6588440164923671E-2</v>
      </c>
      <c r="AD4" s="7">
        <v>6.3448823988437653E-2</v>
      </c>
      <c r="AE4" s="7">
        <v>-5.9580553323030472E-2</v>
      </c>
      <c r="AF4" s="7">
        <v>1.096150139346719E-3</v>
      </c>
      <c r="AG4" s="7">
        <v>2.8850741684436802E-2</v>
      </c>
      <c r="AH4" s="7">
        <v>2.907080203294754E-2</v>
      </c>
      <c r="AI4" s="7">
        <v>-1.015707012265921E-2</v>
      </c>
      <c r="AJ4" s="7">
        <v>4.4545106589794159E-2</v>
      </c>
      <c r="AK4" s="7">
        <v>-1.327527966350317E-2</v>
      </c>
      <c r="AL4" s="7">
        <v>1.4735002070665359E-2</v>
      </c>
      <c r="AM4" s="7">
        <v>5.2847121842205516E-3</v>
      </c>
      <c r="AN4" s="7">
        <v>4.7137059271335602E-2</v>
      </c>
      <c r="AO4" s="7">
        <v>7.4655739590525627E-3</v>
      </c>
      <c r="AP4" s="7">
        <v>4.6993391588330269E-3</v>
      </c>
      <c r="AQ4" s="7">
        <v>2.0851189270615581E-2</v>
      </c>
      <c r="AR4" s="7">
        <v>5.4104723036289222E-2</v>
      </c>
      <c r="AS4" s="7">
        <v>-5.646181758493185E-3</v>
      </c>
      <c r="AT4" s="7">
        <v>4.0453299880027771E-3</v>
      </c>
      <c r="AU4" s="7">
        <v>2.0628450438380241E-2</v>
      </c>
      <c r="AV4" s="7">
        <v>2.111388556659222E-2</v>
      </c>
      <c r="AW4" s="7">
        <v>-4.1878089308738708E-2</v>
      </c>
      <c r="AX4" s="7">
        <v>1.5781458467245098E-2</v>
      </c>
      <c r="AY4" s="7">
        <v>-2.299829013645649E-2</v>
      </c>
      <c r="AZ4" s="7">
        <v>5.878029391169548E-3</v>
      </c>
      <c r="BA4" s="7">
        <v>-2.1811418235301971E-2</v>
      </c>
      <c r="BB4" s="7">
        <v>-7.6676465570926666E-2</v>
      </c>
      <c r="BC4" s="7">
        <v>1.004549115896225E-2</v>
      </c>
      <c r="BD4" s="7">
        <v>-4.7882307320833213E-2</v>
      </c>
      <c r="BE4" s="7">
        <v>-6.8554230034351349E-2</v>
      </c>
      <c r="BF4" s="7">
        <v>-8.2745306193828583E-2</v>
      </c>
      <c r="BG4" s="7">
        <v>-0.1204242408275604</v>
      </c>
      <c r="BH4" s="7">
        <v>-0.10103762894868849</v>
      </c>
      <c r="BI4" s="7">
        <v>-3.9490096271038062E-2</v>
      </c>
      <c r="BJ4" s="7">
        <v>-6.4256303012371063E-2</v>
      </c>
      <c r="BK4" s="7">
        <v>-0.14447127282619479</v>
      </c>
      <c r="BL4" s="7">
        <v>-0.1120113208889961</v>
      </c>
      <c r="BM4" s="7">
        <v>-3.4826010465621948E-2</v>
      </c>
      <c r="BN4" s="7">
        <v>-8.5986465215682983E-2</v>
      </c>
      <c r="BO4" s="7">
        <v>-7.0973977446556091E-2</v>
      </c>
      <c r="BP4" s="7">
        <v>-3.4846525639295578E-2</v>
      </c>
      <c r="BQ4" s="7">
        <v>-2.0351750776171681E-2</v>
      </c>
      <c r="BR4" s="7">
        <v>-2.315560914576054E-2</v>
      </c>
      <c r="BS4" s="7">
        <v>-3.2191596925258643E-2</v>
      </c>
      <c r="BT4" s="7">
        <v>-6.8826571106910706E-2</v>
      </c>
      <c r="BU4" s="7">
        <v>-9.2764981091022491E-2</v>
      </c>
      <c r="BV4" s="7">
        <v>-8.1678107380867004E-2</v>
      </c>
      <c r="BW4" s="7">
        <v>-6.8563610315322876E-2</v>
      </c>
      <c r="BX4" s="7">
        <v>-1.983198523521423E-2</v>
      </c>
      <c r="BY4" s="7">
        <v>-6.1186797916889191E-2</v>
      </c>
      <c r="BZ4" s="7">
        <v>-7.0581048727035522E-2</v>
      </c>
      <c r="CA4" s="7">
        <v>-7.2609454393386841E-2</v>
      </c>
      <c r="CB4" s="7">
        <v>-8.8862821459770203E-2</v>
      </c>
      <c r="CC4" s="7">
        <v>-6.5672166645526886E-2</v>
      </c>
      <c r="CD4" s="7">
        <v>-7.0492014288902283E-2</v>
      </c>
      <c r="CE4" s="7">
        <v>-8.9266888797283173E-2</v>
      </c>
      <c r="CF4" s="7">
        <v>-1.9554028287529949E-2</v>
      </c>
      <c r="CG4" s="7">
        <v>-3.8807325065135963E-2</v>
      </c>
      <c r="CH4" s="7">
        <v>-2.6853706687688831E-2</v>
      </c>
      <c r="CI4" s="7">
        <v>-2.3996761068701741E-2</v>
      </c>
      <c r="CJ4" s="7">
        <v>-6.9834161549806586E-3</v>
      </c>
      <c r="CK4" s="7">
        <v>-1.185638178139925E-2</v>
      </c>
      <c r="CL4" s="7">
        <v>-1.1220706626772881E-2</v>
      </c>
      <c r="CM4" s="7">
        <v>-1.975167170166969E-2</v>
      </c>
      <c r="CN4" s="7">
        <v>-1.7389096319675449E-2</v>
      </c>
      <c r="CO4" s="7">
        <v>9.1980240540578961E-4</v>
      </c>
      <c r="CP4" s="7">
        <v>-2.7678526937961578E-2</v>
      </c>
      <c r="CQ4" s="7">
        <v>-2.722612768411636E-2</v>
      </c>
      <c r="CR4" s="7">
        <v>-3.4191105514764793E-2</v>
      </c>
      <c r="CS4" s="7">
        <v>-3.7506073713302612E-2</v>
      </c>
      <c r="CT4" s="7">
        <v>-4.9283858388662338E-2</v>
      </c>
      <c r="CU4" s="7">
        <v>-2.3866469040513039E-2</v>
      </c>
      <c r="CV4" s="7">
        <v>-2.7314594481140379E-3</v>
      </c>
      <c r="CW4" s="7">
        <v>2.5829777121543881E-2</v>
      </c>
      <c r="CX4" s="7">
        <v>-7.7818602323532104E-2</v>
      </c>
      <c r="CY4" s="7">
        <v>-1.714335381984711E-2</v>
      </c>
      <c r="CZ4" s="7">
        <v>6.4833508804440498E-3</v>
      </c>
      <c r="DA4" s="7">
        <v>2.1121479570865631E-2</v>
      </c>
      <c r="DB4" s="7">
        <v>1.6250079497694969E-3</v>
      </c>
      <c r="DC4" s="7">
        <v>1.4495826326310629E-2</v>
      </c>
      <c r="DD4" s="7">
        <v>3.7542592734098428E-2</v>
      </c>
      <c r="DE4" s="7">
        <v>-4.7325566411018372E-2</v>
      </c>
      <c r="DF4" s="7">
        <v>3.3347133547067642E-2</v>
      </c>
      <c r="DG4" s="7">
        <v>-1.8042853102087971E-2</v>
      </c>
      <c r="DH4" s="7">
        <v>-1.2872833758592611E-2</v>
      </c>
      <c r="DI4" s="7">
        <v>2.5734813883900639E-2</v>
      </c>
      <c r="DJ4" s="7">
        <v>1.416372787207365E-2</v>
      </c>
      <c r="DK4" s="7">
        <v>-3.316790983080864E-2</v>
      </c>
      <c r="DL4" s="7">
        <v>-2.1062262356281281E-2</v>
      </c>
      <c r="DM4" s="7">
        <v>1.4148561283946041E-2</v>
      </c>
      <c r="DN4" s="7">
        <v>-1.9859654828906059E-2</v>
      </c>
      <c r="DO4" s="7">
        <v>-3.856055811047554E-2</v>
      </c>
      <c r="DP4" s="7">
        <v>5.259593203663826E-2</v>
      </c>
      <c r="DQ4" s="7">
        <v>5.0834372639656067E-2</v>
      </c>
      <c r="DR4" s="7">
        <v>3.4424390643835068E-2</v>
      </c>
      <c r="DS4" s="7">
        <v>2.6739172637462619E-2</v>
      </c>
      <c r="DT4" s="7">
        <v>-2.2692034021019939E-2</v>
      </c>
      <c r="DU4" s="7">
        <v>2.356254868209362E-2</v>
      </c>
      <c r="DV4" s="7">
        <v>1.1204046197235581E-2</v>
      </c>
      <c r="DW4" s="7">
        <v>9.7593218088150024E-3</v>
      </c>
      <c r="DX4" s="7">
        <v>-1.200891844928265E-2</v>
      </c>
      <c r="DY4" s="7">
        <v>-1.29100177437067E-2</v>
      </c>
      <c r="DZ4" s="7">
        <v>1.4516728930175299E-2</v>
      </c>
      <c r="EA4" s="7">
        <v>2.0058911293745041E-2</v>
      </c>
      <c r="EB4" s="7">
        <v>5.2505847066640847E-2</v>
      </c>
      <c r="EC4" s="7">
        <v>3.2138381153345108E-2</v>
      </c>
      <c r="ED4" s="7">
        <v>-9.5858694985508919E-3</v>
      </c>
      <c r="EE4" s="7">
        <v>1.6591379418969151E-2</v>
      </c>
      <c r="EF4" s="7">
        <v>2.4656090885400769E-2</v>
      </c>
      <c r="EG4" s="1"/>
    </row>
    <row r="5" spans="1:139" x14ac:dyDescent="0.3">
      <c r="B5" s="1" t="s">
        <v>137</v>
      </c>
      <c r="C5" s="7">
        <v>-1.9821943715214729E-2</v>
      </c>
      <c r="D5" s="7">
        <v>-2.4067563936114311E-2</v>
      </c>
      <c r="E5" s="7">
        <v>-7.5782481580972672E-3</v>
      </c>
      <c r="F5" s="7">
        <v>3.8560427725315087E-2</v>
      </c>
      <c r="G5" s="7">
        <v>-7.0930332876741886E-3</v>
      </c>
      <c r="H5" s="7">
        <v>-2.8790984302759171E-2</v>
      </c>
      <c r="I5" s="7">
        <v>-5.0696283578872681E-2</v>
      </c>
      <c r="J5" s="7">
        <v>-1.75021740142256E-3</v>
      </c>
      <c r="K5" s="7">
        <v>-4.8410315066576004E-3</v>
      </c>
      <c r="L5" s="7">
        <v>-2.5085138157010078E-2</v>
      </c>
      <c r="M5" s="7">
        <v>3.4981705248355872E-2</v>
      </c>
      <c r="N5" s="7">
        <v>7.1464717388153076E-2</v>
      </c>
      <c r="O5" s="7">
        <v>4.9568243324756622E-2</v>
      </c>
      <c r="P5" s="7">
        <v>9.211605042219162E-2</v>
      </c>
      <c r="Q5" s="7">
        <v>7.458747923374176E-2</v>
      </c>
      <c r="R5" s="7">
        <v>3.6225240677595139E-2</v>
      </c>
      <c r="S5" s="7">
        <v>6.8880669772624969E-2</v>
      </c>
      <c r="T5" s="7">
        <v>5.0580024719238281E-2</v>
      </c>
      <c r="U5" s="7">
        <v>5.0022769719362259E-2</v>
      </c>
      <c r="V5" s="7">
        <v>6.5072879195213318E-2</v>
      </c>
      <c r="W5" s="7">
        <v>8.2305394113063812E-2</v>
      </c>
      <c r="X5" s="7">
        <v>4.979049414396286E-2</v>
      </c>
      <c r="Y5" s="7">
        <v>0.16213490068912509</v>
      </c>
      <c r="Z5" s="7">
        <v>4.9829393625259399E-2</v>
      </c>
      <c r="AA5" s="7">
        <v>-9.6141993999481201E-3</v>
      </c>
      <c r="AB5" s="7">
        <v>-9.4462800770998001E-3</v>
      </c>
      <c r="AC5" s="7">
        <v>-1.5571466647088529E-2</v>
      </c>
      <c r="AD5" s="7">
        <v>-5.6024580262601384E-3</v>
      </c>
      <c r="AE5" s="7">
        <v>2.4225909262895581E-2</v>
      </c>
      <c r="AF5" s="7">
        <v>6.4355872571468353E-2</v>
      </c>
      <c r="AG5" s="7">
        <v>6.0781430453062057E-2</v>
      </c>
      <c r="AH5" s="7">
        <v>2.877256274223328E-2</v>
      </c>
      <c r="AI5" s="7">
        <v>4.2393732815980911E-2</v>
      </c>
      <c r="AJ5" s="7">
        <v>1.3549104332923889E-2</v>
      </c>
      <c r="AK5" s="7">
        <v>0.104340173304081</v>
      </c>
      <c r="AL5" s="7">
        <v>2.3477694019675251E-2</v>
      </c>
      <c r="AM5" s="7">
        <v>4.9679871648550027E-2</v>
      </c>
      <c r="AN5" s="7">
        <v>-1.9429741427302361E-2</v>
      </c>
      <c r="AO5" s="7">
        <v>-9.9202198907732964E-3</v>
      </c>
      <c r="AP5" s="7">
        <v>1.375884562730789E-2</v>
      </c>
      <c r="AQ5" s="7">
        <v>-4.9647921696305266E-3</v>
      </c>
      <c r="AR5" s="7">
        <v>-1.355784293264151E-2</v>
      </c>
      <c r="AS5" s="7">
        <v>-2.6926254853606221E-2</v>
      </c>
      <c r="AT5" s="7">
        <v>-7.0274341851472846E-3</v>
      </c>
      <c r="AU5" s="7">
        <v>9.5545966178178787E-3</v>
      </c>
      <c r="AV5" s="7">
        <v>3.9484385401010513E-2</v>
      </c>
      <c r="AW5" s="7">
        <v>1.0149263776838779E-2</v>
      </c>
      <c r="AX5" s="7">
        <v>2.7402361854910851E-2</v>
      </c>
      <c r="AY5" s="7">
        <v>3.636043518781662E-2</v>
      </c>
      <c r="AZ5" s="7">
        <v>-1.262158527970314E-2</v>
      </c>
      <c r="BA5" s="7">
        <v>5.0261570140719414E-3</v>
      </c>
      <c r="BB5" s="7">
        <v>3.7919752299785607E-2</v>
      </c>
      <c r="BC5" s="7">
        <v>5.3017329424619668E-2</v>
      </c>
      <c r="BD5" s="7">
        <v>-5.6791070848703377E-2</v>
      </c>
      <c r="BE5" s="7">
        <v>-1.0663941502571109E-2</v>
      </c>
      <c r="BF5" s="7">
        <v>-4.5907318592071533E-2</v>
      </c>
      <c r="BG5" s="7">
        <v>-4.1811093688011169E-2</v>
      </c>
      <c r="BH5" s="7">
        <v>-8.6124790832400322E-3</v>
      </c>
      <c r="BI5" s="7">
        <v>5.799414124339819E-3</v>
      </c>
      <c r="BJ5" s="7">
        <v>-1.243619527667761E-2</v>
      </c>
      <c r="BK5" s="7">
        <v>2.8031732887029651E-2</v>
      </c>
      <c r="BL5" s="7">
        <v>1.237457524985075E-2</v>
      </c>
      <c r="BM5" s="7">
        <v>3.3071968704462051E-2</v>
      </c>
      <c r="BN5" s="7">
        <v>5.3148314356803887E-2</v>
      </c>
      <c r="BO5" s="7">
        <v>-2.6408641133457422E-4</v>
      </c>
      <c r="BP5" s="7">
        <v>2.5249753147363659E-2</v>
      </c>
      <c r="BQ5" s="7">
        <v>1.6997437924146649E-2</v>
      </c>
      <c r="BR5" s="7">
        <v>3.9869185537099838E-2</v>
      </c>
      <c r="BS5" s="7">
        <v>1.4649398624897E-2</v>
      </c>
      <c r="BT5" s="7">
        <v>-1.352826133370399E-3</v>
      </c>
      <c r="BU5" s="7">
        <v>-1.624243147671223E-2</v>
      </c>
      <c r="BV5" s="7">
        <v>-1.9686918705701831E-2</v>
      </c>
      <c r="BW5" s="7">
        <v>1.865353994071484E-2</v>
      </c>
      <c r="BX5" s="7">
        <v>1.243885513395071E-2</v>
      </c>
      <c r="BY5" s="7">
        <v>1.172025687992573E-2</v>
      </c>
      <c r="BZ5" s="7">
        <v>2.6449056342244152E-2</v>
      </c>
      <c r="CA5" s="7">
        <v>2.04578060656786E-2</v>
      </c>
      <c r="CB5" s="7">
        <v>-1.0790687054395681E-2</v>
      </c>
      <c r="CC5" s="7">
        <v>2.7279853820800781E-2</v>
      </c>
      <c r="CD5" s="7">
        <v>-2.825878094881773E-3</v>
      </c>
      <c r="CE5" s="7">
        <v>-3.9107587188482278E-2</v>
      </c>
      <c r="CF5" s="7">
        <v>2.643934823572636E-2</v>
      </c>
      <c r="CG5" s="7">
        <v>-1.353815849870443E-2</v>
      </c>
      <c r="CH5" s="7">
        <v>3.3741135150194168E-2</v>
      </c>
      <c r="CI5" s="7">
        <v>-1.802918687462807E-2</v>
      </c>
      <c r="CJ5" s="7">
        <v>7.7282674610614777E-3</v>
      </c>
      <c r="CK5" s="7">
        <v>4.5171476900577552E-2</v>
      </c>
      <c r="CL5" s="7">
        <v>-1.4336470048874621E-3</v>
      </c>
      <c r="CM5" s="7">
        <v>-4.3408293277025223E-2</v>
      </c>
      <c r="CN5" s="7">
        <v>-4.8494711518287659E-2</v>
      </c>
      <c r="CO5" s="7">
        <v>-3.4412361681461327E-2</v>
      </c>
      <c r="CP5" s="7">
        <v>-3.1831637024879463E-2</v>
      </c>
      <c r="CQ5" s="7">
        <v>-2.954593114554882E-2</v>
      </c>
      <c r="CR5" s="7">
        <v>-4.6193767338991172E-2</v>
      </c>
      <c r="CS5" s="7">
        <v>-2.2423639893531799E-2</v>
      </c>
      <c r="CT5" s="7">
        <v>2.7818739414215091E-2</v>
      </c>
      <c r="CU5" s="7">
        <v>3.4685932099819183E-2</v>
      </c>
      <c r="CV5" s="7">
        <v>2.074115909636021E-2</v>
      </c>
      <c r="CW5" s="7">
        <v>3.9250623434782028E-2</v>
      </c>
      <c r="CX5" s="7">
        <v>2.3623250424861911E-2</v>
      </c>
      <c r="CY5" s="7">
        <v>2.0947696641087529E-2</v>
      </c>
      <c r="CZ5" s="7">
        <v>2.7976941782981162E-3</v>
      </c>
      <c r="DA5" s="7">
        <v>3.1392037868499763E-2</v>
      </c>
      <c r="DB5" s="7">
        <v>2.502433024346828E-3</v>
      </c>
      <c r="DC5" s="7">
        <v>4.6531397849321372E-2</v>
      </c>
      <c r="DD5" s="7">
        <v>3.7525448948144913E-2</v>
      </c>
      <c r="DE5" s="7">
        <v>6.0277972370386117E-2</v>
      </c>
      <c r="DF5" s="7">
        <v>-1.6737030819058418E-2</v>
      </c>
      <c r="DG5" s="7">
        <v>-9.5816031098365784E-3</v>
      </c>
      <c r="DH5" s="7">
        <v>2.3357640951871868E-2</v>
      </c>
      <c r="DI5" s="7">
        <v>-4.1918892413377762E-2</v>
      </c>
      <c r="DJ5" s="7">
        <v>-1.131146331317723E-3</v>
      </c>
      <c r="DK5" s="7">
        <v>4.1163764894008643E-2</v>
      </c>
      <c r="DL5" s="7">
        <v>2.8391024097800251E-2</v>
      </c>
      <c r="DM5" s="7">
        <v>-2.8915755450725559E-2</v>
      </c>
      <c r="DN5" s="7">
        <v>-1.6116663813591E-2</v>
      </c>
      <c r="DO5" s="7">
        <v>-4.4103553518652916E-3</v>
      </c>
      <c r="DP5" s="7">
        <v>-2.803636156022549E-2</v>
      </c>
      <c r="DQ5" s="7">
        <v>3.730235388502479E-3</v>
      </c>
      <c r="DR5" s="7">
        <v>4.8961839638650417E-3</v>
      </c>
      <c r="DS5" s="7">
        <v>1.518423017114401E-2</v>
      </c>
      <c r="DT5" s="7">
        <v>-2.709389291703701E-2</v>
      </c>
      <c r="DU5" s="7">
        <v>2.157741412520409E-2</v>
      </c>
      <c r="DV5" s="7">
        <v>-1.6142900567501779E-3</v>
      </c>
      <c r="DW5" s="7">
        <v>-4.1363826021552086E-3</v>
      </c>
      <c r="DX5" s="7">
        <v>-4.4376425445079803E-2</v>
      </c>
      <c r="DY5" s="7">
        <v>-3.3609867095947273E-2</v>
      </c>
      <c r="DZ5" s="7">
        <v>-4.8759568482637412E-2</v>
      </c>
      <c r="EA5" s="7">
        <v>5.7486207224428654E-3</v>
      </c>
      <c r="EB5" s="7">
        <v>5.8685941621661186E-3</v>
      </c>
      <c r="EC5" s="7">
        <v>4.229099303483963E-2</v>
      </c>
      <c r="ED5" s="7">
        <v>2.5345668196678162E-2</v>
      </c>
      <c r="EE5" s="7">
        <v>7.0743728429079056E-3</v>
      </c>
      <c r="EF5" s="7">
        <v>3.71592678129673E-2</v>
      </c>
      <c r="EG5" s="1"/>
    </row>
    <row r="6" spans="1:139" x14ac:dyDescent="0.3">
      <c r="A6" s="10" t="s">
        <v>138</v>
      </c>
      <c r="B6" s="11"/>
      <c r="C6" s="7">
        <f t="array" ref="C6">MATCH(MAX(ABS(C3:C5)), ABS(C3:C5), 0)</f>
        <v>1</v>
      </c>
      <c r="D6" s="7">
        <f t="array" ref="D6">MATCH(MAX(ABS(D3:D5)), ABS(D3:D5), 0)</f>
        <v>2</v>
      </c>
      <c r="E6" s="7">
        <f t="array" ref="E6">MATCH(MAX(ABS(E3:E5)), ABS(E3:E5), 0)</f>
        <v>1</v>
      </c>
      <c r="F6" s="7">
        <f t="array" ref="F6">MATCH(MAX(ABS(F3:F5)), ABS(F3:F5), 0)</f>
        <v>1</v>
      </c>
      <c r="G6" s="7">
        <f t="array" ref="G6">MATCH(MAX(ABS(G3:G5)), ABS(G3:G5), 0)</f>
        <v>1</v>
      </c>
      <c r="H6" s="7">
        <f t="array" ref="H6">MATCH(MAX(ABS(H3:H5)), ABS(H3:H5), 0)</f>
        <v>1</v>
      </c>
      <c r="I6" s="7">
        <f t="array" ref="I6">MATCH(MAX(ABS(I3:I5)), ABS(I3:I5), 0)</f>
        <v>1</v>
      </c>
      <c r="J6" s="7">
        <f t="array" ref="J6">MATCH(MAX(ABS(J3:J5)), ABS(J3:J5), 0)</f>
        <v>2</v>
      </c>
      <c r="K6" s="7">
        <f t="array" ref="K6">MATCH(MAX(ABS(K3:K5)), ABS(K3:K5), 0)</f>
        <v>1</v>
      </c>
      <c r="L6" s="7">
        <f t="array" ref="L6">MATCH(MAX(ABS(L3:L5)), ABS(L3:L5), 0)</f>
        <v>1</v>
      </c>
      <c r="M6" s="7">
        <f t="array" ref="M6">MATCH(MAX(ABS(M3:M5)), ABS(M3:M5), 0)</f>
        <v>3</v>
      </c>
      <c r="N6" s="7">
        <f t="array" ref="N6">MATCH(MAX(ABS(N3:N5)), ABS(N3:N5), 0)</f>
        <v>1</v>
      </c>
      <c r="O6" s="7">
        <f t="array" ref="O6">MATCH(MAX(ABS(O3:O5)), ABS(O3:O5), 0)</f>
        <v>2</v>
      </c>
      <c r="P6" s="7">
        <f t="array" ref="P6">MATCH(MAX(ABS(P3:P5)), ABS(P3:P5), 0)</f>
        <v>3</v>
      </c>
      <c r="Q6" s="7">
        <f t="array" ref="Q6">MATCH(MAX(ABS(Q3:Q5)), ABS(Q3:Q5), 0)</f>
        <v>1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2</v>
      </c>
      <c r="U6" s="7">
        <f t="array" ref="U6">MATCH(MAX(ABS(U3:U5)), ABS(U3:U5), 0)</f>
        <v>1</v>
      </c>
      <c r="V6" s="7">
        <f t="array" ref="V6">MATCH(MAX(ABS(V3:V5)), ABS(V3:V5), 0)</f>
        <v>3</v>
      </c>
      <c r="W6" s="7">
        <f t="array" ref="W6">MATCH(MAX(ABS(W3:W5)), ABS(W3:W5), 0)</f>
        <v>3</v>
      </c>
      <c r="X6" s="7">
        <f t="array" ref="X6">MATCH(MAX(ABS(X3:X5)), ABS(X3:X5), 0)</f>
        <v>2</v>
      </c>
      <c r="Y6" s="7">
        <f t="array" ref="Y6">MATCH(MAX(ABS(Y3:Y5)), ABS(Y3:Y5), 0)</f>
        <v>3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2</v>
      </c>
      <c r="AC6" s="7">
        <f t="array" ref="AC6">MATCH(MAX(ABS(AC3:AC5)), ABS(AC3:AC5), 0)</f>
        <v>1</v>
      </c>
      <c r="AD6" s="7">
        <f t="array" ref="AD6">MATCH(MAX(ABS(AD3:AD5)), ABS(AD3:AD5), 0)</f>
        <v>2</v>
      </c>
      <c r="AE6" s="7">
        <f t="array" ref="AE6">MATCH(MAX(ABS(AE3:AE5)), ABS(AE3:AE5), 0)</f>
        <v>2</v>
      </c>
      <c r="AF6" s="7">
        <f t="array" ref="AF6">MATCH(MAX(ABS(AF3:AF5)), ABS(AF3:AF5), 0)</f>
        <v>3</v>
      </c>
      <c r="AG6" s="7">
        <f t="array" ref="AG6">MATCH(MAX(ABS(AG3:AG5)), ABS(AG3:AG5), 0)</f>
        <v>3</v>
      </c>
      <c r="AH6" s="7">
        <f t="array" ref="AH6">MATCH(MAX(ABS(AH3:AH5)), ABS(AH3:AH5), 0)</f>
        <v>2</v>
      </c>
      <c r="AI6" s="7">
        <f t="array" ref="AI6">MATCH(MAX(ABS(AI3:AI5)), ABS(AI3:AI5), 0)</f>
        <v>3</v>
      </c>
      <c r="AJ6" s="7">
        <f t="array" ref="AJ6">MATCH(MAX(ABS(AJ3:AJ5)), ABS(AJ3:AJ5), 0)</f>
        <v>2</v>
      </c>
      <c r="AK6" s="7">
        <f t="array" ref="AK6">MATCH(MAX(ABS(AK3:AK5)), ABS(AK3:AK5), 0)</f>
        <v>3</v>
      </c>
      <c r="AL6" s="7">
        <f t="array" ref="AL6">MATCH(MAX(ABS(AL3:AL5)), ABS(AL3:AL5), 0)</f>
        <v>3</v>
      </c>
      <c r="AM6" s="7">
        <f t="array" ref="AM6">MATCH(MAX(ABS(AM3:AM5)), ABS(AM3:AM5), 0)</f>
        <v>3</v>
      </c>
      <c r="AN6" s="7">
        <f t="array" ref="AN6">MATCH(MAX(ABS(AN3:AN5)), ABS(AN3:AN5), 0)</f>
        <v>2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2</v>
      </c>
      <c r="AS6" s="7">
        <f t="array" ref="AS6">MATCH(MAX(ABS(AS3:AS5)), ABS(AS3:AS5), 0)</f>
        <v>3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3</v>
      </c>
      <c r="AY6" s="7">
        <f t="array" ref="AY6">MATCH(MAX(ABS(AY3:AY5)), ABS(AY3:AY5), 0)</f>
        <v>3</v>
      </c>
      <c r="AZ6" s="7">
        <f t="array" ref="AZ6">MATCH(MAX(ABS(AZ3:AZ5)), ABS(AZ3:AZ5), 0)</f>
        <v>1</v>
      </c>
      <c r="BA6" s="7">
        <f t="array" ref="BA6">MATCH(MAX(ABS(BA3:BA5)), ABS(BA3:BA5), 0)</f>
        <v>1</v>
      </c>
      <c r="BB6" s="7">
        <f t="array" ref="BB6">MATCH(MAX(ABS(BB3:BB5)), ABS(BB3:BB5), 0)</f>
        <v>2</v>
      </c>
      <c r="BC6" s="7">
        <f t="array" ref="BC6">MATCH(MAX(ABS(BC3:BC5)), ABS(BC3:BC5), 0)</f>
        <v>3</v>
      </c>
      <c r="BD6" s="7">
        <f t="array" ref="BD6">MATCH(MAX(ABS(BD3:BD5)), ABS(BD3:BD5), 0)</f>
        <v>1</v>
      </c>
      <c r="BE6" s="7">
        <f t="array" ref="BE6">MATCH(MAX(ABS(BE3:BE5)), ABS(BE3:BE5), 0)</f>
        <v>2</v>
      </c>
      <c r="BF6" s="7">
        <f t="array" ref="BF6">MATCH(MAX(ABS(BF3:BF5)), ABS(BF3:BF5), 0)</f>
        <v>2</v>
      </c>
      <c r="BG6" s="7">
        <f t="array" ref="BG6">MATCH(MAX(ABS(BG3:BG5)), ABS(BG3:BG5), 0)</f>
        <v>2</v>
      </c>
      <c r="BH6" s="7">
        <f t="array" ref="BH6">MATCH(MAX(ABS(BH3:BH5)), ABS(BH3:BH5), 0)</f>
        <v>2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2</v>
      </c>
      <c r="BL6" s="7">
        <f t="array" ref="BL6">MATCH(MAX(ABS(BL3:BL5)), ABS(BL3:BL5), 0)</f>
        <v>2</v>
      </c>
      <c r="BM6" s="7">
        <f t="array" ref="BM6">MATCH(MAX(ABS(BM3:BM5)), ABS(BM3:BM5), 0)</f>
        <v>2</v>
      </c>
      <c r="BN6" s="7">
        <f t="array" ref="BN6">MATCH(MAX(ABS(BN3:BN5)), ABS(BN3:BN5), 0)</f>
        <v>2</v>
      </c>
      <c r="BO6" s="7">
        <f t="array" ref="BO6">MATCH(MAX(ABS(BO3:BO5)), ABS(BO3:BO5), 0)</f>
        <v>2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3</v>
      </c>
      <c r="BS6" s="7">
        <f t="array" ref="BS6">MATCH(MAX(ABS(BS3:BS5)), ABS(BS3:BS5), 0)</f>
        <v>1</v>
      </c>
      <c r="BT6" s="7">
        <f t="array" ref="BT6">MATCH(MAX(ABS(BT3:BT5)), ABS(BT3:BT5), 0)</f>
        <v>2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2</v>
      </c>
      <c r="BZ6" s="7">
        <f t="array" ref="BZ6">MATCH(MAX(ABS(BZ3:BZ5)), ABS(BZ3:BZ5), 0)</f>
        <v>1</v>
      </c>
      <c r="CA6" s="7">
        <f t="array" ref="CA6">MATCH(MAX(ABS(CA3:CA5)), ABS(CA3:CA5), 0)</f>
        <v>2</v>
      </c>
      <c r="CB6" s="7">
        <f t="array" ref="CB6">MATCH(MAX(ABS(CB3:CB5)), ABS(CB3:CB5), 0)</f>
        <v>2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3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2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3</v>
      </c>
      <c r="CN6" s="7">
        <f t="array" ref="CN6">MATCH(MAX(ABS(CN3:CN5)), ABS(CN3:CN5), 0)</f>
        <v>3</v>
      </c>
      <c r="CO6" s="7">
        <f t="array" ref="CO6">MATCH(MAX(ABS(CO3:CO5)), ABS(CO3:CO5), 0)</f>
        <v>3</v>
      </c>
      <c r="CP6" s="7">
        <f t="array" ref="CP6">MATCH(MAX(ABS(CP3:CP5)), ABS(CP3:CP5), 0)</f>
        <v>1</v>
      </c>
      <c r="CQ6" s="7">
        <f t="array" ref="CQ6">MATCH(MAX(ABS(CQ3:CQ5)), ABS(CQ3:CQ5), 0)</f>
        <v>1</v>
      </c>
      <c r="CR6" s="7">
        <f t="array" ref="CR6">MATCH(MAX(ABS(CR3:CR5)), ABS(CR3:CR5), 0)</f>
        <v>1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2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3</v>
      </c>
      <c r="DD6" s="7">
        <f t="array" ref="DD6">MATCH(MAX(ABS(DD3:DD5)), ABS(DD3:DD5), 0)</f>
        <v>1</v>
      </c>
      <c r="DE6" s="7">
        <f t="array" ref="DE6">MATCH(MAX(ABS(DE3:DE5)), ABS(DE3:DE5), 0)</f>
        <v>3</v>
      </c>
      <c r="DF6" s="7">
        <f t="array" ref="DF6">MATCH(MAX(ABS(DF3:DF5)), ABS(DF3:DF5), 0)</f>
        <v>2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3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3</v>
      </c>
      <c r="DM6" s="7">
        <f t="array" ref="DM6">MATCH(MAX(ABS(DM3:DM5)), ABS(DM3:DM5), 0)</f>
        <v>1</v>
      </c>
      <c r="DN6" s="7">
        <f t="array" ref="DN6">MATCH(MAX(ABS(DN3:DN5)), ABS(DN3:DN5), 0)</f>
        <v>2</v>
      </c>
      <c r="DO6" s="7">
        <f t="array" ref="DO6">MATCH(MAX(ABS(DO3:DO5)), ABS(DO3:DO5), 0)</f>
        <v>2</v>
      </c>
      <c r="DP6" s="7">
        <f t="array" ref="DP6">MATCH(MAX(ABS(DP3:DP5)), ABS(DP3:DP5), 0)</f>
        <v>2</v>
      </c>
      <c r="DQ6" s="7">
        <f t="array" ref="DQ6">MATCH(MAX(ABS(DQ3:DQ5)), ABS(DQ3:DQ5), 0)</f>
        <v>2</v>
      </c>
      <c r="DR6" s="7">
        <f t="array" ref="DR6">MATCH(MAX(ABS(DR3:DR5)), ABS(DR3:DR5), 0)</f>
        <v>2</v>
      </c>
      <c r="DS6" s="7">
        <f t="array" ref="DS6">MATCH(MAX(ABS(DS3:DS5)), ABS(DS3:DS5), 0)</f>
        <v>2</v>
      </c>
      <c r="DT6" s="7">
        <f t="array" ref="DT6">MATCH(MAX(ABS(DT3:DT5)), ABS(DT3:DT5), 0)</f>
        <v>1</v>
      </c>
      <c r="DU6" s="7">
        <f t="array" ref="DU6">MATCH(MAX(ABS(DU3:DU5)), ABS(DU3:DU5), 0)</f>
        <v>1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2</v>
      </c>
      <c r="EC6" s="7">
        <f t="array" ref="EC6">MATCH(MAX(ABS(EC3:EC5)), ABS(EC3:EC5), 0)</f>
        <v>3</v>
      </c>
      <c r="ED6" s="7">
        <f t="array" ref="ED6">MATCH(MAX(ABS(ED3:ED5)), ABS(ED3:ED5), 0)</f>
        <v>1</v>
      </c>
      <c r="EE6" s="7">
        <f t="array" ref="EE6">MATCH(MAX(ABS(EE3:EE5)), ABS(EE3:EE5), 0)</f>
        <v>2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9" x14ac:dyDescent="0.3">
      <c r="C7" s="7" t="str">
        <f t="shared" ref="C7:BN7" si="0">IF(C6=1,"bm",IF(C6=2,"size",IF(C6=3,"mom")))</f>
        <v>bm</v>
      </c>
      <c r="D7" s="7" t="str">
        <f t="shared" si="0"/>
        <v>size</v>
      </c>
      <c r="E7" s="7" t="str">
        <f t="shared" si="0"/>
        <v>bm</v>
      </c>
      <c r="F7" s="7" t="str">
        <f t="shared" si="0"/>
        <v>bm</v>
      </c>
      <c r="G7" s="7" t="str">
        <f t="shared" si="0"/>
        <v>bm</v>
      </c>
      <c r="H7" s="7" t="str">
        <f t="shared" si="0"/>
        <v>bm</v>
      </c>
      <c r="I7" s="7" t="str">
        <f t="shared" si="0"/>
        <v>bm</v>
      </c>
      <c r="J7" s="7" t="str">
        <f t="shared" si="0"/>
        <v>size</v>
      </c>
      <c r="K7" s="7" t="str">
        <f t="shared" si="0"/>
        <v>bm</v>
      </c>
      <c r="L7" s="7" t="str">
        <f t="shared" si="0"/>
        <v>bm</v>
      </c>
      <c r="M7" s="7" t="str">
        <f t="shared" si="0"/>
        <v>mom</v>
      </c>
      <c r="N7" s="7" t="str">
        <f t="shared" si="0"/>
        <v>bm</v>
      </c>
      <c r="O7" s="7" t="str">
        <f t="shared" si="0"/>
        <v>size</v>
      </c>
      <c r="P7" s="7" t="str">
        <f t="shared" si="0"/>
        <v>mom</v>
      </c>
      <c r="Q7" s="7" t="str">
        <f t="shared" si="0"/>
        <v>bm</v>
      </c>
      <c r="R7" s="7" t="str">
        <f t="shared" si="0"/>
        <v>size</v>
      </c>
      <c r="S7" s="7" t="str">
        <f t="shared" si="0"/>
        <v>size</v>
      </c>
      <c r="T7" s="7" t="str">
        <f t="shared" si="0"/>
        <v>size</v>
      </c>
      <c r="U7" s="7" t="str">
        <f t="shared" si="0"/>
        <v>bm</v>
      </c>
      <c r="V7" s="7" t="str">
        <f t="shared" si="0"/>
        <v>mom</v>
      </c>
      <c r="W7" s="7" t="str">
        <f t="shared" si="0"/>
        <v>mom</v>
      </c>
      <c r="X7" s="7" t="str">
        <f t="shared" si="0"/>
        <v>size</v>
      </c>
      <c r="Y7" s="7" t="str">
        <f t="shared" si="0"/>
        <v>mom</v>
      </c>
      <c r="Z7" s="7" t="str">
        <f t="shared" si="0"/>
        <v>size</v>
      </c>
      <c r="AA7" s="7" t="str">
        <f t="shared" si="0"/>
        <v>size</v>
      </c>
      <c r="AB7" s="7" t="str">
        <f t="shared" si="0"/>
        <v>size</v>
      </c>
      <c r="AC7" s="7" t="str">
        <f t="shared" si="0"/>
        <v>bm</v>
      </c>
      <c r="AD7" s="7" t="str">
        <f t="shared" si="0"/>
        <v>size</v>
      </c>
      <c r="AE7" s="7" t="str">
        <f t="shared" si="0"/>
        <v>size</v>
      </c>
      <c r="AF7" s="7" t="str">
        <f t="shared" si="0"/>
        <v>mom</v>
      </c>
      <c r="AG7" s="7" t="str">
        <f t="shared" si="0"/>
        <v>mom</v>
      </c>
      <c r="AH7" s="7" t="str">
        <f t="shared" si="0"/>
        <v>size</v>
      </c>
      <c r="AI7" s="7" t="str">
        <f t="shared" si="0"/>
        <v>mom</v>
      </c>
      <c r="AJ7" s="7" t="str">
        <f t="shared" si="0"/>
        <v>size</v>
      </c>
      <c r="AK7" s="7" t="str">
        <f t="shared" si="0"/>
        <v>mom</v>
      </c>
      <c r="AL7" s="7" t="str">
        <f t="shared" si="0"/>
        <v>mom</v>
      </c>
      <c r="AM7" s="7" t="str">
        <f t="shared" si="0"/>
        <v>mom</v>
      </c>
      <c r="AN7" s="7" t="str">
        <f t="shared" si="0"/>
        <v>size</v>
      </c>
      <c r="AO7" s="7" t="str">
        <f t="shared" si="0"/>
        <v>bm</v>
      </c>
      <c r="AP7" s="7" t="str">
        <f t="shared" si="0"/>
        <v>bm</v>
      </c>
      <c r="AQ7" s="7" t="str">
        <f t="shared" si="0"/>
        <v>bm</v>
      </c>
      <c r="AR7" s="7" t="str">
        <f t="shared" si="0"/>
        <v>size</v>
      </c>
      <c r="AS7" s="7" t="str">
        <f t="shared" si="0"/>
        <v>mom</v>
      </c>
      <c r="AT7" s="7" t="str">
        <f t="shared" si="0"/>
        <v>bm</v>
      </c>
      <c r="AU7" s="7" t="str">
        <f t="shared" si="0"/>
        <v>bm</v>
      </c>
      <c r="AV7" s="7" t="str">
        <f t="shared" si="0"/>
        <v>bm</v>
      </c>
      <c r="AW7" s="7" t="str">
        <f t="shared" si="0"/>
        <v>bm</v>
      </c>
      <c r="AX7" s="7" t="str">
        <f t="shared" si="0"/>
        <v>mom</v>
      </c>
      <c r="AY7" s="7" t="str">
        <f t="shared" si="0"/>
        <v>mom</v>
      </c>
      <c r="AZ7" s="7" t="str">
        <f t="shared" si="0"/>
        <v>bm</v>
      </c>
      <c r="BA7" s="7" t="str">
        <f t="shared" si="0"/>
        <v>bm</v>
      </c>
      <c r="BB7" s="7" t="str">
        <f t="shared" si="0"/>
        <v>size</v>
      </c>
      <c r="BC7" s="7" t="str">
        <f t="shared" si="0"/>
        <v>mom</v>
      </c>
      <c r="BD7" s="7" t="str">
        <f t="shared" si="0"/>
        <v>bm</v>
      </c>
      <c r="BE7" s="7" t="str">
        <f t="shared" si="0"/>
        <v>size</v>
      </c>
      <c r="BF7" s="7" t="str">
        <f t="shared" si="0"/>
        <v>size</v>
      </c>
      <c r="BG7" s="7" t="str">
        <f t="shared" si="0"/>
        <v>size</v>
      </c>
      <c r="BH7" s="7" t="str">
        <f t="shared" si="0"/>
        <v>size</v>
      </c>
      <c r="BI7" s="7" t="str">
        <f t="shared" si="0"/>
        <v>bm</v>
      </c>
      <c r="BJ7" s="7" t="str">
        <f t="shared" si="0"/>
        <v>bm</v>
      </c>
      <c r="BK7" s="7" t="str">
        <f t="shared" si="0"/>
        <v>size</v>
      </c>
      <c r="BL7" s="7" t="str">
        <f t="shared" si="0"/>
        <v>size</v>
      </c>
      <c r="BM7" s="7" t="str">
        <f t="shared" si="0"/>
        <v>size</v>
      </c>
      <c r="BN7" s="7" t="str">
        <f t="shared" si="0"/>
        <v>size</v>
      </c>
      <c r="BO7" s="7" t="str">
        <f t="shared" ref="BO7:DZ7" si="1">IF(BO6=1,"bm",IF(BO6=2,"size",IF(BO6=3,"mom")))</f>
        <v>size</v>
      </c>
      <c r="BP7" s="7" t="str">
        <f t="shared" si="1"/>
        <v>bm</v>
      </c>
      <c r="BQ7" s="7" t="str">
        <f t="shared" si="1"/>
        <v>bm</v>
      </c>
      <c r="BR7" s="7" t="str">
        <f t="shared" si="1"/>
        <v>mom</v>
      </c>
      <c r="BS7" s="7" t="str">
        <f t="shared" si="1"/>
        <v>bm</v>
      </c>
      <c r="BT7" s="7" t="str">
        <f t="shared" si="1"/>
        <v>size</v>
      </c>
      <c r="BU7" s="7" t="str">
        <f t="shared" si="1"/>
        <v>bm</v>
      </c>
      <c r="BV7" s="7" t="str">
        <f t="shared" si="1"/>
        <v>bm</v>
      </c>
      <c r="BW7" s="7" t="str">
        <f t="shared" si="1"/>
        <v>bm</v>
      </c>
      <c r="BX7" s="7" t="str">
        <f t="shared" si="1"/>
        <v>bm</v>
      </c>
      <c r="BY7" s="7" t="str">
        <f t="shared" si="1"/>
        <v>size</v>
      </c>
      <c r="BZ7" s="7" t="str">
        <f t="shared" si="1"/>
        <v>bm</v>
      </c>
      <c r="CA7" s="7" t="str">
        <f t="shared" si="1"/>
        <v>size</v>
      </c>
      <c r="CB7" s="7" t="str">
        <f t="shared" si="1"/>
        <v>size</v>
      </c>
      <c r="CC7" s="7" t="str">
        <f t="shared" si="1"/>
        <v>size</v>
      </c>
      <c r="CD7" s="7" t="str">
        <f t="shared" si="1"/>
        <v>size</v>
      </c>
      <c r="CE7" s="7" t="str">
        <f t="shared" si="1"/>
        <v>size</v>
      </c>
      <c r="CF7" s="7" t="str">
        <f t="shared" si="1"/>
        <v>mom</v>
      </c>
      <c r="CG7" s="7" t="str">
        <f t="shared" si="1"/>
        <v>size</v>
      </c>
      <c r="CH7" s="7" t="str">
        <f t="shared" si="1"/>
        <v>bm</v>
      </c>
      <c r="CI7" s="7" t="str">
        <f t="shared" si="1"/>
        <v>size</v>
      </c>
      <c r="CJ7" s="7" t="str">
        <f t="shared" si="1"/>
        <v>bm</v>
      </c>
      <c r="CK7" s="7" t="str">
        <f t="shared" si="1"/>
        <v>bm</v>
      </c>
      <c r="CL7" s="7" t="str">
        <f t="shared" si="1"/>
        <v>bm</v>
      </c>
      <c r="CM7" s="7" t="str">
        <f t="shared" si="1"/>
        <v>mom</v>
      </c>
      <c r="CN7" s="7" t="str">
        <f t="shared" si="1"/>
        <v>mom</v>
      </c>
      <c r="CO7" s="7" t="str">
        <f t="shared" si="1"/>
        <v>mom</v>
      </c>
      <c r="CP7" s="7" t="str">
        <f t="shared" si="1"/>
        <v>bm</v>
      </c>
      <c r="CQ7" s="7" t="str">
        <f t="shared" si="1"/>
        <v>bm</v>
      </c>
      <c r="CR7" s="7" t="str">
        <f t="shared" si="1"/>
        <v>bm</v>
      </c>
      <c r="CS7" s="7" t="str">
        <f t="shared" si="1"/>
        <v>size</v>
      </c>
      <c r="CT7" s="7" t="str">
        <f t="shared" si="1"/>
        <v>bm</v>
      </c>
      <c r="CU7" s="7" t="str">
        <f t="shared" si="1"/>
        <v>bm</v>
      </c>
      <c r="CV7" s="7" t="str">
        <f t="shared" si="1"/>
        <v>bm</v>
      </c>
      <c r="CW7" s="7" t="str">
        <f t="shared" si="1"/>
        <v>bm</v>
      </c>
      <c r="CX7" s="7" t="str">
        <f t="shared" si="1"/>
        <v>size</v>
      </c>
      <c r="CY7" s="7" t="str">
        <f t="shared" si="1"/>
        <v>bm</v>
      </c>
      <c r="CZ7" s="7" t="str">
        <f t="shared" si="1"/>
        <v>bm</v>
      </c>
      <c r="DA7" s="7" t="str">
        <f t="shared" si="1"/>
        <v>bm</v>
      </c>
      <c r="DB7" s="7" t="str">
        <f t="shared" si="1"/>
        <v>bm</v>
      </c>
      <c r="DC7" s="7" t="str">
        <f t="shared" si="1"/>
        <v>mom</v>
      </c>
      <c r="DD7" s="7" t="str">
        <f t="shared" si="1"/>
        <v>bm</v>
      </c>
      <c r="DE7" s="7" t="str">
        <f t="shared" si="1"/>
        <v>mom</v>
      </c>
      <c r="DF7" s="7" t="str">
        <f t="shared" si="1"/>
        <v>size</v>
      </c>
      <c r="DG7" s="7" t="str">
        <f t="shared" si="1"/>
        <v>bm</v>
      </c>
      <c r="DH7" s="7" t="str">
        <f t="shared" si="1"/>
        <v>bm</v>
      </c>
      <c r="DI7" s="7" t="str">
        <f t="shared" si="1"/>
        <v>mom</v>
      </c>
      <c r="DJ7" s="7" t="str">
        <f t="shared" si="1"/>
        <v>size</v>
      </c>
      <c r="DK7" s="7" t="str">
        <f t="shared" si="1"/>
        <v>bm</v>
      </c>
      <c r="DL7" s="7" t="str">
        <f t="shared" si="1"/>
        <v>mom</v>
      </c>
      <c r="DM7" s="7" t="str">
        <f t="shared" si="1"/>
        <v>bm</v>
      </c>
      <c r="DN7" s="7" t="str">
        <f t="shared" si="1"/>
        <v>size</v>
      </c>
      <c r="DO7" s="7" t="str">
        <f t="shared" si="1"/>
        <v>size</v>
      </c>
      <c r="DP7" s="7" t="str">
        <f t="shared" si="1"/>
        <v>size</v>
      </c>
      <c r="DQ7" s="7" t="str">
        <f t="shared" si="1"/>
        <v>size</v>
      </c>
      <c r="DR7" s="7" t="str">
        <f t="shared" si="1"/>
        <v>size</v>
      </c>
      <c r="DS7" s="7" t="str">
        <f t="shared" si="1"/>
        <v>size</v>
      </c>
      <c r="DT7" s="7" t="str">
        <f t="shared" si="1"/>
        <v>bm</v>
      </c>
      <c r="DU7" s="7" t="str">
        <f t="shared" si="1"/>
        <v>bm</v>
      </c>
      <c r="DV7" s="7" t="str">
        <f t="shared" si="1"/>
        <v>bm</v>
      </c>
      <c r="DW7" s="7" t="str">
        <f t="shared" si="1"/>
        <v>bm</v>
      </c>
      <c r="DX7" s="7" t="str">
        <f t="shared" si="1"/>
        <v>mom</v>
      </c>
      <c r="DY7" s="7" t="str">
        <f t="shared" si="1"/>
        <v>mom</v>
      </c>
      <c r="DZ7" s="7" t="str">
        <f t="shared" si="1"/>
        <v>mom</v>
      </c>
      <c r="EA7" s="7" t="str">
        <f t="shared" ref="EA7:EG7" si="2">IF(EA6=1,"bm",IF(EA6=2,"size",IF(EA6=3,"mom")))</f>
        <v>size</v>
      </c>
      <c r="EB7" s="7" t="str">
        <f t="shared" si="2"/>
        <v>size</v>
      </c>
      <c r="EC7" s="7" t="str">
        <f t="shared" si="2"/>
        <v>mom</v>
      </c>
      <c r="ED7" s="7" t="str">
        <f t="shared" si="2"/>
        <v>bm</v>
      </c>
      <c r="EE7" s="7" t="str">
        <f t="shared" si="2"/>
        <v>size</v>
      </c>
      <c r="EF7" s="7" t="str">
        <f t="shared" si="2"/>
        <v>bm</v>
      </c>
      <c r="EG7" s="1" t="str">
        <f t="shared" si="2"/>
        <v>bm</v>
      </c>
    </row>
    <row r="8" spans="1:139" x14ac:dyDescent="0.3">
      <c r="C8" s="7">
        <f t="shared" ref="C8:BN8" si="3">IF(C6=1,C3,IF(C6=2,C4,IF(C6=3,C5)))</f>
        <v>4.0547288954257972E-2</v>
      </c>
      <c r="D8" s="7">
        <f t="shared" si="3"/>
        <v>-4.8252779990434647E-2</v>
      </c>
      <c r="E8" s="7">
        <f t="shared" si="3"/>
        <v>-5.1652342081069953E-2</v>
      </c>
      <c r="F8" s="7">
        <f t="shared" si="3"/>
        <v>-5.4286114871501923E-2</v>
      </c>
      <c r="G8" s="7">
        <f t="shared" si="3"/>
        <v>-5.7552006095647812E-2</v>
      </c>
      <c r="H8" s="7">
        <f t="shared" si="3"/>
        <v>-7.6259449124336243E-2</v>
      </c>
      <c r="I8" s="7">
        <f t="shared" si="3"/>
        <v>-0.107886478304863</v>
      </c>
      <c r="J8" s="7">
        <f t="shared" si="3"/>
        <v>-3.2917611300945282E-2</v>
      </c>
      <c r="K8" s="7">
        <f t="shared" si="3"/>
        <v>-5.9229228645563133E-2</v>
      </c>
      <c r="L8" s="7">
        <f t="shared" si="3"/>
        <v>-0.1078036949038506</v>
      </c>
      <c r="M8" s="7">
        <f t="shared" si="3"/>
        <v>3.4981705248355872E-2</v>
      </c>
      <c r="N8" s="7">
        <f t="shared" si="3"/>
        <v>-0.1346741318702698</v>
      </c>
      <c r="O8" s="7">
        <f t="shared" si="3"/>
        <v>-6.7216232419013977E-2</v>
      </c>
      <c r="P8" s="7">
        <f t="shared" si="3"/>
        <v>9.211605042219162E-2</v>
      </c>
      <c r="Q8" s="7">
        <f t="shared" si="3"/>
        <v>-8.6447760462760925E-2</v>
      </c>
      <c r="R8" s="7">
        <f t="shared" si="3"/>
        <v>-7.7407129108905792E-2</v>
      </c>
      <c r="S8" s="7">
        <f t="shared" si="3"/>
        <v>-8.372652530670166E-2</v>
      </c>
      <c r="T8" s="7">
        <f t="shared" si="3"/>
        <v>-5.9324655681848533E-2</v>
      </c>
      <c r="U8" s="7">
        <f t="shared" si="3"/>
        <v>-0.10543976724147799</v>
      </c>
      <c r="V8" s="7">
        <f t="shared" si="3"/>
        <v>6.5072879195213318E-2</v>
      </c>
      <c r="W8" s="7">
        <f t="shared" si="3"/>
        <v>8.2305394113063812E-2</v>
      </c>
      <c r="X8" s="7">
        <f t="shared" si="3"/>
        <v>-9.8803862929344177E-2</v>
      </c>
      <c r="Y8" s="7">
        <f t="shared" si="3"/>
        <v>0.16213490068912509</v>
      </c>
      <c r="Z8" s="7">
        <f t="shared" si="3"/>
        <v>-6.800408661365509E-2</v>
      </c>
      <c r="AA8" s="7">
        <f t="shared" si="3"/>
        <v>-8.6181230843067169E-2</v>
      </c>
      <c r="AB8" s="7">
        <f t="shared" si="3"/>
        <v>-8.889392763376236E-2</v>
      </c>
      <c r="AC8" s="7">
        <f t="shared" si="3"/>
        <v>2.934014052152634E-2</v>
      </c>
      <c r="AD8" s="7">
        <f t="shared" si="3"/>
        <v>6.3448823988437653E-2</v>
      </c>
      <c r="AE8" s="7">
        <f t="shared" si="3"/>
        <v>-5.9580553323030472E-2</v>
      </c>
      <c r="AF8" s="7">
        <f t="shared" si="3"/>
        <v>6.4355872571468353E-2</v>
      </c>
      <c r="AG8" s="7">
        <f t="shared" si="3"/>
        <v>6.0781430453062057E-2</v>
      </c>
      <c r="AH8" s="7">
        <f t="shared" si="3"/>
        <v>2.907080203294754E-2</v>
      </c>
      <c r="AI8" s="7">
        <f t="shared" si="3"/>
        <v>4.2393732815980911E-2</v>
      </c>
      <c r="AJ8" s="7">
        <f t="shared" si="3"/>
        <v>4.4545106589794159E-2</v>
      </c>
      <c r="AK8" s="7">
        <f t="shared" si="3"/>
        <v>0.104340173304081</v>
      </c>
      <c r="AL8" s="7">
        <f t="shared" si="3"/>
        <v>2.3477694019675251E-2</v>
      </c>
      <c r="AM8" s="7">
        <f t="shared" si="3"/>
        <v>4.9679871648550027E-2</v>
      </c>
      <c r="AN8" s="7">
        <f t="shared" si="3"/>
        <v>4.7137059271335602E-2</v>
      </c>
      <c r="AO8" s="7">
        <f t="shared" si="3"/>
        <v>-2.9745671898126599E-2</v>
      </c>
      <c r="AP8" s="7">
        <f t="shared" si="3"/>
        <v>-2.683783695101738E-2</v>
      </c>
      <c r="AQ8" s="7">
        <f t="shared" si="3"/>
        <v>-2.169711887836456E-2</v>
      </c>
      <c r="AR8" s="7">
        <f t="shared" si="3"/>
        <v>5.4104723036289222E-2</v>
      </c>
      <c r="AS8" s="7">
        <f t="shared" si="3"/>
        <v>-2.6926254853606221E-2</v>
      </c>
      <c r="AT8" s="7">
        <f t="shared" si="3"/>
        <v>6.6039755940437317E-2</v>
      </c>
      <c r="AU8" s="7">
        <f t="shared" si="3"/>
        <v>6.2266789376735687E-2</v>
      </c>
      <c r="AV8" s="7">
        <f t="shared" si="3"/>
        <v>5.7940512895584113E-2</v>
      </c>
      <c r="AW8" s="7">
        <f t="shared" si="3"/>
        <v>0.1063941121101379</v>
      </c>
      <c r="AX8" s="7">
        <f t="shared" si="3"/>
        <v>2.7402361854910851E-2</v>
      </c>
      <c r="AY8" s="7">
        <f t="shared" si="3"/>
        <v>3.636043518781662E-2</v>
      </c>
      <c r="AZ8" s="7">
        <f t="shared" si="3"/>
        <v>8.6036309599876404E-2</v>
      </c>
      <c r="BA8" s="7">
        <f t="shared" si="3"/>
        <v>0.10234846919775011</v>
      </c>
      <c r="BB8" s="7">
        <f t="shared" si="3"/>
        <v>-7.6676465570926666E-2</v>
      </c>
      <c r="BC8" s="7">
        <f t="shared" si="3"/>
        <v>5.3017329424619668E-2</v>
      </c>
      <c r="BD8" s="7">
        <f t="shared" si="3"/>
        <v>7.7497914433479309E-2</v>
      </c>
      <c r="BE8" s="7">
        <f t="shared" si="3"/>
        <v>-6.8554230034351349E-2</v>
      </c>
      <c r="BF8" s="7">
        <f t="shared" si="3"/>
        <v>-8.2745306193828583E-2</v>
      </c>
      <c r="BG8" s="7">
        <f t="shared" si="3"/>
        <v>-0.1204242408275604</v>
      </c>
      <c r="BH8" s="7">
        <f t="shared" si="3"/>
        <v>-0.10103762894868849</v>
      </c>
      <c r="BI8" s="7">
        <f t="shared" si="3"/>
        <v>5.5158428847789757E-2</v>
      </c>
      <c r="BJ8" s="7">
        <f t="shared" si="3"/>
        <v>8.664897084236145E-2</v>
      </c>
      <c r="BK8" s="7">
        <f t="shared" si="3"/>
        <v>-0.14447127282619479</v>
      </c>
      <c r="BL8" s="7">
        <f t="shared" si="3"/>
        <v>-0.1120113208889961</v>
      </c>
      <c r="BM8" s="7">
        <f t="shared" si="3"/>
        <v>-3.4826010465621948E-2</v>
      </c>
      <c r="BN8" s="7">
        <f t="shared" si="3"/>
        <v>-8.5986465215682983E-2</v>
      </c>
      <c r="BO8" s="7">
        <f t="shared" ref="BO8:DZ8" si="4">IF(BO6=1,BO3,IF(BO6=2,BO4,IF(BO6=3,BO5)))</f>
        <v>-7.0973977446556091E-2</v>
      </c>
      <c r="BP8" s="7">
        <f t="shared" si="4"/>
        <v>8.6037963628768921E-2</v>
      </c>
      <c r="BQ8" s="7">
        <f t="shared" si="4"/>
        <v>0.144142210483551</v>
      </c>
      <c r="BR8" s="7">
        <f t="shared" si="4"/>
        <v>3.9869185537099838E-2</v>
      </c>
      <c r="BS8" s="7">
        <f t="shared" si="4"/>
        <v>8.1880234181880951E-2</v>
      </c>
      <c r="BT8" s="7">
        <f t="shared" si="4"/>
        <v>-6.8826571106910706E-2</v>
      </c>
      <c r="BU8" s="7">
        <f t="shared" si="4"/>
        <v>0.10545723885297779</v>
      </c>
      <c r="BV8" s="7">
        <f t="shared" si="4"/>
        <v>0.1175376549363136</v>
      </c>
      <c r="BW8" s="7">
        <f t="shared" si="4"/>
        <v>9.2942401766777039E-2</v>
      </c>
      <c r="BX8" s="7">
        <f t="shared" si="4"/>
        <v>3.5637497901916497E-2</v>
      </c>
      <c r="BY8" s="7">
        <f t="shared" si="4"/>
        <v>-6.1186797916889191E-2</v>
      </c>
      <c r="BZ8" s="7">
        <f t="shared" si="4"/>
        <v>9.8455093801021576E-2</v>
      </c>
      <c r="CA8" s="7">
        <f t="shared" si="4"/>
        <v>-7.2609454393386841E-2</v>
      </c>
      <c r="CB8" s="7">
        <f t="shared" si="4"/>
        <v>-8.8862821459770203E-2</v>
      </c>
      <c r="CC8" s="7">
        <f t="shared" si="4"/>
        <v>-6.5672166645526886E-2</v>
      </c>
      <c r="CD8" s="7">
        <f t="shared" si="4"/>
        <v>-7.0492014288902283E-2</v>
      </c>
      <c r="CE8" s="7">
        <f t="shared" si="4"/>
        <v>-8.9266888797283173E-2</v>
      </c>
      <c r="CF8" s="7">
        <f t="shared" si="4"/>
        <v>2.643934823572636E-2</v>
      </c>
      <c r="CG8" s="7">
        <f t="shared" si="4"/>
        <v>-3.8807325065135963E-2</v>
      </c>
      <c r="CH8" s="7">
        <f t="shared" si="4"/>
        <v>5.8184977620840073E-2</v>
      </c>
      <c r="CI8" s="7">
        <f t="shared" si="4"/>
        <v>-2.3996761068701741E-2</v>
      </c>
      <c r="CJ8" s="7">
        <f t="shared" si="4"/>
        <v>-8.0891326069831848E-2</v>
      </c>
      <c r="CK8" s="7">
        <f t="shared" si="4"/>
        <v>7.3738843202590942E-2</v>
      </c>
      <c r="CL8" s="7">
        <f t="shared" si="4"/>
        <v>6.7692369222640991E-2</v>
      </c>
      <c r="CM8" s="7">
        <f t="shared" si="4"/>
        <v>-4.3408293277025223E-2</v>
      </c>
      <c r="CN8" s="7">
        <f t="shared" si="4"/>
        <v>-4.8494711518287659E-2</v>
      </c>
      <c r="CO8" s="7">
        <f t="shared" si="4"/>
        <v>-3.4412361681461327E-2</v>
      </c>
      <c r="CP8" s="7">
        <f t="shared" si="4"/>
        <v>-5.2108332514762878E-2</v>
      </c>
      <c r="CQ8" s="7">
        <f t="shared" si="4"/>
        <v>-7.2693914175033569E-2</v>
      </c>
      <c r="CR8" s="7">
        <f t="shared" si="4"/>
        <v>-6.0804408043622971E-2</v>
      </c>
      <c r="CS8" s="7">
        <f t="shared" si="4"/>
        <v>-3.7506073713302612E-2</v>
      </c>
      <c r="CT8" s="7">
        <f t="shared" si="4"/>
        <v>-6.339031457901001E-2</v>
      </c>
      <c r="CU8" s="7">
        <f t="shared" si="4"/>
        <v>-6.1079829931259162E-2</v>
      </c>
      <c r="CV8" s="7">
        <f t="shared" si="4"/>
        <v>-2.170033194124699E-2</v>
      </c>
      <c r="CW8" s="7">
        <f t="shared" si="4"/>
        <v>-6.0720678418874741E-2</v>
      </c>
      <c r="CX8" s="7">
        <f t="shared" si="4"/>
        <v>-7.7818602323532104E-2</v>
      </c>
      <c r="CY8" s="7">
        <f t="shared" si="4"/>
        <v>-4.5480586588382721E-2</v>
      </c>
      <c r="CZ8" s="7">
        <f t="shared" si="4"/>
        <v>-6.9138072431087494E-2</v>
      </c>
      <c r="DA8" s="7">
        <f t="shared" si="4"/>
        <v>-8.9778468012809753E-2</v>
      </c>
      <c r="DB8" s="7">
        <f t="shared" si="4"/>
        <v>-6.527487188577652E-2</v>
      </c>
      <c r="DC8" s="7">
        <f t="shared" si="4"/>
        <v>4.6531397849321372E-2</v>
      </c>
      <c r="DD8" s="7">
        <f t="shared" si="4"/>
        <v>-5.9340178966522217E-2</v>
      </c>
      <c r="DE8" s="7">
        <f t="shared" si="4"/>
        <v>6.0277972370386117E-2</v>
      </c>
      <c r="DF8" s="7">
        <f t="shared" si="4"/>
        <v>3.3347133547067642E-2</v>
      </c>
      <c r="DG8" s="7">
        <f t="shared" si="4"/>
        <v>-2.4713881313800808E-2</v>
      </c>
      <c r="DH8" s="7">
        <f t="shared" si="4"/>
        <v>-3.5376153886318207E-2</v>
      </c>
      <c r="DI8" s="7">
        <f t="shared" si="4"/>
        <v>-4.1918892413377762E-2</v>
      </c>
      <c r="DJ8" s="7">
        <f t="shared" si="4"/>
        <v>1.416372787207365E-2</v>
      </c>
      <c r="DK8" s="7">
        <f t="shared" si="4"/>
        <v>-4.8771854490041733E-2</v>
      </c>
      <c r="DL8" s="7">
        <f t="shared" si="4"/>
        <v>2.8391024097800251E-2</v>
      </c>
      <c r="DM8" s="7">
        <f t="shared" si="4"/>
        <v>-4.967803880572319E-2</v>
      </c>
      <c r="DN8" s="7">
        <f t="shared" si="4"/>
        <v>-1.9859654828906059E-2</v>
      </c>
      <c r="DO8" s="7">
        <f t="shared" si="4"/>
        <v>-3.856055811047554E-2</v>
      </c>
      <c r="DP8" s="7">
        <f t="shared" si="4"/>
        <v>5.259593203663826E-2</v>
      </c>
      <c r="DQ8" s="7">
        <f t="shared" si="4"/>
        <v>5.0834372639656067E-2</v>
      </c>
      <c r="DR8" s="7">
        <f t="shared" si="4"/>
        <v>3.4424390643835068E-2</v>
      </c>
      <c r="DS8" s="7">
        <f t="shared" si="4"/>
        <v>2.6739172637462619E-2</v>
      </c>
      <c r="DT8" s="7">
        <f t="shared" si="4"/>
        <v>-5.3663063794374473E-2</v>
      </c>
      <c r="DU8" s="7">
        <f t="shared" si="4"/>
        <v>-4.4161681085824973E-2</v>
      </c>
      <c r="DV8" s="7">
        <f t="shared" si="4"/>
        <v>-2.3813089355826381E-2</v>
      </c>
      <c r="DW8" s="7">
        <f t="shared" si="4"/>
        <v>2.5176366791129109E-2</v>
      </c>
      <c r="DX8" s="7">
        <f t="shared" si="4"/>
        <v>-4.4376425445079803E-2</v>
      </c>
      <c r="DY8" s="7">
        <f t="shared" si="4"/>
        <v>-3.3609867095947273E-2</v>
      </c>
      <c r="DZ8" s="7">
        <f t="shared" si="4"/>
        <v>-4.8759568482637412E-2</v>
      </c>
      <c r="EA8" s="7">
        <f t="shared" ref="EA8:EG8" si="5">IF(EA6=1,EA3,IF(EA6=2,EA4,IF(EA6=3,EA5)))</f>
        <v>2.0058911293745041E-2</v>
      </c>
      <c r="EB8" s="7">
        <f t="shared" si="5"/>
        <v>5.2505847066640847E-2</v>
      </c>
      <c r="EC8" s="7">
        <f t="shared" si="5"/>
        <v>4.229099303483963E-2</v>
      </c>
      <c r="ED8" s="7">
        <f t="shared" si="5"/>
        <v>-5.2812475711107247E-2</v>
      </c>
      <c r="EE8" s="7">
        <f t="shared" si="5"/>
        <v>1.6591379418969151E-2</v>
      </c>
      <c r="EF8" s="7">
        <f t="shared" si="5"/>
        <v>-6.9071874022483826E-2</v>
      </c>
      <c r="EG8" s="1">
        <f t="shared" si="5"/>
        <v>0</v>
      </c>
    </row>
    <row r="10" spans="1:139" x14ac:dyDescent="0.3">
      <c r="A10" s="10" t="s">
        <v>139</v>
      </c>
      <c r="B10" s="11"/>
      <c r="C10" s="1" t="s">
        <v>140</v>
      </c>
      <c r="D10" s="2">
        <v>964</v>
      </c>
    </row>
    <row r="11" spans="1:139" x14ac:dyDescent="0.3">
      <c r="A11" s="1" t="s">
        <v>141</v>
      </c>
      <c r="B11" s="1" t="s">
        <v>142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  <c r="P11" s="1" t="s">
        <v>15</v>
      </c>
      <c r="Q11" s="1" t="s">
        <v>16</v>
      </c>
      <c r="R11" s="1" t="s">
        <v>17</v>
      </c>
      <c r="S11" s="1" t="s">
        <v>18</v>
      </c>
      <c r="T11" s="1" t="s">
        <v>19</v>
      </c>
      <c r="U11" s="1" t="s">
        <v>20</v>
      </c>
      <c r="V11" s="1" t="s">
        <v>21</v>
      </c>
      <c r="W11" s="1" t="s">
        <v>22</v>
      </c>
      <c r="X11" s="1" t="s">
        <v>23</v>
      </c>
      <c r="Y11" s="1" t="s">
        <v>24</v>
      </c>
      <c r="Z11" s="1" t="s">
        <v>25</v>
      </c>
      <c r="AA11" s="1" t="s">
        <v>26</v>
      </c>
      <c r="AB11" s="1" t="s">
        <v>27</v>
      </c>
      <c r="AC11" s="1" t="s">
        <v>28</v>
      </c>
      <c r="AD11" s="1" t="s">
        <v>29</v>
      </c>
      <c r="AE11" s="1" t="s">
        <v>30</v>
      </c>
      <c r="AF11" s="1" t="s">
        <v>31</v>
      </c>
      <c r="AG11" s="1" t="s">
        <v>32</v>
      </c>
      <c r="AH11" s="1" t="s">
        <v>33</v>
      </c>
      <c r="AI11" s="1" t="s">
        <v>34</v>
      </c>
      <c r="AJ11" s="1" t="s">
        <v>35</v>
      </c>
      <c r="AK11" s="1" t="s">
        <v>36</v>
      </c>
      <c r="AL11" s="1" t="s">
        <v>37</v>
      </c>
      <c r="AM11" s="1" t="s">
        <v>38</v>
      </c>
      <c r="AN11" s="1" t="s">
        <v>39</v>
      </c>
      <c r="AO11" s="1" t="s">
        <v>40</v>
      </c>
      <c r="AP11" s="1" t="s">
        <v>41</v>
      </c>
      <c r="AQ11" s="1" t="s">
        <v>42</v>
      </c>
      <c r="AR11" s="1" t="s">
        <v>43</v>
      </c>
      <c r="AS11" s="1" t="s">
        <v>44</v>
      </c>
      <c r="AT11" s="1" t="s">
        <v>45</v>
      </c>
      <c r="AU11" s="1" t="s">
        <v>46</v>
      </c>
      <c r="AV11" s="1" t="s">
        <v>47</v>
      </c>
      <c r="AW11" s="1" t="s">
        <v>48</v>
      </c>
      <c r="AX11" s="1" t="s">
        <v>49</v>
      </c>
      <c r="AY11" s="1" t="s">
        <v>50</v>
      </c>
      <c r="AZ11" s="1" t="s">
        <v>51</v>
      </c>
      <c r="BA11" s="1" t="s">
        <v>52</v>
      </c>
      <c r="BB11" s="1" t="s">
        <v>53</v>
      </c>
      <c r="BC11" s="1" t="s">
        <v>54</v>
      </c>
      <c r="BD11" s="1" t="s">
        <v>55</v>
      </c>
      <c r="BE11" s="1" t="s">
        <v>56</v>
      </c>
      <c r="BF11" s="1" t="s">
        <v>57</v>
      </c>
      <c r="BG11" s="1" t="s">
        <v>58</v>
      </c>
      <c r="BH11" s="1" t="s">
        <v>59</v>
      </c>
      <c r="BI11" s="1" t="s">
        <v>60</v>
      </c>
      <c r="BJ11" s="1" t="s">
        <v>61</v>
      </c>
      <c r="BK11" s="1" t="s">
        <v>62</v>
      </c>
      <c r="BL11" s="1" t="s">
        <v>63</v>
      </c>
      <c r="BM11" s="1" t="s">
        <v>64</v>
      </c>
      <c r="BN11" s="1" t="s">
        <v>65</v>
      </c>
      <c r="BO11" s="1" t="s">
        <v>66</v>
      </c>
      <c r="BP11" s="1" t="s">
        <v>67</v>
      </c>
      <c r="BQ11" s="1" t="s">
        <v>68</v>
      </c>
      <c r="BR11" s="1" t="s">
        <v>69</v>
      </c>
      <c r="BS11" s="1" t="s">
        <v>70</v>
      </c>
      <c r="BT11" s="1" t="s">
        <v>71</v>
      </c>
      <c r="BU11" s="1" t="s">
        <v>72</v>
      </c>
      <c r="BV11" s="1" t="s">
        <v>73</v>
      </c>
      <c r="BW11" s="1" t="s">
        <v>74</v>
      </c>
      <c r="BX11" s="1" t="s">
        <v>75</v>
      </c>
      <c r="BY11" s="1" t="s">
        <v>76</v>
      </c>
      <c r="BZ11" s="1" t="s">
        <v>77</v>
      </c>
      <c r="CA11" s="1" t="s">
        <v>78</v>
      </c>
      <c r="CB11" s="1" t="s">
        <v>79</v>
      </c>
      <c r="CC11" s="1" t="s">
        <v>80</v>
      </c>
      <c r="CD11" s="1" t="s">
        <v>81</v>
      </c>
      <c r="CE11" s="1" t="s">
        <v>82</v>
      </c>
      <c r="CF11" s="1" t="s">
        <v>83</v>
      </c>
      <c r="CG11" s="1" t="s">
        <v>84</v>
      </c>
      <c r="CH11" s="1" t="s">
        <v>85</v>
      </c>
      <c r="CI11" s="1" t="s">
        <v>86</v>
      </c>
      <c r="CJ11" s="1" t="s">
        <v>87</v>
      </c>
      <c r="CK11" s="1" t="s">
        <v>88</v>
      </c>
      <c r="CL11" s="1" t="s">
        <v>89</v>
      </c>
      <c r="CM11" s="1" t="s">
        <v>90</v>
      </c>
      <c r="CN11" s="1" t="s">
        <v>91</v>
      </c>
      <c r="CO11" s="1" t="s">
        <v>92</v>
      </c>
      <c r="CP11" s="1" t="s">
        <v>93</v>
      </c>
      <c r="CQ11" s="1" t="s">
        <v>94</v>
      </c>
      <c r="CR11" s="1" t="s">
        <v>95</v>
      </c>
      <c r="CS11" s="1" t="s">
        <v>96</v>
      </c>
      <c r="CT11" s="1" t="s">
        <v>97</v>
      </c>
      <c r="CU11" s="1" t="s">
        <v>98</v>
      </c>
      <c r="CV11" s="1" t="s">
        <v>99</v>
      </c>
      <c r="CW11" s="1" t="s">
        <v>100</v>
      </c>
      <c r="CX11" s="1" t="s">
        <v>101</v>
      </c>
      <c r="CY11" s="1" t="s">
        <v>102</v>
      </c>
      <c r="CZ11" s="1" t="s">
        <v>103</v>
      </c>
      <c r="DA11" s="1" t="s">
        <v>104</v>
      </c>
      <c r="DB11" s="1" t="s">
        <v>105</v>
      </c>
      <c r="DC11" s="1" t="s">
        <v>106</v>
      </c>
      <c r="DD11" s="1" t="s">
        <v>107</v>
      </c>
      <c r="DE11" s="1" t="s">
        <v>108</v>
      </c>
      <c r="DF11" s="1" t="s">
        <v>109</v>
      </c>
      <c r="DG11" s="1" t="s">
        <v>110</v>
      </c>
      <c r="DH11" s="1" t="s">
        <v>111</v>
      </c>
      <c r="DI11" s="1" t="s">
        <v>112</v>
      </c>
      <c r="DJ11" s="1" t="s">
        <v>113</v>
      </c>
      <c r="DK11" s="1" t="s">
        <v>114</v>
      </c>
      <c r="DL11" s="1" t="s">
        <v>115</v>
      </c>
      <c r="DM11" s="1" t="s">
        <v>116</v>
      </c>
      <c r="DN11" s="1" t="s">
        <v>117</v>
      </c>
      <c r="DO11" s="1" t="s">
        <v>118</v>
      </c>
      <c r="DP11" s="1" t="s">
        <v>119</v>
      </c>
      <c r="DQ11" s="1" t="s">
        <v>120</v>
      </c>
      <c r="DR11" s="1" t="s">
        <v>121</v>
      </c>
      <c r="DS11" s="1" t="s">
        <v>122</v>
      </c>
      <c r="DT11" s="1" t="s">
        <v>123</v>
      </c>
      <c r="DU11" s="1" t="s">
        <v>124</v>
      </c>
      <c r="DV11" s="1" t="s">
        <v>125</v>
      </c>
      <c r="DW11" s="1" t="s">
        <v>126</v>
      </c>
      <c r="DX11" s="1" t="s">
        <v>127</v>
      </c>
      <c r="DY11" s="1" t="s">
        <v>128</v>
      </c>
      <c r="DZ11" s="1" t="s">
        <v>129</v>
      </c>
      <c r="EA11" s="1" t="s">
        <v>130</v>
      </c>
      <c r="EB11" s="1" t="s">
        <v>131</v>
      </c>
      <c r="EC11" s="1" t="s">
        <v>132</v>
      </c>
      <c r="ED11" s="1" t="s">
        <v>133</v>
      </c>
      <c r="EE11" s="1" t="s">
        <v>134</v>
      </c>
      <c r="EF11" s="1" t="s">
        <v>143</v>
      </c>
      <c r="EG11" s="14" t="s">
        <v>163</v>
      </c>
      <c r="EH11" s="14" t="s">
        <v>164</v>
      </c>
      <c r="EI11" s="14" t="s">
        <v>165</v>
      </c>
    </row>
    <row r="12" spans="1:139" x14ac:dyDescent="0.3">
      <c r="A12" s="1">
        <v>10</v>
      </c>
      <c r="B12" s="1">
        <v>96</v>
      </c>
      <c r="C12" s="7">
        <v>4.7013508994228799E-2</v>
      </c>
      <c r="D12" s="7">
        <v>0.11468862904522351</v>
      </c>
      <c r="E12" s="7">
        <v>6.7540283583579167E-3</v>
      </c>
      <c r="F12" s="7">
        <v>1.986882494790634E-2</v>
      </c>
      <c r="G12" s="7">
        <v>-7.9043467459283603E-3</v>
      </c>
      <c r="H12" s="7">
        <v>-9.3593837617556644E-3</v>
      </c>
      <c r="I12" s="7">
        <v>-3.6303936849052011E-2</v>
      </c>
      <c r="J12" s="7">
        <v>-2.9408122838989852E-2</v>
      </c>
      <c r="K12" s="7">
        <v>1.0988403852822111E-2</v>
      </c>
      <c r="L12" s="7">
        <v>2.2772307809632709E-3</v>
      </c>
      <c r="M12" s="7">
        <v>2.688917383320695E-2</v>
      </c>
      <c r="N12" s="7">
        <v>-5.2074107675359117E-2</v>
      </c>
      <c r="O12" s="7">
        <v>1.7240739055052579E-2</v>
      </c>
      <c r="P12" s="7">
        <v>-2.5432810815711028E-4</v>
      </c>
      <c r="Q12" s="7">
        <v>3.3792784120907728E-2</v>
      </c>
      <c r="R12" s="7">
        <v>6.6628837952368673E-3</v>
      </c>
      <c r="S12" s="7">
        <v>-1.6472394741932041E-2</v>
      </c>
      <c r="T12" s="7">
        <v>-7.7398000690130087E-3</v>
      </c>
      <c r="U12" s="7">
        <v>2.0367220553130991E-2</v>
      </c>
      <c r="V12" s="7">
        <v>9.5109536536482214E-3</v>
      </c>
      <c r="W12" s="7">
        <v>-2.8417662858163131E-2</v>
      </c>
      <c r="X12" s="7">
        <v>2.7073890424547119E-2</v>
      </c>
      <c r="Y12" s="7">
        <v>2.0598393527691269E-2</v>
      </c>
      <c r="Z12" s="7">
        <v>5.1659076098035236E-3</v>
      </c>
      <c r="AA12" s="7">
        <v>-1.1512545712225739E-2</v>
      </c>
      <c r="AB12" s="7">
        <v>-3.7114184153333798E-3</v>
      </c>
      <c r="AC12" s="7">
        <v>3.5114764063646421E-2</v>
      </c>
      <c r="AD12" s="7">
        <v>-9.3922433316797477E-3</v>
      </c>
      <c r="AE12" s="7">
        <v>-5.8316963071098869E-2</v>
      </c>
      <c r="AF12" s="7">
        <v>-5.2012102776767682E-2</v>
      </c>
      <c r="AG12" s="7">
        <v>-3.814930420809846E-3</v>
      </c>
      <c r="AH12" s="7">
        <v>-2.1100658922461549E-2</v>
      </c>
      <c r="AI12" s="7">
        <v>8.79379249226157E-3</v>
      </c>
      <c r="AJ12" s="7">
        <v>-2.1062262693673572E-2</v>
      </c>
      <c r="AK12" s="7">
        <v>-1.6475368224135679E-2</v>
      </c>
      <c r="AL12" s="7">
        <v>-4.7800489952077287E-2</v>
      </c>
      <c r="AM12" s="7">
        <v>1.670675200628732E-2</v>
      </c>
      <c r="AN12" s="7">
        <v>-5.7133289959638539E-2</v>
      </c>
      <c r="AO12" s="7">
        <v>-2.228793039673051E-3</v>
      </c>
      <c r="AP12" s="7">
        <v>3.3718344781849152E-2</v>
      </c>
      <c r="AQ12" s="7">
        <v>7.6219363885838051E-3</v>
      </c>
      <c r="AR12" s="7">
        <v>7.5044280887600658E-3</v>
      </c>
      <c r="AS12" s="7">
        <v>-1.9976272910371209E-2</v>
      </c>
      <c r="AT12" s="7">
        <v>1.3834904707671181E-2</v>
      </c>
      <c r="AU12" s="7">
        <v>2.070865868087543E-2</v>
      </c>
      <c r="AV12" s="7">
        <v>-4.1360084745025012E-2</v>
      </c>
      <c r="AW12" s="7">
        <v>6.2147701801607523E-4</v>
      </c>
      <c r="AX12" s="7">
        <v>-4.4696011972897853E-2</v>
      </c>
      <c r="AY12" s="7">
        <v>1.749132165900753E-2</v>
      </c>
      <c r="AZ12" s="7">
        <v>-2.3000260716576439E-3</v>
      </c>
      <c r="BA12" s="7">
        <v>4.9378881832418033E-3</v>
      </c>
      <c r="BB12" s="7">
        <v>5.7853949142751861E-3</v>
      </c>
      <c r="BC12" s="7">
        <v>2.669096629233754E-2</v>
      </c>
      <c r="BD12" s="7">
        <v>1.3630556941652629E-2</v>
      </c>
      <c r="BE12" s="7">
        <v>-4.5598544985067067E-2</v>
      </c>
      <c r="BF12" s="7">
        <v>-2.3601059948603061E-2</v>
      </c>
      <c r="BG12" s="7">
        <v>1.000405865395167E-2</v>
      </c>
      <c r="BH12" s="7">
        <v>-2.4922145288873449E-2</v>
      </c>
      <c r="BI12" s="7">
        <v>5.002125303099076E-2</v>
      </c>
      <c r="BJ12" s="7">
        <v>-7.9599331991781624E-4</v>
      </c>
      <c r="BK12" s="7">
        <v>-2.0075652003278099E-2</v>
      </c>
      <c r="BL12" s="7">
        <v>1.1060368711039379E-2</v>
      </c>
      <c r="BM12" s="7">
        <v>-3.017190853698952E-2</v>
      </c>
      <c r="BN12" s="7">
        <v>-1.9502538210119671E-2</v>
      </c>
      <c r="BO12" s="7">
        <v>1.691376899933085E-2</v>
      </c>
      <c r="BP12" s="7">
        <v>-1.0508985305294091E-2</v>
      </c>
      <c r="BQ12" s="7">
        <v>1.3896749618746689E-2</v>
      </c>
      <c r="BR12" s="7">
        <v>6.8693615147113224E-2</v>
      </c>
      <c r="BS12" s="7">
        <v>1.886329338439598E-2</v>
      </c>
      <c r="BT12" s="7">
        <v>-2.1288097232098721E-2</v>
      </c>
      <c r="BU12" s="7">
        <v>8.7815171400964752E-3</v>
      </c>
      <c r="BV12" s="7">
        <v>2.3062455733191E-2</v>
      </c>
      <c r="BW12" s="7">
        <v>-2.948376871952952E-2</v>
      </c>
      <c r="BX12" s="7">
        <v>1.1477162003950089E-2</v>
      </c>
      <c r="BY12" s="7">
        <v>-4.5815986232830307E-2</v>
      </c>
      <c r="BZ12" s="7">
        <v>4.5356945691272972E-2</v>
      </c>
      <c r="CA12" s="7">
        <v>1.4580557553402819E-2</v>
      </c>
      <c r="CB12" s="7">
        <v>7.2475876072179299E-2</v>
      </c>
      <c r="CC12" s="7">
        <v>6.5566612627689883E-2</v>
      </c>
      <c r="CD12" s="7">
        <v>4.4258488563941309E-2</v>
      </c>
      <c r="CE12" s="7">
        <v>0.15400701288974189</v>
      </c>
      <c r="CF12" s="7">
        <v>8.0212745139300254E-3</v>
      </c>
      <c r="CG12" s="7">
        <v>3.0864849735211247E-4</v>
      </c>
      <c r="CH12" s="7">
        <v>6.3297372377959904E-2</v>
      </c>
      <c r="CI12" s="7">
        <v>-2.434149805161382E-2</v>
      </c>
      <c r="CJ12" s="7">
        <v>-1.544518047868886E-2</v>
      </c>
      <c r="CK12" s="7">
        <v>1.2803144154834811E-2</v>
      </c>
      <c r="CL12" s="7">
        <v>0.1180156076696104</v>
      </c>
      <c r="CM12" s="7">
        <v>2.635395083816933E-2</v>
      </c>
      <c r="CN12" s="7">
        <v>-7.8465204010806394E-2</v>
      </c>
      <c r="CO12" s="7">
        <v>2.4819785255212591E-2</v>
      </c>
      <c r="CP12" s="7">
        <v>-4.5299021467493747E-2</v>
      </c>
      <c r="CQ12" s="7">
        <v>-3.6572194909933541E-2</v>
      </c>
      <c r="CR12" s="7">
        <v>-2.1178784306524409E-3</v>
      </c>
      <c r="CS12" s="7">
        <v>-1.450965043846953E-2</v>
      </c>
      <c r="CT12" s="7">
        <v>8.2403602353092742E-4</v>
      </c>
      <c r="CU12" s="7">
        <v>-3.5623715662195188E-2</v>
      </c>
      <c r="CV12" s="7">
        <v>-8.1126263755370142E-3</v>
      </c>
      <c r="CW12" s="7">
        <v>-5.5479247445322649E-3</v>
      </c>
      <c r="CX12" s="7">
        <v>4.6547458464468637E-2</v>
      </c>
      <c r="CY12" s="7">
        <v>5.982942211490587E-3</v>
      </c>
      <c r="CZ12" s="7">
        <v>-7.7792327339500603E-2</v>
      </c>
      <c r="DA12" s="7">
        <v>-5.6037840703605252E-3</v>
      </c>
      <c r="DB12" s="7">
        <v>2.298187595412704E-2</v>
      </c>
      <c r="DC12" s="7">
        <v>-4.5013637925414574E-3</v>
      </c>
      <c r="DD12" s="7">
        <v>-2.4888978057240451E-2</v>
      </c>
      <c r="DE12" s="7">
        <v>-2.473764441509502E-2</v>
      </c>
      <c r="DF12" s="7">
        <v>-5.5485734082072982E-2</v>
      </c>
      <c r="DG12" s="7">
        <v>9.4770893931691788E-4</v>
      </c>
      <c r="DH12" s="7">
        <v>3.8226819714325612E-3</v>
      </c>
      <c r="DI12" s="7">
        <v>-2.9979254557499689E-2</v>
      </c>
      <c r="DJ12" s="7">
        <v>-1.511820812609203E-2</v>
      </c>
      <c r="DK12" s="7">
        <v>1.5945953127016341E-2</v>
      </c>
      <c r="DL12" s="7">
        <v>1.8669833333803058E-2</v>
      </c>
      <c r="DM12" s="7">
        <v>4.8403492450799163E-3</v>
      </c>
      <c r="DN12" s="7">
        <v>2.1916731594762449E-2</v>
      </c>
      <c r="DO12" s="7">
        <v>3.055694210149083E-2</v>
      </c>
      <c r="DP12" s="7">
        <v>-4.5953548014918022E-2</v>
      </c>
      <c r="DQ12" s="7">
        <v>3.3862120353048523E-2</v>
      </c>
      <c r="DR12" s="7">
        <v>-1.7064979450118169E-2</v>
      </c>
      <c r="DS12" s="7">
        <v>-6.9650552069699723E-2</v>
      </c>
      <c r="DT12" s="7">
        <v>4.5297883394400537E-2</v>
      </c>
      <c r="DU12" s="7">
        <v>-1.3752648086382459E-2</v>
      </c>
      <c r="DV12" s="7">
        <v>-4.8550824477530688E-2</v>
      </c>
      <c r="DW12" s="7">
        <v>4.3725564220037427E-2</v>
      </c>
      <c r="DX12" s="7">
        <v>-1.8099136778333389E-2</v>
      </c>
      <c r="DY12" s="7">
        <v>-6.2728222094769928E-2</v>
      </c>
      <c r="DZ12" s="7">
        <v>-2.0038890123589111E-2</v>
      </c>
      <c r="EA12" s="7">
        <v>-5.1097632537531287E-2</v>
      </c>
      <c r="EB12" s="7">
        <v>-5.7859705603806079E-3</v>
      </c>
      <c r="EC12" s="7">
        <v>1.48839181295192E-2</v>
      </c>
      <c r="ED12" s="7">
        <v>6.050815280848415E-2</v>
      </c>
      <c r="EE12" s="7">
        <v>2.6506892161147658E-2</v>
      </c>
      <c r="EF12" s="8">
        <v>-3.9233348038795662E-2</v>
      </c>
      <c r="EG12" s="15">
        <f>AVERAGE(C12:EF12)</f>
        <v>7.0018026148955539E-4</v>
      </c>
      <c r="EH12" s="15">
        <f>STDEV(C12:EF12)</f>
        <v>3.6681302256870482E-2</v>
      </c>
      <c r="EI12" s="15">
        <f>EG12/EH12</f>
        <v>1.9088206208884261E-2</v>
      </c>
    </row>
    <row r="13" spans="1:139" x14ac:dyDescent="0.3">
      <c r="A13" s="1">
        <v>20</v>
      </c>
      <c r="B13" s="1">
        <v>48</v>
      </c>
      <c r="C13" s="7">
        <v>4.2506117601795589E-2</v>
      </c>
      <c r="D13" s="7">
        <v>0.1237450287927723</v>
      </c>
      <c r="E13" s="7">
        <v>3.4496619491353048E-2</v>
      </c>
      <c r="F13" s="7">
        <v>3.4922155882654501E-2</v>
      </c>
      <c r="G13" s="7">
        <v>1.490797975730339E-2</v>
      </c>
      <c r="H13" s="7">
        <v>-1.5930384569345112E-2</v>
      </c>
      <c r="I13" s="7">
        <v>-3.2682862984722338E-2</v>
      </c>
      <c r="J13" s="7">
        <v>-4.3899227077412117E-2</v>
      </c>
      <c r="K13" s="7">
        <v>4.5330990242219003E-2</v>
      </c>
      <c r="L13" s="7">
        <v>2.913566903744547E-2</v>
      </c>
      <c r="M13" s="7">
        <v>3.2797582260047169E-3</v>
      </c>
      <c r="N13" s="7">
        <v>-4.3151952223766853E-2</v>
      </c>
      <c r="O13" s="7">
        <v>3.9789291626632438E-2</v>
      </c>
      <c r="P13" s="7">
        <v>-6.2776476607329448E-3</v>
      </c>
      <c r="Q13" s="7">
        <v>4.4218264227970053E-2</v>
      </c>
      <c r="R13" s="7">
        <v>1.4159944486036529E-2</v>
      </c>
      <c r="S13" s="7">
        <v>-1.224367120891299E-2</v>
      </c>
      <c r="T13" s="7">
        <v>-2.2104020419172268E-2</v>
      </c>
      <c r="U13" s="7">
        <v>5.4161075041694179E-2</v>
      </c>
      <c r="V13" s="7">
        <v>2.216639903053957E-3</v>
      </c>
      <c r="W13" s="7">
        <v>-3.096890407148287E-2</v>
      </c>
      <c r="X13" s="7">
        <v>5.327689472594363E-2</v>
      </c>
      <c r="Y13" s="7">
        <v>-6.6833587265454353E-3</v>
      </c>
      <c r="Z13" s="7">
        <v>2.0583761169128259E-2</v>
      </c>
      <c r="AA13" s="7">
        <v>-1.6440619450324361E-2</v>
      </c>
      <c r="AB13" s="7">
        <v>-1.6036098685220952E-2</v>
      </c>
      <c r="AC13" s="7">
        <v>2.187155616137754E-2</v>
      </c>
      <c r="AD13" s="7">
        <v>-2.1543689785275402E-2</v>
      </c>
      <c r="AE13" s="7">
        <v>-6.5719382027610476E-2</v>
      </c>
      <c r="AF13" s="7">
        <v>-7.3281160828311181E-2</v>
      </c>
      <c r="AG13" s="7">
        <v>9.9052077270740842E-3</v>
      </c>
      <c r="AH13" s="7">
        <v>-3.1875514929916048E-2</v>
      </c>
      <c r="AI13" s="7">
        <v>1.8646046379966041E-2</v>
      </c>
      <c r="AJ13" s="7">
        <v>-1.988632403117771E-2</v>
      </c>
      <c r="AK13" s="7">
        <v>-3.8359390282872087E-2</v>
      </c>
      <c r="AL13" s="7">
        <v>-4.9258884794550067E-2</v>
      </c>
      <c r="AM13" s="7">
        <v>-1.4434106114089009E-2</v>
      </c>
      <c r="AN13" s="7">
        <v>-7.1245220062354717E-2</v>
      </c>
      <c r="AO13" s="7">
        <v>-9.3111878994149404E-3</v>
      </c>
      <c r="AP13" s="7">
        <v>5.9550840361997717E-2</v>
      </c>
      <c r="AQ13" s="7">
        <v>6.0492887688996834E-3</v>
      </c>
      <c r="AR13" s="7">
        <v>-9.2507324832761875E-3</v>
      </c>
      <c r="AS13" s="7">
        <v>-2.340496354159733E-2</v>
      </c>
      <c r="AT13" s="7">
        <v>4.0463087854439743E-2</v>
      </c>
      <c r="AU13" s="7">
        <v>4.0976126475978862E-2</v>
      </c>
      <c r="AV13" s="7">
        <v>-9.475472639553081E-3</v>
      </c>
      <c r="AW13" s="7">
        <v>4.0800135830634E-3</v>
      </c>
      <c r="AX13" s="7">
        <v>-3.2799832135855793E-2</v>
      </c>
      <c r="AY13" s="7">
        <v>1.42622039071387E-2</v>
      </c>
      <c r="AZ13" s="7">
        <v>-8.1034674694993921E-3</v>
      </c>
      <c r="BA13" s="7">
        <v>6.5409376070610318E-3</v>
      </c>
      <c r="BB13" s="7">
        <v>2.6046345532896049E-2</v>
      </c>
      <c r="BC13" s="7">
        <v>1.9110867274842121E-2</v>
      </c>
      <c r="BD13" s="7">
        <v>3.344428383681335E-3</v>
      </c>
      <c r="BE13" s="7">
        <v>-4.6048256587478499E-2</v>
      </c>
      <c r="BF13" s="7">
        <v>-2.6302896790217509E-2</v>
      </c>
      <c r="BG13" s="7">
        <v>8.3310656158476996E-3</v>
      </c>
      <c r="BH13" s="7">
        <v>-3.3944254587363332E-2</v>
      </c>
      <c r="BI13" s="7">
        <v>5.2409132456701382E-2</v>
      </c>
      <c r="BJ13" s="7">
        <v>-1.6847085990264871E-2</v>
      </c>
      <c r="BK13" s="7">
        <v>-2.5125773363192039E-2</v>
      </c>
      <c r="BL13" s="7">
        <v>1.3619178359615279E-2</v>
      </c>
      <c r="BM13" s="7">
        <v>-2.7203867384610721E-2</v>
      </c>
      <c r="BN13" s="7">
        <v>4.8576030584132172E-3</v>
      </c>
      <c r="BO13" s="7">
        <v>3.406714508268439E-3</v>
      </c>
      <c r="BP13" s="7">
        <v>9.4326956946515182E-3</v>
      </c>
      <c r="BQ13" s="7">
        <v>4.1653063789425779E-2</v>
      </c>
      <c r="BR13" s="7">
        <v>7.9831456823332952E-2</v>
      </c>
      <c r="BS13" s="7">
        <v>7.4194718402196772E-3</v>
      </c>
      <c r="BT13" s="7">
        <v>-3.3667769757919193E-2</v>
      </c>
      <c r="BU13" s="7">
        <v>1.7706555036553769E-2</v>
      </c>
      <c r="BV13" s="7">
        <v>2.065359687620864E-2</v>
      </c>
      <c r="BW13" s="7">
        <v>1.763237810677006E-3</v>
      </c>
      <c r="BX13" s="7">
        <v>2.1078067524026588E-2</v>
      </c>
      <c r="BY13" s="7">
        <v>-3.0827759664373209E-2</v>
      </c>
      <c r="BZ13" s="7">
        <v>7.6138123059050211E-2</v>
      </c>
      <c r="CA13" s="7">
        <v>2.401267379212468E-2</v>
      </c>
      <c r="CB13" s="7">
        <v>0.1204269717320352</v>
      </c>
      <c r="CC13" s="7">
        <v>0.12011817373823321</v>
      </c>
      <c r="CD13" s="7">
        <v>5.52560480214307E-2</v>
      </c>
      <c r="CE13" s="7">
        <v>0.18382783645560871</v>
      </c>
      <c r="CF13" s="7">
        <v>-1.2043667015059319E-2</v>
      </c>
      <c r="CG13" s="7">
        <v>7.5602686763741878E-3</v>
      </c>
      <c r="CH13" s="7">
        <v>5.8334611827207158E-2</v>
      </c>
      <c r="CI13" s="7">
        <v>-7.895534435908208E-3</v>
      </c>
      <c r="CJ13" s="7">
        <v>3.106087971951194E-3</v>
      </c>
      <c r="CK13" s="7">
        <v>3.2045269236463968E-2</v>
      </c>
      <c r="CL13" s="7">
        <v>8.1453366102180805E-2</v>
      </c>
      <c r="CM13" s="7">
        <v>1.4010734772878621E-2</v>
      </c>
      <c r="CN13" s="7">
        <v>-0.1009941666481943</v>
      </c>
      <c r="CO13" s="7">
        <v>3.5334344080657359E-2</v>
      </c>
      <c r="CP13" s="7">
        <v>-6.9726540277734339E-2</v>
      </c>
      <c r="CQ13" s="7">
        <v>-3.8184950196159702E-2</v>
      </c>
      <c r="CR13" s="7">
        <v>-8.2797809976485181E-3</v>
      </c>
      <c r="CS13" s="7">
        <v>3.947650662960555E-3</v>
      </c>
      <c r="CT13" s="7">
        <v>-8.0707993163786768E-3</v>
      </c>
      <c r="CU13" s="7">
        <v>-3.7161402282311212E-2</v>
      </c>
      <c r="CV13" s="7">
        <v>2.9533121732579042E-3</v>
      </c>
      <c r="CW13" s="7">
        <v>-5.97703085624611E-3</v>
      </c>
      <c r="CX13" s="7">
        <v>4.9872955511131058E-3</v>
      </c>
      <c r="CY13" s="7">
        <v>1.3118740115012659E-2</v>
      </c>
      <c r="CZ13" s="7">
        <v>-5.7224220353485122E-2</v>
      </c>
      <c r="DA13" s="7">
        <v>5.583676925821391E-3</v>
      </c>
      <c r="DB13" s="7">
        <v>4.1761569716784581E-2</v>
      </c>
      <c r="DC13" s="7">
        <v>-1.41498668272943E-2</v>
      </c>
      <c r="DD13" s="7">
        <v>-1.069760060073574E-2</v>
      </c>
      <c r="DE13" s="7">
        <v>-2.2441996429236069E-2</v>
      </c>
      <c r="DF13" s="7">
        <v>-8.3122187068030415E-2</v>
      </c>
      <c r="DG13" s="7">
        <v>1.6306571728899009E-3</v>
      </c>
      <c r="DH13" s="7">
        <v>-1.129576788191507E-2</v>
      </c>
      <c r="DI13" s="7">
        <v>-2.957041963442816E-2</v>
      </c>
      <c r="DJ13" s="7">
        <v>-5.9835846368128413E-3</v>
      </c>
      <c r="DK13" s="7">
        <v>-1.240907421862765E-2</v>
      </c>
      <c r="DL13" s="7">
        <v>2.2050690678088229E-2</v>
      </c>
      <c r="DM13" s="7">
        <v>6.6588690484439203E-3</v>
      </c>
      <c r="DN13" s="7">
        <v>1.693523490060431E-2</v>
      </c>
      <c r="DO13" s="7">
        <v>3.7863465084792783E-2</v>
      </c>
      <c r="DP13" s="7">
        <v>-4.4997150662049193E-2</v>
      </c>
      <c r="DQ13" s="7">
        <v>3.3966462251962683E-2</v>
      </c>
      <c r="DR13" s="7">
        <v>-1.5168550145961031E-2</v>
      </c>
      <c r="DS13" s="7">
        <v>-6.8596852640390879E-2</v>
      </c>
      <c r="DT13" s="7">
        <v>3.542630104766481E-2</v>
      </c>
      <c r="DU13" s="7">
        <v>-1.8705163637144761E-2</v>
      </c>
      <c r="DV13" s="7">
        <v>-7.9620144024188558E-2</v>
      </c>
      <c r="DW13" s="7">
        <v>4.4417789624350307E-2</v>
      </c>
      <c r="DX13" s="7">
        <v>-2.3229609548966131E-2</v>
      </c>
      <c r="DY13" s="7">
        <v>-9.5046248038774313E-3</v>
      </c>
      <c r="DZ13" s="7">
        <v>-3.028525147494129E-2</v>
      </c>
      <c r="EA13" s="7">
        <v>-6.2118677176029868E-2</v>
      </c>
      <c r="EB13" s="7">
        <v>-2.012062189251651E-4</v>
      </c>
      <c r="EC13" s="7">
        <v>2.198485253152441E-2</v>
      </c>
      <c r="ED13" s="7">
        <v>6.5682093659234955E-2</v>
      </c>
      <c r="EE13" s="7">
        <v>4.1234383995911589E-2</v>
      </c>
      <c r="EF13" s="8">
        <v>-6.6577215363556236E-2</v>
      </c>
      <c r="EG13" s="15">
        <f t="shared" ref="EG13:EG25" si="6">AVERAGE(C13:EF13)</f>
        <v>3.0074459599278504E-3</v>
      </c>
      <c r="EH13" s="15">
        <f t="shared" ref="EH13:EH25" si="7">STDEV(C13:EF13)</f>
        <v>4.2880198114135903E-2</v>
      </c>
      <c r="EI13" s="15">
        <f t="shared" ref="EI13:EI25" si="8">EG13/EH13</f>
        <v>7.0136008978382361E-2</v>
      </c>
    </row>
    <row r="14" spans="1:139" x14ac:dyDescent="0.3">
      <c r="A14" s="1">
        <v>50</v>
      </c>
      <c r="B14" s="1">
        <v>19</v>
      </c>
      <c r="C14" s="7">
        <v>-3.7017512404591897E-2</v>
      </c>
      <c r="D14" s="7">
        <v>0.22230844854062601</v>
      </c>
      <c r="E14" s="7">
        <v>4.7525943267256017E-2</v>
      </c>
      <c r="F14" s="7">
        <v>4.8454142799859858E-2</v>
      </c>
      <c r="G14" s="7">
        <v>4.1019916497925447E-2</v>
      </c>
      <c r="H14" s="7">
        <v>-7.6743242716788224E-3</v>
      </c>
      <c r="I14" s="7">
        <v>-4.3787359823142302E-2</v>
      </c>
      <c r="J14" s="7">
        <v>-0.1050943867827082</v>
      </c>
      <c r="K14" s="7">
        <v>0.13417870371405349</v>
      </c>
      <c r="L14" s="7">
        <v>-4.847197187706806E-3</v>
      </c>
      <c r="M14" s="7">
        <v>-1.902171446498398E-2</v>
      </c>
      <c r="N14" s="7">
        <v>-8.2758984694099133E-2</v>
      </c>
      <c r="O14" s="7">
        <v>3.9642308069534393E-2</v>
      </c>
      <c r="P14" s="7">
        <v>6.5414209581504002E-3</v>
      </c>
      <c r="Q14" s="7">
        <v>0.12410387117144869</v>
      </c>
      <c r="R14" s="7">
        <v>-1.41517963055246E-2</v>
      </c>
      <c r="S14" s="7">
        <v>3.8534099526017718E-2</v>
      </c>
      <c r="T14" s="7">
        <v>-1.7360731234559681E-2</v>
      </c>
      <c r="U14" s="7">
        <v>0.1042666646356476</v>
      </c>
      <c r="V14" s="7">
        <v>-5.2421300158885083E-2</v>
      </c>
      <c r="W14" s="7">
        <v>-4.779500273352006E-2</v>
      </c>
      <c r="X14" s="7">
        <v>5.3581708514183243E-2</v>
      </c>
      <c r="Y14" s="7">
        <v>-5.5190991412221717E-2</v>
      </c>
      <c r="Z14" s="7">
        <v>2.1252201103450909E-2</v>
      </c>
      <c r="AA14" s="7">
        <v>-2.6273997668139859E-3</v>
      </c>
      <c r="AB14" s="7">
        <v>-7.4982912772120214E-2</v>
      </c>
      <c r="AC14" s="7">
        <v>-1.351726880349334E-2</v>
      </c>
      <c r="AD14" s="7">
        <v>-3.9327892190029898E-2</v>
      </c>
      <c r="AE14" s="7">
        <v>-4.0189068228804886E-3</v>
      </c>
      <c r="AF14" s="7">
        <v>-9.6080095456633624E-2</v>
      </c>
      <c r="AG14" s="7">
        <v>2.5329295010953049E-2</v>
      </c>
      <c r="AH14" s="7">
        <v>-6.3410379733012071E-2</v>
      </c>
      <c r="AI14" s="7">
        <v>-3.5462643898611923E-2</v>
      </c>
      <c r="AJ14" s="7">
        <v>-9.6294976708784216E-2</v>
      </c>
      <c r="AK14" s="7">
        <v>-7.7475339022454029E-2</v>
      </c>
      <c r="AL14" s="7">
        <v>-5.1230182968129499E-2</v>
      </c>
      <c r="AM14" s="7">
        <v>-4.2463855937373812E-2</v>
      </c>
      <c r="AN14" s="7">
        <v>-0.1103236819562325</v>
      </c>
      <c r="AO14" s="7">
        <v>-6.0905705465409951E-2</v>
      </c>
      <c r="AP14" s="7">
        <v>6.9976525152084204E-2</v>
      </c>
      <c r="AQ14" s="7">
        <v>3.6796773775995059E-4</v>
      </c>
      <c r="AR14" s="7">
        <v>-1.817082301888524E-2</v>
      </c>
      <c r="AS14" s="7">
        <v>6.6693383896894304E-3</v>
      </c>
      <c r="AT14" s="7">
        <v>3.4506579685144471E-2</v>
      </c>
      <c r="AU14" s="7">
        <v>3.999164900330384E-2</v>
      </c>
      <c r="AV14" s="7">
        <v>-1.868288543361717E-2</v>
      </c>
      <c r="AW14" s="7">
        <v>-1.8362931505957501E-2</v>
      </c>
      <c r="AX14" s="7">
        <v>-1.9370213375490559E-2</v>
      </c>
      <c r="AY14" s="7">
        <v>1.6905718250070641E-3</v>
      </c>
      <c r="AZ14" s="7">
        <v>-5.3348569172156059E-2</v>
      </c>
      <c r="BA14" s="7">
        <v>1.7621645544243138E-2</v>
      </c>
      <c r="BB14" s="7">
        <v>0.101898340258458</v>
      </c>
      <c r="BC14" s="7">
        <v>-2.8505683499306111E-2</v>
      </c>
      <c r="BD14" s="7">
        <v>4.3327781667405418E-2</v>
      </c>
      <c r="BE14" s="7">
        <v>-2.411701849660209E-2</v>
      </c>
      <c r="BF14" s="7">
        <v>-5.2428879018831306E-3</v>
      </c>
      <c r="BG14" s="7">
        <v>1.049660790114355E-2</v>
      </c>
      <c r="BH14" s="7">
        <v>-9.3750084239722239E-2</v>
      </c>
      <c r="BI14" s="7">
        <v>5.0185212890853773E-2</v>
      </c>
      <c r="BJ14" s="7">
        <v>-2.0017223671233209E-2</v>
      </c>
      <c r="BK14" s="7">
        <v>3.323738197833094E-2</v>
      </c>
      <c r="BL14" s="7">
        <v>1.0571834509862E-2</v>
      </c>
      <c r="BM14" s="7">
        <v>-2.137504666205849E-2</v>
      </c>
      <c r="BN14" s="7">
        <v>4.6576644196415717E-2</v>
      </c>
      <c r="BO14" s="7">
        <v>1.4903578973248861E-2</v>
      </c>
      <c r="BP14" s="7">
        <v>1.5673733492959141E-2</v>
      </c>
      <c r="BQ14" s="7">
        <v>1.584352386995078E-2</v>
      </c>
      <c r="BR14" s="7">
        <v>0.10005242307538641</v>
      </c>
      <c r="BS14" s="7">
        <v>-4.1493955144577897E-2</v>
      </c>
      <c r="BT14" s="7">
        <v>1.5287927903372821E-2</v>
      </c>
      <c r="BU14" s="7">
        <v>-8.8548353580308568E-3</v>
      </c>
      <c r="BV14" s="7">
        <v>2.5727182016427399E-2</v>
      </c>
      <c r="BW14" s="7">
        <v>1.250794825759332E-2</v>
      </c>
      <c r="BX14" s="7">
        <v>5.4970760121953073E-2</v>
      </c>
      <c r="BY14" s="7">
        <v>-8.0399768583761216E-2</v>
      </c>
      <c r="BZ14" s="7">
        <v>6.0034056828782267E-2</v>
      </c>
      <c r="CA14" s="7">
        <v>3.3455158238155647E-2</v>
      </c>
      <c r="CB14" s="7">
        <v>0.16446550132190679</v>
      </c>
      <c r="CC14" s="7">
        <v>0.1205961585891825</v>
      </c>
      <c r="CD14" s="7">
        <v>4.7921840912584578E-2</v>
      </c>
      <c r="CE14" s="7">
        <v>0.1705553024885505</v>
      </c>
      <c r="CF14" s="7">
        <v>-4.2877410075316917E-2</v>
      </c>
      <c r="CG14" s="7">
        <v>0.13892667651794</v>
      </c>
      <c r="CH14" s="7">
        <v>6.46613922782171E-2</v>
      </c>
      <c r="CI14" s="7">
        <v>-3.829356134685134E-3</v>
      </c>
      <c r="CJ14" s="7">
        <v>2.866785494417454E-2</v>
      </c>
      <c r="CK14" s="7">
        <v>1.40163643906461E-2</v>
      </c>
      <c r="CL14" s="7">
        <v>6.2269954878836478E-2</v>
      </c>
      <c r="CM14" s="7">
        <v>-5.0971068777473094E-3</v>
      </c>
      <c r="CN14" s="7">
        <v>-0.17459567468505729</v>
      </c>
      <c r="CO14" s="7">
        <v>7.8763758718324112E-2</v>
      </c>
      <c r="CP14" s="7">
        <v>-9.9809331481752833E-2</v>
      </c>
      <c r="CQ14" s="7">
        <v>-5.321162809167454E-2</v>
      </c>
      <c r="CR14" s="7">
        <v>-5.590913762450133E-2</v>
      </c>
      <c r="CS14" s="7">
        <v>-3.8161133435199359E-3</v>
      </c>
      <c r="CT14" s="7">
        <v>-1.910057655068487E-2</v>
      </c>
      <c r="CU14" s="7">
        <v>4.3917102697214612E-2</v>
      </c>
      <c r="CV14" s="7">
        <v>-2.274571513825533E-2</v>
      </c>
      <c r="CW14" s="7">
        <v>3.3983824634707719E-3</v>
      </c>
      <c r="CX14" s="7">
        <v>2.4244256487495751E-2</v>
      </c>
      <c r="CY14" s="7">
        <v>2.875912029147424E-2</v>
      </c>
      <c r="CZ14" s="7">
        <v>-6.4063563350383365E-2</v>
      </c>
      <c r="DA14" s="7">
        <v>2.4304289170584491E-2</v>
      </c>
      <c r="DB14" s="7">
        <v>2.356107318819085E-2</v>
      </c>
      <c r="DC14" s="7">
        <v>-4.2998541980200089E-2</v>
      </c>
      <c r="DD14" s="7">
        <v>1.6758549792416429E-2</v>
      </c>
      <c r="DE14" s="7">
        <v>-6.2526924006459011E-2</v>
      </c>
      <c r="DF14" s="7">
        <v>-0.20156283946711201</v>
      </c>
      <c r="DG14" s="7">
        <v>-1.144655639331721E-2</v>
      </c>
      <c r="DH14" s="7">
        <v>-4.7748372429115976E-3</v>
      </c>
      <c r="DI14" s="7">
        <v>-4.0659134635571623E-2</v>
      </c>
      <c r="DJ14" s="7">
        <v>-1.589759181276991E-2</v>
      </c>
      <c r="DK14" s="7">
        <v>-1.9071063117655919E-2</v>
      </c>
      <c r="DL14" s="7">
        <v>4.0754871831899041E-2</v>
      </c>
      <c r="DM14" s="7">
        <v>-5.504269093650517E-3</v>
      </c>
      <c r="DN14" s="7">
        <v>3.0298833250316529E-2</v>
      </c>
      <c r="DO14" s="7">
        <v>0.1025921893632338</v>
      </c>
      <c r="DP14" s="7">
        <v>-3.6178582717266978E-3</v>
      </c>
      <c r="DQ14" s="7">
        <v>5.6019285986190409E-2</v>
      </c>
      <c r="DR14" s="7">
        <v>-7.7944218090853119E-3</v>
      </c>
      <c r="DS14" s="7">
        <v>-5.6051819928563652E-2</v>
      </c>
      <c r="DT14" s="7">
        <v>4.4516953597455299E-2</v>
      </c>
      <c r="DU14" s="7">
        <v>4.4914948618981987E-2</v>
      </c>
      <c r="DV14" s="7">
        <v>-0.1082623545301073</v>
      </c>
      <c r="DW14" s="7">
        <v>9.8344367017777726E-2</v>
      </c>
      <c r="DX14" s="7">
        <v>-2.7689697360398641E-2</v>
      </c>
      <c r="DY14" s="7">
        <v>-4.7660986602341179E-2</v>
      </c>
      <c r="DZ14" s="7">
        <v>-2.1697589256116791E-2</v>
      </c>
      <c r="EA14" s="7">
        <v>-0.10752548319752379</v>
      </c>
      <c r="EB14" s="7">
        <v>2.510952061826455E-2</v>
      </c>
      <c r="EC14" s="7">
        <v>4.3260017529307637E-2</v>
      </c>
      <c r="ED14" s="7">
        <v>0.102629709186187</v>
      </c>
      <c r="EE14" s="7">
        <v>-3.3992535180725199E-3</v>
      </c>
      <c r="EF14" s="8">
        <v>-6.9956420498558061E-2</v>
      </c>
      <c r="EG14" s="15">
        <f t="shared" si="6"/>
        <v>1.9138331965884868E-3</v>
      </c>
      <c r="EH14" s="15">
        <f t="shared" si="7"/>
        <v>6.4654962866476137E-2</v>
      </c>
      <c r="EI14" s="15">
        <f t="shared" si="8"/>
        <v>2.9600716043111628E-2</v>
      </c>
    </row>
    <row r="15" spans="1:139" x14ac:dyDescent="0.3">
      <c r="A15" s="1">
        <v>100</v>
      </c>
      <c r="B15" s="1">
        <v>10</v>
      </c>
      <c r="C15" s="7">
        <v>-9.6503141994516081E-2</v>
      </c>
      <c r="D15" s="7">
        <v>0.37270921560992559</v>
      </c>
      <c r="E15" s="7">
        <v>1.019842627208351E-2</v>
      </c>
      <c r="F15" s="7">
        <v>0.1085622933731899</v>
      </c>
      <c r="G15" s="7">
        <v>6.0636928671534279E-2</v>
      </c>
      <c r="H15" s="7">
        <v>-5.0157824503593081E-2</v>
      </c>
      <c r="I15" s="7">
        <v>-5.843144427986554E-2</v>
      </c>
      <c r="J15" s="7">
        <v>-6.4524690109755506E-2</v>
      </c>
      <c r="K15" s="7">
        <v>0.28659462773637062</v>
      </c>
      <c r="L15" s="7">
        <v>-3.2558505157184642E-2</v>
      </c>
      <c r="M15" s="7">
        <v>-2.1330164362876949E-3</v>
      </c>
      <c r="N15" s="7">
        <v>-0.12086815416098109</v>
      </c>
      <c r="O15" s="7">
        <v>4.6103493253125377E-2</v>
      </c>
      <c r="P15" s="7">
        <v>2.1896569845224052E-2</v>
      </c>
      <c r="Q15" s="7">
        <v>0.15553684210781249</v>
      </c>
      <c r="R15" s="7">
        <v>1.6755436290618191E-2</v>
      </c>
      <c r="S15" s="7">
        <v>-4.3033933773331312E-2</v>
      </c>
      <c r="T15" s="7">
        <v>-4.9338672660515052E-2</v>
      </c>
      <c r="U15" s="7">
        <v>0.1369680616672688</v>
      </c>
      <c r="V15" s="7">
        <v>-0.1101270063308359</v>
      </c>
      <c r="W15" s="7">
        <v>-5.0671424244990583E-2</v>
      </c>
      <c r="X15" s="7">
        <v>7.8436412445587397E-2</v>
      </c>
      <c r="Y15" s="7">
        <v>-5.202879805714216E-2</v>
      </c>
      <c r="Z15" s="7">
        <v>-2.3656418685670762E-2</v>
      </c>
      <c r="AA15" s="7">
        <v>4.6586123925793019E-2</v>
      </c>
      <c r="AB15" s="7">
        <v>-7.3995951784183639E-2</v>
      </c>
      <c r="AC15" s="7">
        <v>1.6480966208188091E-2</v>
      </c>
      <c r="AD15" s="7">
        <v>-3.9690481127708267E-2</v>
      </c>
      <c r="AE15" s="7">
        <v>4.7286476245703507E-2</v>
      </c>
      <c r="AF15" s="7">
        <v>-0.13772628717765439</v>
      </c>
      <c r="AG15" s="7">
        <v>4.4324544215075819E-2</v>
      </c>
      <c r="AH15" s="7">
        <v>1.4500686925931689E-2</v>
      </c>
      <c r="AI15" s="7">
        <v>-2.4849257132530979E-2</v>
      </c>
      <c r="AJ15" s="7">
        <v>-4.1844346323331449E-3</v>
      </c>
      <c r="AK15" s="7">
        <v>-6.9361451191916404E-2</v>
      </c>
      <c r="AL15" s="7">
        <v>-3.2360173796661423E-2</v>
      </c>
      <c r="AM15" s="7">
        <v>-6.863120708961859E-2</v>
      </c>
      <c r="AN15" s="7">
        <v>-6.0734931800687501E-2</v>
      </c>
      <c r="AO15" s="7">
        <v>-6.3369812463467096E-2</v>
      </c>
      <c r="AP15" s="7">
        <v>7.8285693892754235E-2</v>
      </c>
      <c r="AQ15" s="7">
        <v>3.7367126796121669E-2</v>
      </c>
      <c r="AR15" s="7">
        <v>-2.4550819698278721E-2</v>
      </c>
      <c r="AS15" s="7">
        <v>4.8733221354101797E-2</v>
      </c>
      <c r="AT15" s="7">
        <v>6.5254990652428568E-2</v>
      </c>
      <c r="AU15" s="7">
        <v>3.9943261089466317E-2</v>
      </c>
      <c r="AV15" s="7">
        <v>-4.7226818327438858E-2</v>
      </c>
      <c r="AW15" s="7">
        <v>1.5659939254580951E-2</v>
      </c>
      <c r="AX15" s="7">
        <v>-8.1360565954768135E-2</v>
      </c>
      <c r="AY15" s="7">
        <v>2.9005659300491791E-2</v>
      </c>
      <c r="AZ15" s="7">
        <v>-9.1323280068503487E-2</v>
      </c>
      <c r="BA15" s="7">
        <v>1.061351480765297E-2</v>
      </c>
      <c r="BB15" s="7">
        <v>0.1087890998161227</v>
      </c>
      <c r="BC15" s="7">
        <v>-3.0936691622350049E-2</v>
      </c>
      <c r="BD15" s="7">
        <v>5.3043273904796059E-2</v>
      </c>
      <c r="BE15" s="7">
        <v>-4.6217113983022272E-2</v>
      </c>
      <c r="BF15" s="7">
        <v>-5.6978024220911652E-2</v>
      </c>
      <c r="BG15" s="7">
        <v>1.3776150402420841E-2</v>
      </c>
      <c r="BH15" s="7">
        <v>-5.4709226157740029E-2</v>
      </c>
      <c r="BI15" s="7">
        <v>6.8586659114969639E-2</v>
      </c>
      <c r="BJ15" s="7">
        <v>-1.1265027087445249E-2</v>
      </c>
      <c r="BK15" s="7">
        <v>7.2869418882588896E-2</v>
      </c>
      <c r="BL15" s="7">
        <v>7.7901403746215292E-5</v>
      </c>
      <c r="BM15" s="7">
        <v>-6.2598394572544819E-2</v>
      </c>
      <c r="BN15" s="7">
        <v>6.6054035225581897E-2</v>
      </c>
      <c r="BO15" s="7">
        <v>1.6589443526158851E-2</v>
      </c>
      <c r="BP15" s="7">
        <v>1.4184220707804779E-2</v>
      </c>
      <c r="BQ15" s="7">
        <v>1.280293129032776E-2</v>
      </c>
      <c r="BR15" s="7">
        <v>0.1237621364364551</v>
      </c>
      <c r="BS15" s="7">
        <v>-1.682377745028631E-2</v>
      </c>
      <c r="BT15" s="7">
        <v>-3.6633666195559952E-2</v>
      </c>
      <c r="BU15" s="7">
        <v>1.9476419795793471E-2</v>
      </c>
      <c r="BV15" s="7">
        <v>5.8914967752548723E-2</v>
      </c>
      <c r="BW15" s="7">
        <v>-3.5945890129403732E-2</v>
      </c>
      <c r="BX15" s="7">
        <v>2.8635895065731481E-2</v>
      </c>
      <c r="BY15" s="7">
        <v>-9.333839246383685E-2</v>
      </c>
      <c r="BZ15" s="7">
        <v>0.1029064689773473</v>
      </c>
      <c r="CA15" s="7">
        <v>2.9964009225077439E-2</v>
      </c>
      <c r="CB15" s="7">
        <v>0.13109140278406139</v>
      </c>
      <c r="CC15" s="7">
        <v>0.17365170572211991</v>
      </c>
      <c r="CD15" s="7">
        <v>8.9094519675820161E-2</v>
      </c>
      <c r="CE15" s="7">
        <v>7.3368120048450503E-2</v>
      </c>
      <c r="CF15" s="7">
        <v>-4.1349429867967538E-2</v>
      </c>
      <c r="CG15" s="7">
        <v>0.2257312272651272</v>
      </c>
      <c r="CH15" s="7">
        <v>6.2885958283701332E-2</v>
      </c>
      <c r="CI15" s="7">
        <v>-6.9336844735236963E-2</v>
      </c>
      <c r="CJ15" s="7">
        <v>8.7044356072718085E-2</v>
      </c>
      <c r="CK15" s="7">
        <v>5.667264577209942E-2</v>
      </c>
      <c r="CL15" s="7">
        <v>3.1421974993248308E-2</v>
      </c>
      <c r="CM15" s="7">
        <v>-4.6626535792598657E-2</v>
      </c>
      <c r="CN15" s="7">
        <v>-0.14314981697124041</v>
      </c>
      <c r="CO15" s="7">
        <v>0.1069792441995681</v>
      </c>
      <c r="CP15" s="7">
        <v>-0.12753583543294969</v>
      </c>
      <c r="CQ15" s="7">
        <v>-3.7378010765128991E-2</v>
      </c>
      <c r="CR15" s="7">
        <v>-4.8237070288164277E-2</v>
      </c>
      <c r="CS15" s="7">
        <v>1.6910986704255612E-2</v>
      </c>
      <c r="CT15" s="7">
        <v>-7.3945749754547726E-3</v>
      </c>
      <c r="CU15" s="7">
        <v>6.3178659914772728E-2</v>
      </c>
      <c r="CV15" s="7">
        <v>6.1418469048089008E-3</v>
      </c>
      <c r="CW15" s="7">
        <v>1.248466018044017E-2</v>
      </c>
      <c r="CX15" s="7">
        <v>1.7868891816779579E-2</v>
      </c>
      <c r="CY15" s="7">
        <v>4.2470673077762339E-2</v>
      </c>
      <c r="CZ15" s="7">
        <v>-7.9886947944342257E-2</v>
      </c>
      <c r="DA15" s="7">
        <v>2.6375835441876511E-2</v>
      </c>
      <c r="DB15" s="7">
        <v>3.0226618214123681E-2</v>
      </c>
      <c r="DC15" s="7">
        <v>-6.7692431945125919E-2</v>
      </c>
      <c r="DD15" s="7">
        <v>4.9393690499884603E-2</v>
      </c>
      <c r="DE15" s="7">
        <v>-5.7163634731252508E-2</v>
      </c>
      <c r="DF15" s="7">
        <v>-0.30272044964278222</v>
      </c>
      <c r="DG15" s="7">
        <v>-1.61967316182412E-2</v>
      </c>
      <c r="DH15" s="7">
        <v>1.8709011043892099E-2</v>
      </c>
      <c r="DI15" s="7">
        <v>-5.4108318657130297E-2</v>
      </c>
      <c r="DJ15" s="7">
        <v>-4.7566622441064077E-2</v>
      </c>
      <c r="DK15" s="7">
        <v>-0.101774834051468</v>
      </c>
      <c r="DL15" s="7">
        <v>-3.0399320282783332E-4</v>
      </c>
      <c r="DM15" s="7">
        <v>2.380854686766869E-2</v>
      </c>
      <c r="DN15" s="7">
        <v>-6.7022569228543022E-2</v>
      </c>
      <c r="DO15" s="7">
        <v>0.15954541135927219</v>
      </c>
      <c r="DP15" s="7">
        <v>4.0330192791233468E-2</v>
      </c>
      <c r="DQ15" s="7">
        <v>7.2938079904142805E-2</v>
      </c>
      <c r="DR15" s="7">
        <v>2.2035264994874001E-2</v>
      </c>
      <c r="DS15" s="7">
        <v>-3.7530143777968331E-2</v>
      </c>
      <c r="DT15" s="7">
        <v>7.2163631718163007E-2</v>
      </c>
      <c r="DU15" s="7">
        <v>4.5770728951680668E-2</v>
      </c>
      <c r="DV15" s="7">
        <v>-0.13976835694087139</v>
      </c>
      <c r="DW15" s="7">
        <v>2.5538627146832551E-2</v>
      </c>
      <c r="DX15" s="7">
        <v>-2.1545670320480031E-2</v>
      </c>
      <c r="DY15" s="7">
        <v>8.3673634692538773E-2</v>
      </c>
      <c r="DZ15" s="7">
        <v>-3.6596497763803963E-2</v>
      </c>
      <c r="EA15" s="7">
        <v>-0.10917693290987859</v>
      </c>
      <c r="EB15" s="7">
        <v>5.6126480267324717E-2</v>
      </c>
      <c r="EC15" s="7">
        <v>7.6157076796619858E-2</v>
      </c>
      <c r="ED15" s="7">
        <v>0.1133570559353114</v>
      </c>
      <c r="EE15" s="7">
        <v>3.1907205015268242E-3</v>
      </c>
      <c r="EF15" s="8">
        <v>-6.5700991138842244E-2</v>
      </c>
      <c r="EG15" s="15">
        <f t="shared" si="6"/>
        <v>7.0940527786889414E-3</v>
      </c>
      <c r="EH15" s="15">
        <f t="shared" si="7"/>
        <v>8.4357015563494855E-2</v>
      </c>
      <c r="EI15" s="15">
        <f t="shared" si="8"/>
        <v>8.4095587442271524E-2</v>
      </c>
    </row>
    <row r="16" spans="1:139" x14ac:dyDescent="0.3">
      <c r="A16" s="1">
        <v>107</v>
      </c>
      <c r="B16" s="1">
        <v>9</v>
      </c>
      <c r="C16" s="7">
        <v>-2.7383644610379052E-2</v>
      </c>
      <c r="D16" s="7">
        <v>0.40819497873258059</v>
      </c>
      <c r="E16" s="7">
        <v>2.8301766100853822E-3</v>
      </c>
      <c r="F16" s="7">
        <v>9.9382492855487087E-2</v>
      </c>
      <c r="G16" s="7">
        <v>7.3696265126923857E-2</v>
      </c>
      <c r="H16" s="7">
        <v>-6.0999004616936837E-2</v>
      </c>
      <c r="I16" s="7">
        <v>-5.7530618665621432E-2</v>
      </c>
      <c r="J16" s="7">
        <v>-6.869403325322769E-2</v>
      </c>
      <c r="K16" s="7">
        <v>0.28467055022653209</v>
      </c>
      <c r="L16" s="7">
        <v>-9.8865345878687977E-3</v>
      </c>
      <c r="M16" s="7">
        <v>-1.3987435861917089E-2</v>
      </c>
      <c r="N16" s="7">
        <v>-0.1256706255427503</v>
      </c>
      <c r="O16" s="7">
        <v>1.562109222531044E-2</v>
      </c>
      <c r="P16" s="7">
        <v>8.1881795143319731E-3</v>
      </c>
      <c r="Q16" s="7">
        <v>0.15790307042433799</v>
      </c>
      <c r="R16" s="7">
        <v>1.9182762255635071E-2</v>
      </c>
      <c r="S16" s="7">
        <v>-4.241518321095411E-2</v>
      </c>
      <c r="T16" s="7">
        <v>-2.322678494413952E-2</v>
      </c>
      <c r="U16" s="7">
        <v>0.1300624714297445</v>
      </c>
      <c r="V16" s="7">
        <v>-7.5571486108906974E-2</v>
      </c>
      <c r="W16" s="7">
        <v>-0.1016313571311754</v>
      </c>
      <c r="X16" s="7">
        <v>7.3678277657467109E-2</v>
      </c>
      <c r="Y16" s="7">
        <v>-5.0278834461062571E-2</v>
      </c>
      <c r="Z16" s="7">
        <v>-2.0075794878424799E-2</v>
      </c>
      <c r="AA16" s="7">
        <v>5.022552686591434E-2</v>
      </c>
      <c r="AB16" s="7">
        <v>-7.1016126417337094E-2</v>
      </c>
      <c r="AC16" s="7">
        <v>4.7226236202560543E-2</v>
      </c>
      <c r="AD16" s="7">
        <v>-3.481117185725148E-2</v>
      </c>
      <c r="AE16" s="7">
        <v>5.1534991881901908E-2</v>
      </c>
      <c r="AF16" s="7">
        <v>-0.14791561026442651</v>
      </c>
      <c r="AG16" s="7">
        <v>4.3776159735772403E-2</v>
      </c>
      <c r="AH16" s="7">
        <v>4.4107019023009487E-2</v>
      </c>
      <c r="AI16" s="7">
        <v>-3.3383255671647301E-2</v>
      </c>
      <c r="AJ16" s="7">
        <v>1.7629241723035149E-2</v>
      </c>
      <c r="AK16" s="7">
        <v>-3.7433452981487869E-2</v>
      </c>
      <c r="AL16" s="7">
        <v>-5.4397026306529771E-3</v>
      </c>
      <c r="AM16" s="7">
        <v>-5.2145732480091148E-2</v>
      </c>
      <c r="AN16" s="7">
        <v>-5.2712143495019431E-2</v>
      </c>
      <c r="AO16" s="7">
        <v>-6.1424671825912318E-2</v>
      </c>
      <c r="AP16" s="7">
        <v>7.779836814558852E-2</v>
      </c>
      <c r="AQ16" s="7">
        <v>3.8466200146068608E-2</v>
      </c>
      <c r="AR16" s="7">
        <v>-3.2492759720063692E-2</v>
      </c>
      <c r="AS16" s="7">
        <v>5.2642718238233757E-2</v>
      </c>
      <c r="AT16" s="7">
        <v>4.954715531837002E-2</v>
      </c>
      <c r="AU16" s="7">
        <v>4.1826838254895117E-2</v>
      </c>
      <c r="AV16" s="7">
        <v>-9.0725067800187069E-3</v>
      </c>
      <c r="AW16" s="7">
        <v>3.9252930074650652E-2</v>
      </c>
      <c r="AX16" s="7">
        <v>-0.1006213291014028</v>
      </c>
      <c r="AY16" s="7">
        <v>1.9601853599139189E-2</v>
      </c>
      <c r="AZ16" s="7">
        <v>-0.1049096351787122</v>
      </c>
      <c r="BA16" s="7">
        <v>1.4923105057586089E-2</v>
      </c>
      <c r="BB16" s="7">
        <v>0.1324747375965718</v>
      </c>
      <c r="BC16" s="7">
        <v>-3.8999391922231702E-2</v>
      </c>
      <c r="BD16" s="7">
        <v>3.5936711545904013E-2</v>
      </c>
      <c r="BE16" s="7">
        <v>-4.4139136640068882E-2</v>
      </c>
      <c r="BF16" s="7">
        <v>-5.4584963205786277E-2</v>
      </c>
      <c r="BG16" s="7">
        <v>1.9331206971702371E-2</v>
      </c>
      <c r="BH16" s="7">
        <v>-6.204002555156761E-2</v>
      </c>
      <c r="BI16" s="7">
        <v>4.1443807763261883E-2</v>
      </c>
      <c r="BJ16" s="7">
        <v>-2.0503816283207601E-2</v>
      </c>
      <c r="BK16" s="7">
        <v>0.1047732029205687</v>
      </c>
      <c r="BL16" s="7">
        <v>-8.4142573937307022E-3</v>
      </c>
      <c r="BM16" s="7">
        <v>-6.9805825252800505E-2</v>
      </c>
      <c r="BN16" s="7">
        <v>6.7197970404689056E-2</v>
      </c>
      <c r="BO16" s="7">
        <v>1.5960318994735909E-2</v>
      </c>
      <c r="BP16" s="7">
        <v>2.0843183547580579E-2</v>
      </c>
      <c r="BQ16" s="7">
        <v>1.6478016254928601E-2</v>
      </c>
      <c r="BR16" s="7">
        <v>0.13058296822502161</v>
      </c>
      <c r="BS16" s="7">
        <v>-1.319157314746418E-2</v>
      </c>
      <c r="BT16" s="7">
        <v>-3.8066078212245447E-2</v>
      </c>
      <c r="BU16" s="7">
        <v>5.7765110184800447E-2</v>
      </c>
      <c r="BV16" s="7">
        <v>6.0711239446840828E-2</v>
      </c>
      <c r="BW16" s="7">
        <v>-6.5740927426534632E-2</v>
      </c>
      <c r="BX16" s="7">
        <v>3.1559237521130948E-2</v>
      </c>
      <c r="BY16" s="7">
        <v>-0.1189947080532785</v>
      </c>
      <c r="BZ16" s="7">
        <v>0.11152584850164921</v>
      </c>
      <c r="CA16" s="7">
        <v>2.7432169651693931E-2</v>
      </c>
      <c r="CB16" s="7">
        <v>0.13930873593333401</v>
      </c>
      <c r="CC16" s="7">
        <v>4.4388153170205821E-2</v>
      </c>
      <c r="CD16" s="7">
        <v>8.7751090265593801E-2</v>
      </c>
      <c r="CE16" s="7">
        <v>9.3614230467915741E-2</v>
      </c>
      <c r="CF16" s="7">
        <v>-5.280008433528089E-2</v>
      </c>
      <c r="CG16" s="7">
        <v>0.14619604002614181</v>
      </c>
      <c r="CH16" s="7">
        <v>4.1697414703027062E-2</v>
      </c>
      <c r="CI16" s="7">
        <v>-5.8344749844507937E-2</v>
      </c>
      <c r="CJ16" s="7">
        <v>4.5523550787666608E-2</v>
      </c>
      <c r="CK16" s="7">
        <v>7.6472983717690388E-2</v>
      </c>
      <c r="CL16" s="7">
        <v>1.5878682334709331E-2</v>
      </c>
      <c r="CM16" s="7">
        <v>-6.9997267456522183E-3</v>
      </c>
      <c r="CN16" s="7">
        <v>-0.16035991631652741</v>
      </c>
      <c r="CO16" s="7">
        <v>0.13464020879390531</v>
      </c>
      <c r="CP16" s="7">
        <v>-0.13663168948209131</v>
      </c>
      <c r="CQ16" s="7">
        <v>-4.1435605659410409E-2</v>
      </c>
      <c r="CR16" s="7">
        <v>-4.829976668331655E-2</v>
      </c>
      <c r="CS16" s="7">
        <v>2.1807008909622099E-2</v>
      </c>
      <c r="CT16" s="7">
        <v>-5.0674065008409694E-3</v>
      </c>
      <c r="CU16" s="7">
        <v>6.343465435897469E-2</v>
      </c>
      <c r="CV16" s="7">
        <v>1.6751084080720881E-2</v>
      </c>
      <c r="CW16" s="7">
        <v>9.1941595326216954E-3</v>
      </c>
      <c r="CX16" s="7">
        <v>6.6867776782281244E-3</v>
      </c>
      <c r="CY16" s="7">
        <v>4.9117049116625407E-2</v>
      </c>
      <c r="CZ16" s="7">
        <v>-0.1026332591781325</v>
      </c>
      <c r="DA16" s="7">
        <v>2.9804793967235531E-2</v>
      </c>
      <c r="DB16" s="7">
        <v>4.2712169780226052E-2</v>
      </c>
      <c r="DC16" s="7">
        <v>-8.3264051622984642E-2</v>
      </c>
      <c r="DD16" s="7">
        <v>7.0070935057357717E-2</v>
      </c>
      <c r="DE16" s="7">
        <v>-3.4552400358790022E-2</v>
      </c>
      <c r="DF16" s="7">
        <v>-0.32557955091715263</v>
      </c>
      <c r="DG16" s="7">
        <v>-1.445294763143863E-2</v>
      </c>
      <c r="DH16" s="7">
        <v>1.9129343417971109E-2</v>
      </c>
      <c r="DI16" s="7">
        <v>-4.5399497901261208E-2</v>
      </c>
      <c r="DJ16" s="7">
        <v>-5.17532210725552E-2</v>
      </c>
      <c r="DK16" s="7">
        <v>-0.1335943566255807</v>
      </c>
      <c r="DL16" s="7">
        <v>-2.187287424977424E-2</v>
      </c>
      <c r="DM16" s="7">
        <v>3.0330949758340948E-2</v>
      </c>
      <c r="DN16" s="7">
        <v>-5.6707576938316691E-2</v>
      </c>
      <c r="DO16" s="7">
        <v>0.16959094638807429</v>
      </c>
      <c r="DP16" s="7">
        <v>2.4716583377735541E-2</v>
      </c>
      <c r="DQ16" s="7">
        <v>6.7560519945635999E-2</v>
      </c>
      <c r="DR16" s="7">
        <v>1.11781676491013E-2</v>
      </c>
      <c r="DS16" s="7">
        <v>-2.144067271249302E-2</v>
      </c>
      <c r="DT16" s="7">
        <v>0.10053412782446559</v>
      </c>
      <c r="DU16" s="7">
        <v>6.447373376953866E-2</v>
      </c>
      <c r="DV16" s="7">
        <v>-0.13695373201779351</v>
      </c>
      <c r="DW16" s="7">
        <v>4.0917729699690833E-2</v>
      </c>
      <c r="DX16" s="7">
        <v>-2.1947727776040898E-2</v>
      </c>
      <c r="DY16" s="7">
        <v>9.4984864221236961E-2</v>
      </c>
      <c r="DZ16" s="7">
        <v>-1.264917158578936E-2</v>
      </c>
      <c r="EA16" s="7">
        <v>-0.13979901874338971</v>
      </c>
      <c r="EB16" s="7">
        <v>7.0875443779551073E-2</v>
      </c>
      <c r="EC16" s="7">
        <v>6.8501480567839029E-2</v>
      </c>
      <c r="ED16" s="7">
        <v>0.1154167474989211</v>
      </c>
      <c r="EE16" s="7">
        <v>4.3966753067597054E-3</v>
      </c>
      <c r="EF16" s="8">
        <v>-4.2474401493907223E-2</v>
      </c>
      <c r="EG16" s="15">
        <f t="shared" si="6"/>
        <v>7.7867006043550293E-3</v>
      </c>
      <c r="EH16" s="15">
        <f t="shared" si="7"/>
        <v>8.6153974275574904E-2</v>
      </c>
      <c r="EI16" s="15">
        <f t="shared" si="8"/>
        <v>9.0381211892190089E-2</v>
      </c>
    </row>
    <row r="17" spans="1:139" x14ac:dyDescent="0.3">
      <c r="A17" s="1">
        <v>120</v>
      </c>
      <c r="B17" s="1">
        <v>8</v>
      </c>
      <c r="C17" s="7">
        <v>-4.1028984252961823E-2</v>
      </c>
      <c r="D17" s="7">
        <v>0.43958848862462141</v>
      </c>
      <c r="E17" s="7">
        <v>-7.3790014953013412E-3</v>
      </c>
      <c r="F17" s="7">
        <v>0.1128375151172957</v>
      </c>
      <c r="G17" s="7">
        <v>7.122276687818177E-2</v>
      </c>
      <c r="H17" s="7">
        <v>-7.6687821562616859E-2</v>
      </c>
      <c r="I17" s="7">
        <v>-0.1137250278021875</v>
      </c>
      <c r="J17" s="7">
        <v>-0.11529907324194991</v>
      </c>
      <c r="K17" s="7">
        <v>0.29682655110056239</v>
      </c>
      <c r="L17" s="7">
        <v>-9.7108895081580021E-3</v>
      </c>
      <c r="M17" s="7">
        <v>1.4659142090288421E-2</v>
      </c>
      <c r="N17" s="7">
        <v>-0.1359484320527852</v>
      </c>
      <c r="O17" s="7">
        <v>2.4632055211945642E-2</v>
      </c>
      <c r="P17" s="7">
        <v>1.338294674336832E-2</v>
      </c>
      <c r="Q17" s="7">
        <v>0.16180129461512691</v>
      </c>
      <c r="R17" s="7">
        <v>1.9752512806694429E-3</v>
      </c>
      <c r="S17" s="7">
        <v>-5.51320257379724E-2</v>
      </c>
      <c r="T17" s="7">
        <v>-2.3507588651560989E-2</v>
      </c>
      <c r="U17" s="7">
        <v>0.14127114253855691</v>
      </c>
      <c r="V17" s="7">
        <v>-9.7259655852603044E-2</v>
      </c>
      <c r="W17" s="7">
        <v>-0.1286672543576686</v>
      </c>
      <c r="X17" s="7">
        <v>0.1001859670039883</v>
      </c>
      <c r="Y17" s="7">
        <v>-7.3623131490407626E-2</v>
      </c>
      <c r="Z17" s="7">
        <v>-2.160848979426638E-2</v>
      </c>
      <c r="AA17" s="7">
        <v>6.2254197086471723E-2</v>
      </c>
      <c r="AB17" s="7">
        <v>-5.8334160690778111E-2</v>
      </c>
      <c r="AC17" s="7">
        <v>5.8728690290493803E-2</v>
      </c>
      <c r="AD17" s="7">
        <v>-6.8619823236846789E-2</v>
      </c>
      <c r="AE17" s="7">
        <v>5.9443499695692369E-2</v>
      </c>
      <c r="AF17" s="7">
        <v>-0.1202863246558465</v>
      </c>
      <c r="AG17" s="7">
        <v>6.2640141571138702E-2</v>
      </c>
      <c r="AH17" s="7">
        <v>3.1921450212330872E-2</v>
      </c>
      <c r="AI17" s="7">
        <v>-5.7037975655486538E-2</v>
      </c>
      <c r="AJ17" s="7">
        <v>2.220745952474644E-2</v>
      </c>
      <c r="AK17" s="7">
        <v>-2.937588960957525E-2</v>
      </c>
      <c r="AL17" s="7">
        <v>-2.701818216868862E-2</v>
      </c>
      <c r="AM17" s="7">
        <v>-9.3351710026530269E-2</v>
      </c>
      <c r="AN17" s="7">
        <v>-4.9360372419014018E-2</v>
      </c>
      <c r="AO17" s="7">
        <v>-1.2632334595724191E-2</v>
      </c>
      <c r="AP17" s="7">
        <v>7.7242814419585484E-2</v>
      </c>
      <c r="AQ17" s="7">
        <v>6.052713740149903E-2</v>
      </c>
      <c r="AR17" s="7">
        <v>-3.4997281035057427E-2</v>
      </c>
      <c r="AS17" s="7">
        <v>5.8802956944234333E-2</v>
      </c>
      <c r="AT17" s="7">
        <v>5.2267806449722218E-2</v>
      </c>
      <c r="AU17" s="7">
        <v>5.4555507286687788E-2</v>
      </c>
      <c r="AV17" s="7">
        <v>-2.120590278226837E-2</v>
      </c>
      <c r="AW17" s="7">
        <v>8.4218880418367916E-3</v>
      </c>
      <c r="AX17" s="7">
        <v>-9.7619105117607935E-2</v>
      </c>
      <c r="AY17" s="7">
        <v>1.547804570524644E-2</v>
      </c>
      <c r="AZ17" s="7">
        <v>-0.1251576022601911</v>
      </c>
      <c r="BA17" s="7">
        <v>9.8251791071129642E-3</v>
      </c>
      <c r="BB17" s="7">
        <v>0.15327128427838471</v>
      </c>
      <c r="BC17" s="7">
        <v>-2.729282438048998E-2</v>
      </c>
      <c r="BD17" s="7">
        <v>2.235648224620481E-2</v>
      </c>
      <c r="BE17" s="7">
        <v>-1.6297388770544239E-2</v>
      </c>
      <c r="BF17" s="7">
        <v>-7.741760405507267E-2</v>
      </c>
      <c r="BG17" s="7">
        <v>-1.3153310785772251E-2</v>
      </c>
      <c r="BH17" s="7">
        <v>-4.8737994244788217E-2</v>
      </c>
      <c r="BI17" s="7">
        <v>8.7111945439947241E-2</v>
      </c>
      <c r="BJ17" s="7">
        <v>-9.8580642732364818E-3</v>
      </c>
      <c r="BK17" s="7">
        <v>0.11481579199951759</v>
      </c>
      <c r="BL17" s="7">
        <v>7.5736051069474897E-3</v>
      </c>
      <c r="BM17" s="7">
        <v>-7.7967325781843663E-2</v>
      </c>
      <c r="BN17" s="7">
        <v>7.3656767936365913E-2</v>
      </c>
      <c r="BO17" s="7">
        <v>3.135029868338178E-2</v>
      </c>
      <c r="BP17" s="7">
        <v>3.5995979654480911E-2</v>
      </c>
      <c r="BQ17" s="7">
        <v>1.1376510446451601E-2</v>
      </c>
      <c r="BR17" s="7">
        <v>0.1150223530257518</v>
      </c>
      <c r="BS17" s="7">
        <v>-4.1034691106065987E-3</v>
      </c>
      <c r="BT17" s="7">
        <v>-3.3647573246358371E-2</v>
      </c>
      <c r="BU17" s="7">
        <v>7.1127818750752414E-2</v>
      </c>
      <c r="BV17" s="7">
        <v>7.0210303019628315E-2</v>
      </c>
      <c r="BW17" s="7">
        <v>-8.0431712599265903E-2</v>
      </c>
      <c r="BX17" s="7">
        <v>2.882296461967274E-2</v>
      </c>
      <c r="BY17" s="7">
        <v>-9.5860871919991084E-2</v>
      </c>
      <c r="BZ17" s="7">
        <v>0.12057815588108529</v>
      </c>
      <c r="CA17" s="7">
        <v>2.7196784377914691E-2</v>
      </c>
      <c r="CB17" s="7">
        <v>0.1496331576928896</v>
      </c>
      <c r="CC17" s="7">
        <v>4.1760252474235628E-2</v>
      </c>
      <c r="CD17" s="7">
        <v>6.4105945265327313E-2</v>
      </c>
      <c r="CE17" s="7">
        <v>9.5708073661495086E-2</v>
      </c>
      <c r="CF17" s="7">
        <v>-5.8238796594696537E-2</v>
      </c>
      <c r="CG17" s="7">
        <v>0.17703460732335141</v>
      </c>
      <c r="CH17" s="7">
        <v>5.8636446607050002E-2</v>
      </c>
      <c r="CI17" s="7">
        <v>-8.2452914320057163E-2</v>
      </c>
      <c r="CJ17" s="7">
        <v>5.0742321484442049E-2</v>
      </c>
      <c r="CK17" s="7">
        <v>9.1738572657912937E-2</v>
      </c>
      <c r="CL17" s="7">
        <v>-9.426344769031314E-3</v>
      </c>
      <c r="CM17" s="7">
        <v>1.669972893353411E-3</v>
      </c>
      <c r="CN17" s="7">
        <v>-0.1765312785813869</v>
      </c>
      <c r="CO17" s="7">
        <v>0.13741287532952509</v>
      </c>
      <c r="CP17" s="7">
        <v>-0.1481592691973436</v>
      </c>
      <c r="CQ17" s="7">
        <v>-4.1087933183403327E-2</v>
      </c>
      <c r="CR17" s="7">
        <v>-5.0676490702223173E-2</v>
      </c>
      <c r="CS17" s="7">
        <v>1.1545515717005199E-2</v>
      </c>
      <c r="CT17" s="7">
        <v>-4.9260056389193077E-2</v>
      </c>
      <c r="CU17" s="7">
        <v>7.440830758325391E-2</v>
      </c>
      <c r="CV17" s="7">
        <v>-3.8796079399274282E-3</v>
      </c>
      <c r="CW17" s="7">
        <v>1.976185390935294E-2</v>
      </c>
      <c r="CX17" s="7">
        <v>2.4992449205521659E-2</v>
      </c>
      <c r="CY17" s="7">
        <v>4.9383298716090041E-2</v>
      </c>
      <c r="CZ17" s="7">
        <v>-0.1242488378476205</v>
      </c>
      <c r="DA17" s="7">
        <v>4.3895859145134192E-2</v>
      </c>
      <c r="DB17" s="7">
        <v>3.4883010792467917E-2</v>
      </c>
      <c r="DC17" s="7">
        <v>-9.8849392549809512E-2</v>
      </c>
      <c r="DD17" s="7">
        <v>8.5133933084153957E-2</v>
      </c>
      <c r="DE17" s="7">
        <v>-2.4124863346722019E-2</v>
      </c>
      <c r="DF17" s="7">
        <v>-0.35222555427147212</v>
      </c>
      <c r="DG17" s="7">
        <v>1.8392819289084069E-3</v>
      </c>
      <c r="DH17" s="7">
        <v>3.8726650938012717E-2</v>
      </c>
      <c r="DI17" s="7">
        <v>-3.5044536065945063E-2</v>
      </c>
      <c r="DJ17" s="7">
        <v>-5.7146500327343322E-2</v>
      </c>
      <c r="DK17" s="7">
        <v>-0.15603642811654619</v>
      </c>
      <c r="DL17" s="7">
        <v>-3.929731691128693E-3</v>
      </c>
      <c r="DM17" s="7">
        <v>5.2252910582316028E-2</v>
      </c>
      <c r="DN17" s="7">
        <v>-6.0629182792548447E-2</v>
      </c>
      <c r="DO17" s="7">
        <v>0.17976292609872879</v>
      </c>
      <c r="DP17" s="7">
        <v>2.509743000805471E-2</v>
      </c>
      <c r="DQ17" s="7">
        <v>6.5244348133762259E-2</v>
      </c>
      <c r="DR17" s="7">
        <v>2.572643946627351E-2</v>
      </c>
      <c r="DS17" s="7">
        <v>-3.7354088755102308E-2</v>
      </c>
      <c r="DT17" s="7">
        <v>9.3138949685151573E-2</v>
      </c>
      <c r="DU17" s="7">
        <v>7.1730706050505327E-2</v>
      </c>
      <c r="DV17" s="7">
        <v>-0.11776539811095429</v>
      </c>
      <c r="DW17" s="7">
        <v>4.8681483414150163E-2</v>
      </c>
      <c r="DX17" s="7">
        <v>2.3035180169188669E-2</v>
      </c>
      <c r="DY17" s="7">
        <v>0.12601053790105471</v>
      </c>
      <c r="DZ17" s="7">
        <v>4.7910532459885732E-3</v>
      </c>
      <c r="EA17" s="7">
        <v>-0.1645715232321148</v>
      </c>
      <c r="EB17" s="7">
        <v>7.3780969717652869E-2</v>
      </c>
      <c r="EC17" s="7">
        <v>0.1215120172680231</v>
      </c>
      <c r="ED17" s="7">
        <v>0.12832444392891271</v>
      </c>
      <c r="EE17" s="7">
        <v>-1.9352114607941879E-4</v>
      </c>
      <c r="EF17" s="8">
        <v>-4.7709767009851849E-2</v>
      </c>
      <c r="EG17" s="15">
        <f t="shared" si="6"/>
        <v>8.9282427337657646E-3</v>
      </c>
      <c r="EH17" s="15">
        <f t="shared" si="7"/>
        <v>9.456091165746662E-2</v>
      </c>
      <c r="EI17" s="15">
        <f t="shared" si="8"/>
        <v>9.441790034879366E-2</v>
      </c>
    </row>
    <row r="18" spans="1:139" x14ac:dyDescent="0.3">
      <c r="A18" s="1">
        <v>137</v>
      </c>
      <c r="B18" s="1">
        <v>7</v>
      </c>
      <c r="C18" s="7">
        <v>-5.3942228163147227E-2</v>
      </c>
      <c r="D18" s="7">
        <v>0.40188368142206798</v>
      </c>
      <c r="E18" s="7">
        <v>5.900065709820778E-2</v>
      </c>
      <c r="F18" s="7">
        <v>0.13441437443338569</v>
      </c>
      <c r="G18" s="7">
        <v>8.0794247020859855E-2</v>
      </c>
      <c r="H18" s="7">
        <v>-0.1219127893632701</v>
      </c>
      <c r="I18" s="7">
        <v>-0.13550018022324109</v>
      </c>
      <c r="J18" s="7">
        <v>-0.12516179308854181</v>
      </c>
      <c r="K18" s="7">
        <v>0.35868209850789973</v>
      </c>
      <c r="L18" s="7">
        <v>-1.298248684698161E-2</v>
      </c>
      <c r="M18" s="7">
        <v>2.9051464376457319E-2</v>
      </c>
      <c r="N18" s="7">
        <v>-0.1429924272847711</v>
      </c>
      <c r="O18" s="7">
        <v>2.432387484281975E-2</v>
      </c>
      <c r="P18" s="7">
        <v>8.3280858539089599E-3</v>
      </c>
      <c r="Q18" s="7">
        <v>0.18897541868948989</v>
      </c>
      <c r="R18" s="7">
        <v>1.9326198926856369E-2</v>
      </c>
      <c r="S18" s="7">
        <v>-6.9013340393708683E-2</v>
      </c>
      <c r="T18" s="7">
        <v>-5.0281401732647129E-3</v>
      </c>
      <c r="U18" s="7">
        <v>0.132495024429819</v>
      </c>
      <c r="V18" s="7">
        <v>-0.1213914614259257</v>
      </c>
      <c r="W18" s="7">
        <v>-0.16613482926929909</v>
      </c>
      <c r="X18" s="7">
        <v>0.1271228086254903</v>
      </c>
      <c r="Y18" s="7">
        <v>-0.1038792439088113</v>
      </c>
      <c r="Z18" s="7">
        <v>-1.690571618738388E-2</v>
      </c>
      <c r="AA18" s="7">
        <v>5.4804497980215187E-2</v>
      </c>
      <c r="AB18" s="7">
        <v>-6.1713850673723439E-2</v>
      </c>
      <c r="AC18" s="7">
        <v>5.782301285595727E-2</v>
      </c>
      <c r="AD18" s="7">
        <v>-9.6285845185419314E-2</v>
      </c>
      <c r="AE18" s="7">
        <v>7.7201591618879711E-2</v>
      </c>
      <c r="AF18" s="7">
        <v>-0.1505436398240734</v>
      </c>
      <c r="AG18" s="7">
        <v>8.1719979892753619E-2</v>
      </c>
      <c r="AH18" s="7">
        <v>3.591323041590648E-2</v>
      </c>
      <c r="AI18" s="7">
        <v>-8.1423750051169697E-2</v>
      </c>
      <c r="AJ18" s="7">
        <v>7.3274438891894889E-3</v>
      </c>
      <c r="AK18" s="7">
        <v>-2.283288536199644E-2</v>
      </c>
      <c r="AL18" s="7">
        <v>-3.2812811779609451E-2</v>
      </c>
      <c r="AM18" s="7">
        <v>-9.6053029136818027E-2</v>
      </c>
      <c r="AN18" s="7">
        <v>-5.3661578264684401E-2</v>
      </c>
      <c r="AO18" s="7">
        <v>-5.4275349676927882E-3</v>
      </c>
      <c r="AP18" s="7">
        <v>7.8278591933806971E-2</v>
      </c>
      <c r="AQ18" s="7">
        <v>7.6230845326449942E-2</v>
      </c>
      <c r="AR18" s="7">
        <v>-6.1694523600781571E-2</v>
      </c>
      <c r="AS18" s="7">
        <v>8.3253127889185943E-2</v>
      </c>
      <c r="AT18" s="7">
        <v>4.3325649820578682E-2</v>
      </c>
      <c r="AU18" s="7">
        <v>6.4575644079591543E-2</v>
      </c>
      <c r="AV18" s="7">
        <v>-2.8768755881717199E-2</v>
      </c>
      <c r="AW18" s="7">
        <v>2.4538034241107461E-2</v>
      </c>
      <c r="AX18" s="7">
        <v>-0.12606433742612741</v>
      </c>
      <c r="AY18" s="7">
        <v>3.0189358728490181E-2</v>
      </c>
      <c r="AZ18" s="7">
        <v>-0.14840908238889911</v>
      </c>
      <c r="BA18" s="7">
        <v>6.3231092468556214E-4</v>
      </c>
      <c r="BB18" s="7">
        <v>0.16725801848079261</v>
      </c>
      <c r="BC18" s="7">
        <v>2.7942050701969749E-2</v>
      </c>
      <c r="BD18" s="7">
        <v>-2.4016271687300441E-2</v>
      </c>
      <c r="BE18" s="7">
        <v>-2.2230541258883942E-2</v>
      </c>
      <c r="BF18" s="7">
        <v>-3.8143151088164323E-2</v>
      </c>
      <c r="BG18" s="7">
        <v>-2.308236889505343E-3</v>
      </c>
      <c r="BH18" s="7">
        <v>-6.2935383825294358E-2</v>
      </c>
      <c r="BI18" s="7">
        <v>0.1090000069186657</v>
      </c>
      <c r="BJ18" s="7">
        <v>5.9560640504595433E-3</v>
      </c>
      <c r="BK18" s="7">
        <v>7.3455626824005624E-2</v>
      </c>
      <c r="BL18" s="7">
        <v>2.6352779482868838E-2</v>
      </c>
      <c r="BM18" s="7">
        <v>-6.9782332729482255E-2</v>
      </c>
      <c r="BN18" s="7">
        <v>7.8208699482375382E-2</v>
      </c>
      <c r="BO18" s="7">
        <v>8.4067312683740805E-3</v>
      </c>
      <c r="BP18" s="7">
        <v>4.6857540334682007E-2</v>
      </c>
      <c r="BQ18" s="7">
        <v>1.916784109848992E-3</v>
      </c>
      <c r="BR18" s="7">
        <v>0.1209618178824758</v>
      </c>
      <c r="BS18" s="7">
        <v>-3.9836250971192512E-3</v>
      </c>
      <c r="BT18" s="7">
        <v>-1.329915077767777E-2</v>
      </c>
      <c r="BU18" s="7">
        <v>8.0677444040040805E-2</v>
      </c>
      <c r="BV18" s="7">
        <v>8.0923395277042356E-2</v>
      </c>
      <c r="BW18" s="7">
        <v>-8.531108693319546E-2</v>
      </c>
      <c r="BX18" s="7">
        <v>1.9018474716035669E-2</v>
      </c>
      <c r="BY18" s="7">
        <v>-6.2686744450084916E-2</v>
      </c>
      <c r="BZ18" s="7">
        <v>0.15331998780259809</v>
      </c>
      <c r="CA18" s="7">
        <v>3.3286164900529089E-2</v>
      </c>
      <c r="CB18" s="7">
        <v>0.1068460604700732</v>
      </c>
      <c r="CC18" s="7">
        <v>0.1046606238416451</v>
      </c>
      <c r="CD18" s="7">
        <v>5.0445794555038302E-2</v>
      </c>
      <c r="CE18" s="7">
        <v>7.7260394878222755E-2</v>
      </c>
      <c r="CF18" s="7">
        <v>4.3957743386608697E-2</v>
      </c>
      <c r="CG18" s="7">
        <v>0.22664140590161991</v>
      </c>
      <c r="CH18" s="7">
        <v>0.16265704668723319</v>
      </c>
      <c r="CI18" s="7">
        <v>-0.11772540993228391</v>
      </c>
      <c r="CJ18" s="7">
        <v>6.2313677824909687E-2</v>
      </c>
      <c r="CK18" s="7">
        <v>9.0667784292283726E-2</v>
      </c>
      <c r="CL18" s="7">
        <v>-3.0989545058193121E-2</v>
      </c>
      <c r="CM18" s="7">
        <v>1.554875034200344E-2</v>
      </c>
      <c r="CN18" s="7">
        <v>-0.1209431335415747</v>
      </c>
      <c r="CO18" s="7">
        <v>0.1505975096222473</v>
      </c>
      <c r="CP18" s="7">
        <v>-0.16283910894801071</v>
      </c>
      <c r="CQ18" s="7">
        <v>-4.7976536408267538E-2</v>
      </c>
      <c r="CR18" s="7">
        <v>-5.5156128716592027E-2</v>
      </c>
      <c r="CS18" s="7">
        <v>2.8128560414088639E-2</v>
      </c>
      <c r="CT18" s="7">
        <v>-9.0515429002249403E-2</v>
      </c>
      <c r="CU18" s="7">
        <v>7.1648691205109999E-2</v>
      </c>
      <c r="CV18" s="7">
        <v>-9.1040282230288663E-2</v>
      </c>
      <c r="CW18" s="7">
        <v>8.4560855645258066E-3</v>
      </c>
      <c r="CX18" s="7">
        <v>-1.40787475802823E-2</v>
      </c>
      <c r="CY18" s="7">
        <v>5.135741377478225E-2</v>
      </c>
      <c r="CZ18" s="7">
        <v>-0.13284286330177139</v>
      </c>
      <c r="DA18" s="7">
        <v>4.7380939518693557E-2</v>
      </c>
      <c r="DB18" s="7">
        <v>4.5735208678759381E-2</v>
      </c>
      <c r="DC18" s="7">
        <v>-8.2819707211162524E-2</v>
      </c>
      <c r="DD18" s="7">
        <v>8.2462353495414184E-2</v>
      </c>
      <c r="DE18" s="7">
        <v>-3.8420587486450893E-2</v>
      </c>
      <c r="DF18" s="7">
        <v>-0.36669200961401482</v>
      </c>
      <c r="DG18" s="7">
        <v>7.619473157627699E-3</v>
      </c>
      <c r="DH18" s="7">
        <v>2.8038013248649029E-2</v>
      </c>
      <c r="DI18" s="7">
        <v>-1.8613248030418191E-2</v>
      </c>
      <c r="DJ18" s="7">
        <v>-5.0654511409894881E-2</v>
      </c>
      <c r="DK18" s="7">
        <v>-0.15851362709242739</v>
      </c>
      <c r="DL18" s="7">
        <v>-3.830274067592157E-3</v>
      </c>
      <c r="DM18" s="7">
        <v>6.650814073203816E-2</v>
      </c>
      <c r="DN18" s="7">
        <v>-5.6875260341834342E-2</v>
      </c>
      <c r="DO18" s="7">
        <v>0.22032021179129849</v>
      </c>
      <c r="DP18" s="7">
        <v>2.151033475949439E-2</v>
      </c>
      <c r="DQ18" s="7">
        <v>6.1955528967367397E-2</v>
      </c>
      <c r="DR18" s="7">
        <v>1.045124881951652E-2</v>
      </c>
      <c r="DS18" s="7">
        <v>-1.1277982255682851E-2</v>
      </c>
      <c r="DT18" s="7">
        <v>0.1160173901109771</v>
      </c>
      <c r="DU18" s="7">
        <v>9.6895186076904644E-2</v>
      </c>
      <c r="DV18" s="7">
        <v>-0.1056406088000619</v>
      </c>
      <c r="DW18" s="7">
        <v>8.1908692284373169E-2</v>
      </c>
      <c r="DX18" s="7">
        <v>6.8177293521735294E-2</v>
      </c>
      <c r="DY18" s="7">
        <v>0.16576310466200311</v>
      </c>
      <c r="DZ18" s="7">
        <v>4.3227854869441883E-2</v>
      </c>
      <c r="EA18" s="7">
        <v>-0.19894574816433719</v>
      </c>
      <c r="EB18" s="7">
        <v>9.7042689542278932E-2</v>
      </c>
      <c r="EC18" s="7">
        <v>0.14304023059278551</v>
      </c>
      <c r="ED18" s="7">
        <v>0.11047802186576559</v>
      </c>
      <c r="EE18" s="7">
        <v>1.111287672357628E-3</v>
      </c>
      <c r="EF18" s="8">
        <v>-4.8955017110416547E-2</v>
      </c>
      <c r="EG18" s="15">
        <f t="shared" si="6"/>
        <v>1.2313470412784513E-2</v>
      </c>
      <c r="EH18" s="15">
        <f t="shared" si="7"/>
        <v>0.10362276785348958</v>
      </c>
      <c r="EI18" s="15">
        <f t="shared" si="8"/>
        <v>0.11882977716050119</v>
      </c>
    </row>
    <row r="19" spans="1:139" x14ac:dyDescent="0.3">
      <c r="A19" s="1">
        <v>160</v>
      </c>
      <c r="B19" s="1">
        <v>6</v>
      </c>
      <c r="C19" s="7">
        <v>-7.7959416087486216E-2</v>
      </c>
      <c r="D19" s="7">
        <v>0.40752071008946927</v>
      </c>
      <c r="E19" s="7">
        <v>5.4898093767412171E-2</v>
      </c>
      <c r="F19" s="7">
        <v>3.864668188624408E-2</v>
      </c>
      <c r="G19" s="7">
        <v>9.7512090561600123E-2</v>
      </c>
      <c r="H19" s="7">
        <v>-0.14889412203584729</v>
      </c>
      <c r="I19" s="7">
        <v>-0.1346543328914665</v>
      </c>
      <c r="J19" s="7">
        <v>-0.15623035308620389</v>
      </c>
      <c r="K19" s="7">
        <v>0.41833785096963422</v>
      </c>
      <c r="L19" s="7">
        <v>-4.3048957635166023E-2</v>
      </c>
      <c r="M19" s="7">
        <v>-4.3690236156307287E-2</v>
      </c>
      <c r="N19" s="7">
        <v>-9.5347885689980899E-2</v>
      </c>
      <c r="O19" s="7">
        <v>-1.9797434001384839E-2</v>
      </c>
      <c r="P19" s="7">
        <v>2.3513160824520051E-2</v>
      </c>
      <c r="Q19" s="7">
        <v>0.19716308826451989</v>
      </c>
      <c r="R19" s="7">
        <v>4.1942629449215993E-2</v>
      </c>
      <c r="S19" s="7">
        <v>-7.8696261313160737E-2</v>
      </c>
      <c r="T19" s="7">
        <v>-0.1095258615359218</v>
      </c>
      <c r="U19" s="7">
        <v>0.13569833863192321</v>
      </c>
      <c r="V19" s="7">
        <v>-9.2688319725313148E-2</v>
      </c>
      <c r="W19" s="7">
        <v>-0.1747347633022315</v>
      </c>
      <c r="X19" s="7">
        <v>0.122923146245717</v>
      </c>
      <c r="Y19" s="7">
        <v>-0.10313023893043829</v>
      </c>
      <c r="Z19" s="7">
        <v>-2.2223239298902381E-2</v>
      </c>
      <c r="AA19" s="7">
        <v>4.7300121799034582E-2</v>
      </c>
      <c r="AB19" s="7">
        <v>-6.0762351466553767E-2</v>
      </c>
      <c r="AC19" s="7">
        <v>2.8452834641691321E-2</v>
      </c>
      <c r="AD19" s="7">
        <v>-9.5993377798068158E-2</v>
      </c>
      <c r="AE19" s="7">
        <v>0.11523186996306679</v>
      </c>
      <c r="AF19" s="7">
        <v>-0.1688305807080431</v>
      </c>
      <c r="AG19" s="7">
        <v>4.1487103444311647E-2</v>
      </c>
      <c r="AH19" s="7">
        <v>1.6089487774940799E-2</v>
      </c>
      <c r="AI19" s="7">
        <v>-4.7766352759796363E-2</v>
      </c>
      <c r="AJ19" s="7">
        <v>-1.2167191575980511E-2</v>
      </c>
      <c r="AK19" s="7">
        <v>-4.0581523113162987E-2</v>
      </c>
      <c r="AL19" s="7">
        <v>-1.491460752979841E-2</v>
      </c>
      <c r="AM19" s="7">
        <v>-6.112413105384671E-2</v>
      </c>
      <c r="AN19" s="7">
        <v>-6.2111384254486833E-2</v>
      </c>
      <c r="AO19" s="7">
        <v>-2.589290304541441E-2</v>
      </c>
      <c r="AP19" s="7">
        <v>8.757412027285208E-2</v>
      </c>
      <c r="AQ19" s="7">
        <v>8.8252757060650652E-2</v>
      </c>
      <c r="AR19" s="7">
        <v>-7.4616897634658869E-2</v>
      </c>
      <c r="AS19" s="7">
        <v>0.1091988760530663</v>
      </c>
      <c r="AT19" s="7">
        <v>4.9294981765701303E-2</v>
      </c>
      <c r="AU19" s="7">
        <v>7.6428715713654158E-2</v>
      </c>
      <c r="AV19" s="7">
        <v>-5.003302069697789E-2</v>
      </c>
      <c r="AW19" s="7">
        <v>2.2356168154136491E-2</v>
      </c>
      <c r="AX19" s="7">
        <v>-0.2241237953008561</v>
      </c>
      <c r="AY19" s="7">
        <v>6.6273242712472244E-2</v>
      </c>
      <c r="AZ19" s="7">
        <v>-0.18687961816817431</v>
      </c>
      <c r="BA19" s="7">
        <v>-3.4363883954073027E-2</v>
      </c>
      <c r="BB19" s="7">
        <v>0.2018019106632078</v>
      </c>
      <c r="BC19" s="7">
        <v>0.18457178940642721</v>
      </c>
      <c r="BD19" s="7">
        <v>-3.2343926300681461E-3</v>
      </c>
      <c r="BE19" s="7">
        <v>-3.0390671068303308E-2</v>
      </c>
      <c r="BF19" s="7">
        <v>-4.9436517218842242E-2</v>
      </c>
      <c r="BG19" s="7">
        <v>9.6322010834132277E-4</v>
      </c>
      <c r="BH19" s="7">
        <v>-5.7134461326532562E-2</v>
      </c>
      <c r="BI19" s="7">
        <v>0.12779862881921869</v>
      </c>
      <c r="BJ19" s="7">
        <v>2.1707301538579211E-2</v>
      </c>
      <c r="BK19" s="7">
        <v>9.7038422945385686E-2</v>
      </c>
      <c r="BL19" s="7">
        <v>2.599646479062228E-2</v>
      </c>
      <c r="BM19" s="7">
        <v>-8.8156796711781754E-2</v>
      </c>
      <c r="BN19" s="7">
        <v>8.141326020016787E-2</v>
      </c>
      <c r="BO19" s="7">
        <v>-1.8562314440354079E-2</v>
      </c>
      <c r="BP19" s="7">
        <v>6.2818807534132146E-2</v>
      </c>
      <c r="BQ19" s="7">
        <v>9.9340444543230683E-3</v>
      </c>
      <c r="BR19" s="7">
        <v>0.1368392355431455</v>
      </c>
      <c r="BS19" s="7">
        <v>-2.4256338744482069E-2</v>
      </c>
      <c r="BT19" s="7">
        <v>1.3193669203137359E-2</v>
      </c>
      <c r="BU19" s="7">
        <v>7.5936251234238056E-2</v>
      </c>
      <c r="BV19" s="7">
        <v>9.3655241153346391E-2</v>
      </c>
      <c r="BW19" s="7">
        <v>-0.10896696138364501</v>
      </c>
      <c r="BX19" s="7">
        <v>3.4087785271858247E-2</v>
      </c>
      <c r="BY19" s="7">
        <v>-2.7675492411660479E-2</v>
      </c>
      <c r="BZ19" s="7">
        <v>6.8702124822053873E-2</v>
      </c>
      <c r="CA19" s="7">
        <v>3.5609795289398637E-2</v>
      </c>
      <c r="CB19" s="7">
        <v>0.12783820910089719</v>
      </c>
      <c r="CC19" s="7">
        <v>2.2506232898517449E-2</v>
      </c>
      <c r="CD19" s="7">
        <v>8.7664948361316358E-2</v>
      </c>
      <c r="CE19" s="7">
        <v>8.8474858937667905E-2</v>
      </c>
      <c r="CF19" s="7">
        <v>7.9051524970814385E-2</v>
      </c>
      <c r="CG19" s="7">
        <v>0.2638931335655384</v>
      </c>
      <c r="CH19" s="7">
        <v>0.1528898670499263</v>
      </c>
      <c r="CI19" s="7">
        <v>-0.16520241227091251</v>
      </c>
      <c r="CJ19" s="7">
        <v>6.194049996603615E-2</v>
      </c>
      <c r="CK19" s="7">
        <v>0.1039677178170982</v>
      </c>
      <c r="CL19" s="7">
        <v>-4.3240279974789908E-2</v>
      </c>
      <c r="CM19" s="7">
        <v>7.558187099799421E-2</v>
      </c>
      <c r="CN19" s="7">
        <v>-0.14319321046953429</v>
      </c>
      <c r="CO19" s="7">
        <v>0.16614655777528059</v>
      </c>
      <c r="CP19" s="7">
        <v>-0.15903259898233271</v>
      </c>
      <c r="CQ19" s="7">
        <v>2.7299081545619341E-3</v>
      </c>
      <c r="CR19" s="7">
        <v>-4.9694189552402651E-2</v>
      </c>
      <c r="CS19" s="7">
        <v>4.3774986978304217E-2</v>
      </c>
      <c r="CT19" s="7">
        <v>-0.1226204266300308</v>
      </c>
      <c r="CU19" s="7">
        <v>8.3436397113892974E-2</v>
      </c>
      <c r="CV19" s="7">
        <v>-0.10197986151640361</v>
      </c>
      <c r="CW19" s="7">
        <v>2.190180778189859E-2</v>
      </c>
      <c r="CX19" s="7">
        <v>1.127594617394229E-3</v>
      </c>
      <c r="CY19" s="7">
        <v>7.092186956436955E-2</v>
      </c>
      <c r="CZ19" s="7">
        <v>-0.11285182864146399</v>
      </c>
      <c r="DA19" s="7">
        <v>5.8223876703236761E-2</v>
      </c>
      <c r="DB19" s="7">
        <v>3.572089902521567E-2</v>
      </c>
      <c r="DC19" s="7">
        <v>-6.5587584737896831E-2</v>
      </c>
      <c r="DD19" s="7">
        <v>0.10625733595480071</v>
      </c>
      <c r="DE19" s="7">
        <v>-3.3018414655792E-2</v>
      </c>
      <c r="DF19" s="7">
        <v>-0.20550174559429629</v>
      </c>
      <c r="DG19" s="7">
        <v>1.27464749106491E-2</v>
      </c>
      <c r="DH19" s="7">
        <v>1.569831294047225E-4</v>
      </c>
      <c r="DI19" s="7">
        <v>-5.8647033011268501E-2</v>
      </c>
      <c r="DJ19" s="7">
        <v>-8.0499602410030055E-2</v>
      </c>
      <c r="DK19" s="7">
        <v>-0.1241445877842076</v>
      </c>
      <c r="DL19" s="7">
        <v>-1.198278590897381E-2</v>
      </c>
      <c r="DM19" s="7">
        <v>8.1952255033994378E-2</v>
      </c>
      <c r="DN19" s="7">
        <v>-6.4294394334918112E-2</v>
      </c>
      <c r="DO19" s="7">
        <v>0.2492619517097443</v>
      </c>
      <c r="DP19" s="7">
        <v>4.0024609312920081E-3</v>
      </c>
      <c r="DQ19" s="7">
        <v>5.0623171449732877E-2</v>
      </c>
      <c r="DR19" s="7">
        <v>1.7544799275808199E-2</v>
      </c>
      <c r="DS19" s="7">
        <v>5.6773135189909819E-3</v>
      </c>
      <c r="DT19" s="7">
        <v>0.13312850061934939</v>
      </c>
      <c r="DU19" s="7">
        <v>0.14283069805444029</v>
      </c>
      <c r="DV19" s="7">
        <v>-0.1115247064406045</v>
      </c>
      <c r="DW19" s="7">
        <v>6.0609139340684293E-2</v>
      </c>
      <c r="DX19" s="7">
        <v>9.4614193357537776E-2</v>
      </c>
      <c r="DY19" s="7">
        <v>0.15211940960448689</v>
      </c>
      <c r="DZ19" s="7">
        <v>7.9643568138435011E-2</v>
      </c>
      <c r="EA19" s="7">
        <v>-0.23304583030528039</v>
      </c>
      <c r="EB19" s="7">
        <v>0.1062458580254447</v>
      </c>
      <c r="EC19" s="7">
        <v>0.14377420282500911</v>
      </c>
      <c r="ED19" s="7">
        <v>0.15093531699015689</v>
      </c>
      <c r="EE19" s="7">
        <v>-7.3065266771277096E-3</v>
      </c>
      <c r="EF19" s="8">
        <v>-1.697795487476916E-2</v>
      </c>
      <c r="EG19" s="15">
        <f t="shared" si="6"/>
        <v>1.4321921312051743E-2</v>
      </c>
      <c r="EH19" s="15">
        <f t="shared" si="7"/>
        <v>0.11035565921186453</v>
      </c>
      <c r="EI19" s="15">
        <f t="shared" si="8"/>
        <v>0.1297796725091917</v>
      </c>
    </row>
    <row r="20" spans="1:139" x14ac:dyDescent="0.3">
      <c r="A20" s="1">
        <v>192</v>
      </c>
      <c r="B20" s="1">
        <v>5</v>
      </c>
      <c r="C20" s="7">
        <v>-0.13932460396499161</v>
      </c>
      <c r="D20" s="7">
        <v>0.38202502004734989</v>
      </c>
      <c r="E20" s="7">
        <v>-1.5499988144333969E-2</v>
      </c>
      <c r="F20" s="7">
        <v>9.1218422172045968E-2</v>
      </c>
      <c r="G20" s="7">
        <v>0.1003659119188639</v>
      </c>
      <c r="H20" s="7">
        <v>-0.1643719981286699</v>
      </c>
      <c r="I20" s="7">
        <v>-0.15814956260110169</v>
      </c>
      <c r="J20" s="7">
        <v>-0.13320729307702719</v>
      </c>
      <c r="K20" s="7">
        <v>9.0108654122673978E-2</v>
      </c>
      <c r="L20" s="7">
        <v>-9.5708635504535719E-2</v>
      </c>
      <c r="M20" s="7">
        <v>-7.7718228291273506E-2</v>
      </c>
      <c r="N20" s="7">
        <v>-0.10192492904563991</v>
      </c>
      <c r="O20" s="7">
        <v>-0.1101145251033072</v>
      </c>
      <c r="P20" s="7">
        <v>4.3138678888527522E-2</v>
      </c>
      <c r="Q20" s="7">
        <v>0.21672573900297851</v>
      </c>
      <c r="R20" s="7">
        <v>6.6469633088856533E-2</v>
      </c>
      <c r="S20" s="7">
        <v>-5.7341082572801211E-2</v>
      </c>
      <c r="T20" s="7">
        <v>-0.1008455330434727</v>
      </c>
      <c r="U20" s="7">
        <v>0.14864968011777491</v>
      </c>
      <c r="V20" s="7">
        <v>-0.1035176032046175</v>
      </c>
      <c r="W20" s="7">
        <v>-0.22644366208310149</v>
      </c>
      <c r="X20" s="7">
        <v>0.15004231162753859</v>
      </c>
      <c r="Y20" s="7">
        <v>-0.12896503888237379</v>
      </c>
      <c r="Z20" s="7">
        <v>2.9157350054346439E-2</v>
      </c>
      <c r="AA20" s="7">
        <v>6.6961978782240111E-2</v>
      </c>
      <c r="AB20" s="7">
        <v>-6.0423624288029942E-2</v>
      </c>
      <c r="AC20" s="7">
        <v>5.6443345640519567E-2</v>
      </c>
      <c r="AD20" s="7">
        <v>-0.12984341871366439</v>
      </c>
      <c r="AE20" s="7">
        <v>1.7311149627037389E-2</v>
      </c>
      <c r="AF20" s="7">
        <v>-0.22349781963637269</v>
      </c>
      <c r="AG20" s="7">
        <v>3.216324888167648E-2</v>
      </c>
      <c r="AH20" s="7">
        <v>2.780670227591649E-2</v>
      </c>
      <c r="AI20" s="7">
        <v>-8.3279353750723401E-2</v>
      </c>
      <c r="AJ20" s="7">
        <v>-1.7241715716101249E-2</v>
      </c>
      <c r="AK20" s="7">
        <v>-8.2485150626129544E-3</v>
      </c>
      <c r="AL20" s="7">
        <v>-2.0780265108594719E-2</v>
      </c>
      <c r="AM20" s="7">
        <v>-6.7529859788327179E-2</v>
      </c>
      <c r="AN20" s="7">
        <v>3.2916683395994961E-2</v>
      </c>
      <c r="AO20" s="7">
        <v>-4.528508196468839E-2</v>
      </c>
      <c r="AP20" s="7">
        <v>0.13173046125538779</v>
      </c>
      <c r="AQ20" s="7">
        <v>-2.7452485332951051E-2</v>
      </c>
      <c r="AR20" s="7">
        <v>-1.328927308983413E-2</v>
      </c>
      <c r="AS20" s="7">
        <v>4.2291716448975919E-2</v>
      </c>
      <c r="AT20" s="7">
        <v>5.858773760205771E-3</v>
      </c>
      <c r="AU20" s="7">
        <v>7.5692386895125863E-2</v>
      </c>
      <c r="AV20" s="7">
        <v>-5.4625713782478207E-2</v>
      </c>
      <c r="AW20" s="7">
        <v>6.8652681791509596E-3</v>
      </c>
      <c r="AX20" s="7">
        <v>-0.20433921996054669</v>
      </c>
      <c r="AY20" s="7">
        <v>-8.2057636017566535E-2</v>
      </c>
      <c r="AZ20" s="7">
        <v>-0.21380243117708869</v>
      </c>
      <c r="BA20" s="7">
        <v>-3.6798864860540501E-2</v>
      </c>
      <c r="BB20" s="7">
        <v>0.2312136261880767</v>
      </c>
      <c r="BC20" s="7">
        <v>0.24014067499041369</v>
      </c>
      <c r="BD20" s="7">
        <v>-5.3429813221597323E-2</v>
      </c>
      <c r="BE20" s="7">
        <v>-3.8466832445436583E-2</v>
      </c>
      <c r="BF20" s="7">
        <v>-5.5216900174269133E-2</v>
      </c>
      <c r="BG20" s="7">
        <v>-5.172719331813868E-2</v>
      </c>
      <c r="BH20" s="7">
        <v>-5.1899277325599007E-2</v>
      </c>
      <c r="BI20" s="7">
        <v>0.13174526708517489</v>
      </c>
      <c r="BJ20" s="7">
        <v>2.1629511833186621E-2</v>
      </c>
      <c r="BK20" s="7">
        <v>0.11765037240502189</v>
      </c>
      <c r="BL20" s="7">
        <v>1.9783341504224079E-2</v>
      </c>
      <c r="BM20" s="7">
        <v>-5.45559103284224E-2</v>
      </c>
      <c r="BN20" s="7">
        <v>-1.8638027253166291E-2</v>
      </c>
      <c r="BO20" s="7">
        <v>-7.6105449457829488E-3</v>
      </c>
      <c r="BP20" s="7">
        <v>6.0407520762954983E-2</v>
      </c>
      <c r="BQ20" s="7">
        <v>1.5451706960843021E-2</v>
      </c>
      <c r="BR20" s="7">
        <v>0.18112708147166159</v>
      </c>
      <c r="BS20" s="7">
        <v>5.4075061911911179E-3</v>
      </c>
      <c r="BT20" s="7">
        <v>5.2467623281905747E-2</v>
      </c>
      <c r="BU20" s="7">
        <v>9.8754949367706665E-2</v>
      </c>
      <c r="BV20" s="7">
        <v>0.11591833156307201</v>
      </c>
      <c r="BW20" s="7">
        <v>-0.13550325181247611</v>
      </c>
      <c r="BX20" s="7">
        <v>3.069363668324426E-2</v>
      </c>
      <c r="BY20" s="7">
        <v>-4.3183482687236242E-2</v>
      </c>
      <c r="BZ20" s="7">
        <v>9.02714042602836E-2</v>
      </c>
      <c r="CA20" s="7">
        <v>5.0216826091073863E-2</v>
      </c>
      <c r="CB20" s="7">
        <v>0.1264950457700191</v>
      </c>
      <c r="CC20" s="7">
        <v>1.291514747808061E-2</v>
      </c>
      <c r="CD20" s="7">
        <v>9.606464764259523E-2</v>
      </c>
      <c r="CE20" s="7">
        <v>8.5778172602440458E-2</v>
      </c>
      <c r="CF20" s="7">
        <v>0.1057848892760917</v>
      </c>
      <c r="CG20" s="7">
        <v>0.32193852229938452</v>
      </c>
      <c r="CH20" s="7">
        <v>7.1864025597138351E-2</v>
      </c>
      <c r="CI20" s="7">
        <v>-0.13148573441164721</v>
      </c>
      <c r="CJ20" s="7">
        <v>0.123440319887351</v>
      </c>
      <c r="CK20" s="7">
        <v>9.0978396750106633E-2</v>
      </c>
      <c r="CL20" s="7">
        <v>-9.2184934189128986E-2</v>
      </c>
      <c r="CM20" s="7">
        <v>7.9454727181336005E-2</v>
      </c>
      <c r="CN20" s="7">
        <v>-0.20489183364110261</v>
      </c>
      <c r="CO20" s="7">
        <v>0.22851820318154101</v>
      </c>
      <c r="CP20" s="7">
        <v>-0.1920312051090273</v>
      </c>
      <c r="CQ20" s="7">
        <v>-6.1113579290622234E-3</v>
      </c>
      <c r="CR20" s="7">
        <v>-7.3116244505850386E-2</v>
      </c>
      <c r="CS20" s="7">
        <v>2.2293038159359669E-2</v>
      </c>
      <c r="CT20" s="7">
        <v>-9.0474037414266281E-2</v>
      </c>
      <c r="CU20" s="7">
        <v>9.4867658266512403E-2</v>
      </c>
      <c r="CV20" s="7">
        <v>-9.2511075695426118E-2</v>
      </c>
      <c r="CW20" s="7">
        <v>-9.9530629212826391E-3</v>
      </c>
      <c r="CX20" s="7">
        <v>9.3861437533022188E-3</v>
      </c>
      <c r="CY20" s="7">
        <v>1.247973266829688E-2</v>
      </c>
      <c r="CZ20" s="7">
        <v>-0.15516164514919831</v>
      </c>
      <c r="DA20" s="7">
        <v>4.7471893155177573E-2</v>
      </c>
      <c r="DB20" s="7">
        <v>5.6902709757134122E-2</v>
      </c>
      <c r="DC20" s="7">
        <v>-3.7332311138400742E-2</v>
      </c>
      <c r="DD20" s="7">
        <v>0.14810881433882259</v>
      </c>
      <c r="DE20" s="7">
        <v>-1.0418721606852799E-2</v>
      </c>
      <c r="DF20" s="7">
        <v>-0.24557420527758439</v>
      </c>
      <c r="DG20" s="7">
        <v>4.2022106203706937E-3</v>
      </c>
      <c r="DH20" s="7">
        <v>1.097541174252706E-2</v>
      </c>
      <c r="DI20" s="7">
        <v>-7.4248335592093345E-2</v>
      </c>
      <c r="DJ20" s="7">
        <v>-8.1277020159802621E-2</v>
      </c>
      <c r="DK20" s="7">
        <v>-8.4953981446054899E-2</v>
      </c>
      <c r="DL20" s="7">
        <v>-1.9465373333619789E-2</v>
      </c>
      <c r="DM20" s="7">
        <v>-9.2836502794370751E-3</v>
      </c>
      <c r="DN20" s="7">
        <v>-6.4461202418456584E-2</v>
      </c>
      <c r="DO20" s="7">
        <v>0.25800136345901148</v>
      </c>
      <c r="DP20" s="7">
        <v>2.167126176510448E-2</v>
      </c>
      <c r="DQ20" s="7">
        <v>3.8540311084368499E-2</v>
      </c>
      <c r="DR20" s="7">
        <v>5.5557992226731322E-2</v>
      </c>
      <c r="DS20" s="7">
        <v>7.4906957537590798E-3</v>
      </c>
      <c r="DT20" s="7">
        <v>0.13343598462213829</v>
      </c>
      <c r="DU20" s="7">
        <v>0.1720691072058694</v>
      </c>
      <c r="DV20" s="7">
        <v>-0.12934547183885869</v>
      </c>
      <c r="DW20" s="7">
        <v>6.9060203958039607E-2</v>
      </c>
      <c r="DX20" s="7">
        <v>9.7851218204725254E-2</v>
      </c>
      <c r="DY20" s="7">
        <v>0.1874018300391932</v>
      </c>
      <c r="DZ20" s="7">
        <v>-1.8115126512382701E-2</v>
      </c>
      <c r="EA20" s="7">
        <v>-0.29368998396417129</v>
      </c>
      <c r="EB20" s="7">
        <v>0.10631226685028709</v>
      </c>
      <c r="EC20" s="7">
        <v>0.13100614576206751</v>
      </c>
      <c r="ED20" s="7">
        <v>0.17691886106701021</v>
      </c>
      <c r="EE20" s="7">
        <v>-1.7409797518545299E-3</v>
      </c>
      <c r="EF20" s="8">
        <v>-2.0281416615907238E-2</v>
      </c>
      <c r="EG20" s="15">
        <f t="shared" si="6"/>
        <v>6.955905542075775E-3</v>
      </c>
      <c r="EH20" s="15">
        <f t="shared" si="7"/>
        <v>0.11629179628246128</v>
      </c>
      <c r="EI20" s="15">
        <f t="shared" si="8"/>
        <v>5.981424111104594E-2</v>
      </c>
    </row>
    <row r="21" spans="1:139" x14ac:dyDescent="0.3">
      <c r="A21" s="1">
        <v>241</v>
      </c>
      <c r="B21" s="1">
        <v>4</v>
      </c>
      <c r="C21" s="7">
        <v>-0.19764916434148611</v>
      </c>
      <c r="D21" s="7">
        <v>0.12638791676682359</v>
      </c>
      <c r="E21" s="7">
        <v>2.7935227079184388E-4</v>
      </c>
      <c r="F21" s="7">
        <v>5.1097483846408213E-2</v>
      </c>
      <c r="G21" s="7">
        <v>7.2961380278514509E-3</v>
      </c>
      <c r="H21" s="7">
        <v>-0.1986680609797658</v>
      </c>
      <c r="I21" s="7">
        <v>-0.14725560812747299</v>
      </c>
      <c r="J21" s="7">
        <v>-0.13674291533985661</v>
      </c>
      <c r="K21" s="7">
        <v>8.8973017354022049E-2</v>
      </c>
      <c r="L21" s="7">
        <v>-0.1096796074542299</v>
      </c>
      <c r="M21" s="7">
        <v>-9.9684593408211258E-2</v>
      </c>
      <c r="N21" s="7">
        <v>-9.9587412122941574E-2</v>
      </c>
      <c r="O21" s="7">
        <v>-0.1392774934469892</v>
      </c>
      <c r="P21" s="7">
        <v>3.9891722860102737E-2</v>
      </c>
      <c r="Q21" s="7">
        <v>0.25731007409425227</v>
      </c>
      <c r="R21" s="7">
        <v>8.4905231193340591E-2</v>
      </c>
      <c r="S21" s="7">
        <v>-3.656329165669691E-2</v>
      </c>
      <c r="T21" s="7">
        <v>-0.13112036093842719</v>
      </c>
      <c r="U21" s="7">
        <v>8.6278417611758002E-2</v>
      </c>
      <c r="V21" s="7">
        <v>-0.10537077038935461</v>
      </c>
      <c r="W21" s="7">
        <v>-0.32292054868818693</v>
      </c>
      <c r="X21" s="7">
        <v>0.20780126735333779</v>
      </c>
      <c r="Y21" s="7">
        <v>-9.2729223946204448E-2</v>
      </c>
      <c r="Z21" s="7">
        <v>3.9457715679957053E-2</v>
      </c>
      <c r="AA21" s="7">
        <v>2.8033456192208511E-2</v>
      </c>
      <c r="AB21" s="7">
        <v>-6.5287595030865841E-2</v>
      </c>
      <c r="AC21" s="7">
        <v>7.43011297920224E-2</v>
      </c>
      <c r="AD21" s="7">
        <v>-0.1288246656475579</v>
      </c>
      <c r="AE21" s="7">
        <v>1.031161069406002E-2</v>
      </c>
      <c r="AF21" s="7">
        <v>-0.29514425808336342</v>
      </c>
      <c r="AG21" s="7">
        <v>1.10465721064439E-2</v>
      </c>
      <c r="AH21" s="7">
        <v>4.3406382504438977E-2</v>
      </c>
      <c r="AI21" s="7">
        <v>-6.7729680595151026E-2</v>
      </c>
      <c r="AJ21" s="7">
        <v>-5.1859256457010838E-3</v>
      </c>
      <c r="AK21" s="7">
        <v>1.8318368909312599E-2</v>
      </c>
      <c r="AL21" s="7">
        <v>-3.7391486134754182E-2</v>
      </c>
      <c r="AM21" s="7">
        <v>6.312571800748347E-2</v>
      </c>
      <c r="AN21" s="7">
        <v>1.869553259224431E-2</v>
      </c>
      <c r="AO21" s="7">
        <v>-4.7726395643726653E-2</v>
      </c>
      <c r="AP21" s="7">
        <v>7.2535143570019153E-2</v>
      </c>
      <c r="AQ21" s="7">
        <v>-7.6865507010547632E-2</v>
      </c>
      <c r="AR21" s="7">
        <v>4.798814140331014E-2</v>
      </c>
      <c r="AS21" s="7">
        <v>4.5406682060008141E-2</v>
      </c>
      <c r="AT21" s="7">
        <v>-2.4929112771550628E-3</v>
      </c>
      <c r="AU21" s="7">
        <v>4.7809631508957028E-2</v>
      </c>
      <c r="AV21" s="7">
        <v>-5.5520780062133721E-2</v>
      </c>
      <c r="AW21" s="7">
        <v>9.7910299540974015E-3</v>
      </c>
      <c r="AX21" s="7">
        <v>-0.21771830251703739</v>
      </c>
      <c r="AY21" s="7">
        <v>-6.5722294732506903E-2</v>
      </c>
      <c r="AZ21" s="7">
        <v>-0.25491126989713642</v>
      </c>
      <c r="BA21" s="7">
        <v>-7.1032181648085849E-2</v>
      </c>
      <c r="BB21" s="7">
        <v>0.29451263697732177</v>
      </c>
      <c r="BC21" s="7">
        <v>0.1644605319288267</v>
      </c>
      <c r="BD21" s="7">
        <v>-2.1750863370627919E-2</v>
      </c>
      <c r="BE21" s="7">
        <v>-4.0588332503811789E-2</v>
      </c>
      <c r="BF21" s="7">
        <v>-6.2289949375188239E-2</v>
      </c>
      <c r="BG21" s="7">
        <v>-7.8525059461954635E-2</v>
      </c>
      <c r="BH21" s="7">
        <v>-6.7916730562062572E-2</v>
      </c>
      <c r="BI21" s="7">
        <v>0.1659695961783918</v>
      </c>
      <c r="BJ21" s="7">
        <v>2.3579026181717661E-2</v>
      </c>
      <c r="BK21" s="7">
        <v>7.2723114748713999E-2</v>
      </c>
      <c r="BL21" s="7">
        <v>3.752798508045226E-3</v>
      </c>
      <c r="BM21" s="7">
        <v>-9.4970354993302086E-2</v>
      </c>
      <c r="BN21" s="7">
        <v>-2.5790766448446922E-2</v>
      </c>
      <c r="BO21" s="7">
        <v>1.50041027098864E-2</v>
      </c>
      <c r="BP21" s="7">
        <v>0.1045091294194143</v>
      </c>
      <c r="BQ21" s="7">
        <v>5.4542230834504879E-2</v>
      </c>
      <c r="BR21" s="7">
        <v>0.14206145591009539</v>
      </c>
      <c r="BS21" s="7">
        <v>5.8601727551761719E-3</v>
      </c>
      <c r="BT21" s="7">
        <v>6.0820742542524793E-2</v>
      </c>
      <c r="BU21" s="7">
        <v>0.1354964621985692</v>
      </c>
      <c r="BV21" s="7">
        <v>0.14214300018545339</v>
      </c>
      <c r="BW21" s="7">
        <v>-0.146679196935731</v>
      </c>
      <c r="BX21" s="7">
        <v>-2.9908192844139221E-3</v>
      </c>
      <c r="BY21" s="7">
        <v>-1.491637891683696E-2</v>
      </c>
      <c r="BZ21" s="7">
        <v>4.7662928720715619E-2</v>
      </c>
      <c r="CA21" s="7">
        <v>9.5059433847559396E-2</v>
      </c>
      <c r="CB21" s="7">
        <v>0.2078698479015878</v>
      </c>
      <c r="CC21" s="7">
        <v>-8.0189542709663136E-3</v>
      </c>
      <c r="CD21" s="7">
        <v>8.4423550992515431E-2</v>
      </c>
      <c r="CE21" s="7">
        <v>6.1514882354154247E-2</v>
      </c>
      <c r="CF21" s="7">
        <v>0.1145261576111684</v>
      </c>
      <c r="CG21" s="7">
        <v>0.32016678338047649</v>
      </c>
      <c r="CH21" s="7">
        <v>8.0100321076211733E-2</v>
      </c>
      <c r="CI21" s="7">
        <v>-0.123293346411547</v>
      </c>
      <c r="CJ21" s="7">
        <v>8.5627757016502298E-2</v>
      </c>
      <c r="CK21" s="7">
        <v>0.12705054673013411</v>
      </c>
      <c r="CL21" s="7">
        <v>-0.13389042462296469</v>
      </c>
      <c r="CM21" s="7">
        <v>6.2994332860424385E-2</v>
      </c>
      <c r="CN21" s="7">
        <v>-8.0851508829433677E-2</v>
      </c>
      <c r="CO21" s="7">
        <v>0.23779198113939251</v>
      </c>
      <c r="CP21" s="7">
        <v>-0.22270006087791269</v>
      </c>
      <c r="CQ21" s="7">
        <v>-3.2880917250907721E-3</v>
      </c>
      <c r="CR21" s="7">
        <v>-9.0824277979679707E-2</v>
      </c>
      <c r="CS21" s="7">
        <v>3.0907745682497659E-2</v>
      </c>
      <c r="CT21" s="7">
        <v>-8.2292872854338978E-2</v>
      </c>
      <c r="CU21" s="7">
        <v>6.2673560169491313E-2</v>
      </c>
      <c r="CV21" s="7">
        <v>-9.8225632021386913E-2</v>
      </c>
      <c r="CW21" s="7">
        <v>-6.5005417280988659E-2</v>
      </c>
      <c r="CX21" s="7">
        <v>1.339552396105914E-2</v>
      </c>
      <c r="CY21" s="7">
        <v>8.4819164039144704E-3</v>
      </c>
      <c r="CZ21" s="7">
        <v>-0.2374513708258302</v>
      </c>
      <c r="DA21" s="7">
        <v>-1.192256456731756E-3</v>
      </c>
      <c r="DB21" s="7">
        <v>5.1624433676154581E-2</v>
      </c>
      <c r="DC21" s="7">
        <v>-0.1539047953697186</v>
      </c>
      <c r="DD21" s="7">
        <v>-0.121322688868649</v>
      </c>
      <c r="DE21" s="7">
        <v>-2.897773706032665E-2</v>
      </c>
      <c r="DF21" s="7">
        <v>-0.30115021168204381</v>
      </c>
      <c r="DG21" s="7">
        <v>-7.8463781285332893E-3</v>
      </c>
      <c r="DH21" s="7">
        <v>-1.407682021245452E-2</v>
      </c>
      <c r="DI21" s="7">
        <v>-9.0149202717820648E-2</v>
      </c>
      <c r="DJ21" s="7">
        <v>-7.330279150207536E-2</v>
      </c>
      <c r="DK21" s="7">
        <v>-0.13950270681890459</v>
      </c>
      <c r="DL21" s="7">
        <v>-1.273699150101321E-2</v>
      </c>
      <c r="DM21" s="7">
        <v>2.9834119642240212E-2</v>
      </c>
      <c r="DN21" s="7">
        <v>-4.687483536663517E-2</v>
      </c>
      <c r="DO21" s="7">
        <v>0.33162680487864599</v>
      </c>
      <c r="DP21" s="7">
        <v>3.7108633098233243E-2</v>
      </c>
      <c r="DQ21" s="7">
        <v>2.821605205239688E-2</v>
      </c>
      <c r="DR21" s="7">
        <v>5.3556989806694252E-2</v>
      </c>
      <c r="DS21" s="7">
        <v>1.6720946793213241E-3</v>
      </c>
      <c r="DT21" s="7">
        <v>0.17057080268546079</v>
      </c>
      <c r="DU21" s="7">
        <v>2.8090293996378659E-2</v>
      </c>
      <c r="DV21" s="7">
        <v>-0.140275976869878</v>
      </c>
      <c r="DW21" s="7">
        <v>0.12824786866412111</v>
      </c>
      <c r="DX21" s="7">
        <v>0.1168288898747825</v>
      </c>
      <c r="DY21" s="7">
        <v>0.22566188118798919</v>
      </c>
      <c r="DZ21" s="7">
        <v>-0.17989102172490029</v>
      </c>
      <c r="EA21" s="7">
        <v>-0.26605683227934601</v>
      </c>
      <c r="EB21" s="7">
        <v>0.10329555902400769</v>
      </c>
      <c r="EC21" s="7">
        <v>0.14009401795222581</v>
      </c>
      <c r="ED21" s="7">
        <v>5.4498856348180663E-2</v>
      </c>
      <c r="EE21" s="7">
        <v>2.1310592307867391E-2</v>
      </c>
      <c r="EF21" s="8">
        <v>1.8771264042119089E-2</v>
      </c>
      <c r="EG21" s="15">
        <f t="shared" si="6"/>
        <v>-3.2924238782132448E-3</v>
      </c>
      <c r="EH21" s="15">
        <f t="shared" si="7"/>
        <v>0.1230012900994225</v>
      </c>
      <c r="EI21" s="15">
        <f t="shared" si="8"/>
        <v>-2.6767393053779873E-2</v>
      </c>
    </row>
    <row r="22" spans="1:139" x14ac:dyDescent="0.3">
      <c r="A22" s="1">
        <v>321</v>
      </c>
      <c r="B22" s="1">
        <v>3</v>
      </c>
      <c r="C22" s="7">
        <v>6.4235717628454689E-2</v>
      </c>
      <c r="D22" s="7">
        <v>0.1424278520773985</v>
      </c>
      <c r="E22" s="7">
        <v>4.1027532000619052E-2</v>
      </c>
      <c r="F22" s="7">
        <v>9.7433995578986451E-2</v>
      </c>
      <c r="G22" s="7">
        <v>3.2954824249798613E-2</v>
      </c>
      <c r="H22" s="7">
        <v>-0.17874946348762291</v>
      </c>
      <c r="I22" s="7">
        <v>-0.12349316933806979</v>
      </c>
      <c r="J22" s="7">
        <v>-0.10425350273662951</v>
      </c>
      <c r="K22" s="7">
        <v>0.1532867706545093</v>
      </c>
      <c r="L22" s="7">
        <v>-0.17118335942590121</v>
      </c>
      <c r="M22" s="7">
        <v>-7.4100058770572547E-2</v>
      </c>
      <c r="N22" s="7">
        <v>-0.1332804190232465</v>
      </c>
      <c r="O22" s="7">
        <v>-6.6442332164954182E-2</v>
      </c>
      <c r="P22" s="7">
        <v>4.28584885189899E-2</v>
      </c>
      <c r="Q22" s="7">
        <v>0.27677689383305182</v>
      </c>
      <c r="R22" s="7">
        <v>6.6698292606331602E-2</v>
      </c>
      <c r="S22" s="7">
        <v>-3.9234143537179147E-2</v>
      </c>
      <c r="T22" s="7">
        <v>-0.1048489671566299</v>
      </c>
      <c r="U22" s="7">
        <v>0.11059002340250421</v>
      </c>
      <c r="V22" s="7">
        <v>-5.7024134634289667E-2</v>
      </c>
      <c r="W22" s="7">
        <v>-0.34619348529924859</v>
      </c>
      <c r="X22" s="7">
        <v>0.25720235121349699</v>
      </c>
      <c r="Y22" s="7">
        <v>-4.7938332179768291E-2</v>
      </c>
      <c r="Z22" s="7">
        <v>2.386612179035642E-2</v>
      </c>
      <c r="AA22" s="7">
        <v>0.1181206143698829</v>
      </c>
      <c r="AB22" s="7">
        <v>-3.8274054421571273E-2</v>
      </c>
      <c r="AC22" s="7">
        <v>7.4420380840427389E-2</v>
      </c>
      <c r="AD22" s="7">
        <v>-1.357278877236134E-2</v>
      </c>
      <c r="AE22" s="7">
        <v>-8.514768595770715E-2</v>
      </c>
      <c r="AF22" s="7">
        <v>-0.42991676804861201</v>
      </c>
      <c r="AG22" s="7">
        <v>1.0812100566842311E-2</v>
      </c>
      <c r="AH22" s="7">
        <v>-4.8894599402210352E-4</v>
      </c>
      <c r="AI22" s="7">
        <v>-6.7392901011186057E-2</v>
      </c>
      <c r="AJ22" s="7">
        <v>-1.3081541637357001E-2</v>
      </c>
      <c r="AK22" s="7">
        <v>7.8575768704914215E-2</v>
      </c>
      <c r="AL22" s="7">
        <v>-1.1447262237467839E-3</v>
      </c>
      <c r="AM22" s="7">
        <v>5.6373754363627612E-2</v>
      </c>
      <c r="AN22" s="7">
        <v>3.5264122370512491E-2</v>
      </c>
      <c r="AO22" s="7">
        <v>-7.4717373393705613E-2</v>
      </c>
      <c r="AP22" s="7">
        <v>6.2536353887992696E-2</v>
      </c>
      <c r="AQ22" s="7">
        <v>-7.9426117478593142E-2</v>
      </c>
      <c r="AR22" s="7">
        <v>6.7924487703603389E-2</v>
      </c>
      <c r="AS22" s="7">
        <v>-7.3843702685833568E-2</v>
      </c>
      <c r="AT22" s="7">
        <v>-2.513636184002634E-2</v>
      </c>
      <c r="AU22" s="7">
        <v>3.3500451910869901E-2</v>
      </c>
      <c r="AV22" s="7">
        <v>-5.9813176675879959E-2</v>
      </c>
      <c r="AW22" s="7">
        <v>-3.014938920700894E-2</v>
      </c>
      <c r="AX22" s="7">
        <v>9.875186005693877E-3</v>
      </c>
      <c r="AY22" s="7">
        <v>-9.8456276129363446E-2</v>
      </c>
      <c r="AZ22" s="7">
        <v>-0.1549037783211521</v>
      </c>
      <c r="BA22" s="7">
        <v>-4.5598425167461952E-2</v>
      </c>
      <c r="BB22" s="7">
        <v>0.36955058329648782</v>
      </c>
      <c r="BC22" s="7">
        <v>0.19562603535051759</v>
      </c>
      <c r="BD22" s="7">
        <v>-2.2174181465828179E-2</v>
      </c>
      <c r="BE22" s="7">
        <v>-6.8483036868100741E-2</v>
      </c>
      <c r="BF22" s="7">
        <v>-5.4886013754806257E-2</v>
      </c>
      <c r="BG22" s="7">
        <v>-9.617852912963791E-2</v>
      </c>
      <c r="BH22" s="7">
        <v>-7.9934120635503092E-3</v>
      </c>
      <c r="BI22" s="7">
        <v>0.111088719409907</v>
      </c>
      <c r="BJ22" s="7">
        <v>5.4996415150720922E-2</v>
      </c>
      <c r="BK22" s="7">
        <v>4.831524105166432E-2</v>
      </c>
      <c r="BL22" s="7">
        <v>1.7863882134281309E-2</v>
      </c>
      <c r="BM22" s="7">
        <v>-0.1209396353275756</v>
      </c>
      <c r="BN22" s="7">
        <v>-8.2937899200322518E-2</v>
      </c>
      <c r="BO22" s="7">
        <v>3.8350062963842829E-2</v>
      </c>
      <c r="BP22" s="7">
        <v>7.4835550155106345E-2</v>
      </c>
      <c r="BQ22" s="7">
        <v>2.7830097398312589E-2</v>
      </c>
      <c r="BR22" s="7">
        <v>0.10656678196769021</v>
      </c>
      <c r="BS22" s="7">
        <v>-1.637278237679916E-2</v>
      </c>
      <c r="BT22" s="7">
        <v>-8.8726194332783462E-2</v>
      </c>
      <c r="BU22" s="7">
        <v>0.21294876613801031</v>
      </c>
      <c r="BV22" s="7">
        <v>0.1585439723976089</v>
      </c>
      <c r="BW22" s="7">
        <v>-0.1746684979276073</v>
      </c>
      <c r="BX22" s="7">
        <v>3.6637445691972373E-2</v>
      </c>
      <c r="BY22" s="7">
        <v>3.2352875520499369E-2</v>
      </c>
      <c r="BZ22" s="7">
        <v>4.725773586289217E-2</v>
      </c>
      <c r="CA22" s="7">
        <v>0.14407873603425539</v>
      </c>
      <c r="CB22" s="7">
        <v>0.25473925571486122</v>
      </c>
      <c r="CC22" s="7">
        <v>-0.12510399532003291</v>
      </c>
      <c r="CD22" s="7">
        <v>9.5518542864996087E-2</v>
      </c>
      <c r="CE22" s="7">
        <v>6.6840145636817616E-2</v>
      </c>
      <c r="CF22" s="7">
        <v>0.1007703570340648</v>
      </c>
      <c r="CG22" s="7">
        <v>0.4438008150544101</v>
      </c>
      <c r="CH22" s="7">
        <v>0.1159187712794482</v>
      </c>
      <c r="CI22" s="7">
        <v>-0.23044916703818419</v>
      </c>
      <c r="CJ22" s="7">
        <v>0.1033795050895627</v>
      </c>
      <c r="CK22" s="7">
        <v>3.6163342604682402E-2</v>
      </c>
      <c r="CL22" s="7">
        <v>-0.2406517986250408</v>
      </c>
      <c r="CM22" s="7">
        <v>4.64412789746977E-2</v>
      </c>
      <c r="CN22" s="7">
        <v>-0.15280391681020719</v>
      </c>
      <c r="CO22" s="7">
        <v>0.18528575790522681</v>
      </c>
      <c r="CP22" s="7">
        <v>-0.25940855696940252</v>
      </c>
      <c r="CQ22" s="7">
        <v>1.233377932566462E-2</v>
      </c>
      <c r="CR22" s="7">
        <v>-0.16185042130139199</v>
      </c>
      <c r="CS22" s="7">
        <v>2.4439586832032689E-2</v>
      </c>
      <c r="CT22" s="7">
        <v>-5.8232521355985362E-2</v>
      </c>
      <c r="CU22" s="7">
        <v>0.1202317119640979</v>
      </c>
      <c r="CV22" s="7">
        <v>-0.1122336952070542</v>
      </c>
      <c r="CW22" s="7">
        <v>-3.6451253326165209E-2</v>
      </c>
      <c r="CX22" s="7">
        <v>4.7285453258790341E-2</v>
      </c>
      <c r="CY22" s="7">
        <v>7.9888257735091419E-3</v>
      </c>
      <c r="CZ22" s="7">
        <v>-0.26292048459923911</v>
      </c>
      <c r="DA22" s="7">
        <v>3.9917538819241108E-3</v>
      </c>
      <c r="DB22" s="7">
        <v>5.8383506828492103E-2</v>
      </c>
      <c r="DC22" s="7">
        <v>-0.14116723571930959</v>
      </c>
      <c r="DD22" s="7">
        <v>-0.1478941025728035</v>
      </c>
      <c r="DE22" s="7">
        <v>1.7756503501932811E-2</v>
      </c>
      <c r="DF22" s="7">
        <v>-0.38966763369412349</v>
      </c>
      <c r="DG22" s="7">
        <v>-3.1985043080887662E-2</v>
      </c>
      <c r="DH22" s="7">
        <v>-1.3945346183503959E-2</v>
      </c>
      <c r="DI22" s="7">
        <v>-8.1105543840270106E-2</v>
      </c>
      <c r="DJ22" s="7">
        <v>-4.277692212467888E-2</v>
      </c>
      <c r="DK22" s="7">
        <v>-0.1791347138228401</v>
      </c>
      <c r="DL22" s="7">
        <v>-3.213330743138731E-3</v>
      </c>
      <c r="DM22" s="7">
        <v>6.3466051038033502E-2</v>
      </c>
      <c r="DN22" s="7">
        <v>-8.3173707077558875E-2</v>
      </c>
      <c r="DO22" s="7">
        <v>7.5715816054906154E-2</v>
      </c>
      <c r="DP22" s="7">
        <v>0.10509905980047871</v>
      </c>
      <c r="DQ22" s="7">
        <v>5.1850201837621311E-2</v>
      </c>
      <c r="DR22" s="7">
        <v>7.1236299673135633E-2</v>
      </c>
      <c r="DS22" s="7">
        <v>3.6346262249535841E-2</v>
      </c>
      <c r="DT22" s="7">
        <v>5.8357008996765318E-2</v>
      </c>
      <c r="DU22" s="7">
        <v>5.7495390836838987E-2</v>
      </c>
      <c r="DV22" s="7">
        <v>-0.12570511767817799</v>
      </c>
      <c r="DW22" s="7">
        <v>7.838972370699715E-2</v>
      </c>
      <c r="DX22" s="7">
        <v>0.1643521240415392</v>
      </c>
      <c r="DY22" s="7">
        <v>0.31775437236448251</v>
      </c>
      <c r="DZ22" s="7">
        <v>-0.16562624622575561</v>
      </c>
      <c r="EA22" s="7">
        <v>-0.14035616200069359</v>
      </c>
      <c r="EB22" s="7">
        <v>0.14292707605232749</v>
      </c>
      <c r="EC22" s="7">
        <v>-2.8428811778050931E-2</v>
      </c>
      <c r="ED22" s="7">
        <v>7.7413567057607463E-2</v>
      </c>
      <c r="EE22" s="7">
        <v>4.7636659384698889E-2</v>
      </c>
      <c r="EF22" s="8">
        <v>3.4790246372172352E-2</v>
      </c>
      <c r="EG22" s="15">
        <f t="shared" si="6"/>
        <v>-2.0707128706136675E-4</v>
      </c>
      <c r="EH22" s="15">
        <f t="shared" si="7"/>
        <v>0.13328014525315895</v>
      </c>
      <c r="EI22" s="15">
        <f t="shared" si="8"/>
        <v>-1.5536544221800271E-3</v>
      </c>
    </row>
    <row r="23" spans="1:139" x14ac:dyDescent="0.3">
      <c r="A23" s="1">
        <v>482</v>
      </c>
      <c r="B23" s="1">
        <v>2</v>
      </c>
      <c r="C23" s="7">
        <v>-3.4987009286289193E-2</v>
      </c>
      <c r="D23" s="7">
        <v>0.25409262745146127</v>
      </c>
      <c r="E23" s="7">
        <v>8.094117257067221E-2</v>
      </c>
      <c r="F23" s="7">
        <v>0.14166490905190171</v>
      </c>
      <c r="G23" s="7">
        <v>5.2224173846498377E-2</v>
      </c>
      <c r="H23" s="7">
        <v>-0.2037183078789751</v>
      </c>
      <c r="I23" s="7">
        <v>-0.148152028600294</v>
      </c>
      <c r="J23" s="7">
        <v>-0.1148775059304451</v>
      </c>
      <c r="K23" s="7">
        <v>0.20448947647223359</v>
      </c>
      <c r="L23" s="7">
        <v>-5.4043529775598627E-2</v>
      </c>
      <c r="M23" s="7">
        <v>-0.2584499163586424</v>
      </c>
      <c r="N23" s="7">
        <v>-0.15641923763601279</v>
      </c>
      <c r="O23" s="7">
        <v>-0.1228997073071684</v>
      </c>
      <c r="P23" s="7">
        <v>1.068350475974675E-2</v>
      </c>
      <c r="Q23" s="7">
        <v>-5.95680169005205E-2</v>
      </c>
      <c r="R23" s="7">
        <v>6.2821977969761703E-2</v>
      </c>
      <c r="S23" s="7">
        <v>-7.2572664450062274E-2</v>
      </c>
      <c r="T23" s="7">
        <v>-8.4676175768728656E-2</v>
      </c>
      <c r="U23" s="7">
        <v>9.3757422440794366E-2</v>
      </c>
      <c r="V23" s="7">
        <v>6.3357010979066042E-2</v>
      </c>
      <c r="W23" s="7">
        <v>-0.50391933118531074</v>
      </c>
      <c r="X23" s="7">
        <v>0.1945564614576443</v>
      </c>
      <c r="Y23" s="7">
        <v>-7.588763428678244E-3</v>
      </c>
      <c r="Z23" s="7">
        <v>4.1051966520251372E-2</v>
      </c>
      <c r="AA23" s="7">
        <v>0.15164933184604609</v>
      </c>
      <c r="AB23" s="7">
        <v>-4.7748945219155479E-2</v>
      </c>
      <c r="AC23" s="7">
        <v>7.6346338146838E-2</v>
      </c>
      <c r="AD23" s="7">
        <v>-7.1628868085674022E-2</v>
      </c>
      <c r="AE23" s="7">
        <v>-0.22171323582164909</v>
      </c>
      <c r="AF23" s="7">
        <v>-0.32465932564021122</v>
      </c>
      <c r="AG23" s="7">
        <v>-0.145893892939672</v>
      </c>
      <c r="AH23" s="7">
        <v>-3.7279490370669702E-2</v>
      </c>
      <c r="AI23" s="7">
        <v>-7.5450169739462281E-2</v>
      </c>
      <c r="AJ23" s="7">
        <v>-2.3587440294024171E-2</v>
      </c>
      <c r="AK23" s="7">
        <v>9.1199224275259672E-2</v>
      </c>
      <c r="AL23" s="7">
        <v>-5.1310311182486829E-2</v>
      </c>
      <c r="AM23" s="7">
        <v>-2.0470543302086051E-2</v>
      </c>
      <c r="AN23" s="7">
        <v>0.12762959881318461</v>
      </c>
      <c r="AO23" s="7">
        <v>5.3369521914240978E-3</v>
      </c>
      <c r="AP23" s="7">
        <v>-3.1210993523056942E-3</v>
      </c>
      <c r="AQ23" s="7">
        <v>-8.9424992259610633E-2</v>
      </c>
      <c r="AR23" s="7">
        <v>0.1461361643393671</v>
      </c>
      <c r="AS23" s="7">
        <v>-8.1663620780570226E-2</v>
      </c>
      <c r="AT23" s="7">
        <v>-4.1427721813649641E-2</v>
      </c>
      <c r="AU23" s="7">
        <v>3.3145526128504327E-2</v>
      </c>
      <c r="AV23" s="7">
        <v>-2.7638994197374041E-2</v>
      </c>
      <c r="AW23" s="7">
        <v>-5.202690983840276E-2</v>
      </c>
      <c r="AX23" s="7">
        <v>1.4812779008540821E-2</v>
      </c>
      <c r="AY23" s="7">
        <v>-5.8139600106789993E-2</v>
      </c>
      <c r="AZ23" s="7">
        <v>-6.3753617401060211E-2</v>
      </c>
      <c r="BA23" s="7">
        <v>9.6467800801007808E-3</v>
      </c>
      <c r="BB23" s="7">
        <v>0.56682652604744033</v>
      </c>
      <c r="BC23" s="7">
        <v>0.25286918189993951</v>
      </c>
      <c r="BD23" s="7">
        <v>9.4830881346450333E-2</v>
      </c>
      <c r="BE23" s="7">
        <v>-8.6532394790002992E-2</v>
      </c>
      <c r="BF23" s="7">
        <v>-6.0012943621825209E-2</v>
      </c>
      <c r="BG23" s="7">
        <v>-4.4908674694266577E-2</v>
      </c>
      <c r="BH23" s="7">
        <v>5.3596863934990302E-2</v>
      </c>
      <c r="BI23" s="7">
        <v>0.1911120793231991</v>
      </c>
      <c r="BJ23" s="7">
        <v>0.1040033152679269</v>
      </c>
      <c r="BK23" s="7">
        <v>4.7849323301188178E-2</v>
      </c>
      <c r="BL23" s="7">
        <v>-5.3432219944672933E-2</v>
      </c>
      <c r="BM23" s="7">
        <v>-0.18414780725786861</v>
      </c>
      <c r="BN23" s="7">
        <v>-3.8453237240273198E-2</v>
      </c>
      <c r="BO23" s="7">
        <v>6.1815479967866467E-2</v>
      </c>
      <c r="BP23" s="7">
        <v>9.8266399211456468E-2</v>
      </c>
      <c r="BQ23" s="7">
        <v>7.2047901435266168E-2</v>
      </c>
      <c r="BR23" s="7">
        <v>0.1028225901803507</v>
      </c>
      <c r="BS23" s="7">
        <v>-7.3275388657911791E-2</v>
      </c>
      <c r="BT23" s="7">
        <v>-0.2181866761329041</v>
      </c>
      <c r="BU23" s="7">
        <v>0.20568773584594591</v>
      </c>
      <c r="BV23" s="7">
        <v>0.11346756836018849</v>
      </c>
      <c r="BW23" s="7">
        <v>-0.20215233327569121</v>
      </c>
      <c r="BX23" s="7">
        <v>-8.2131197272531514E-3</v>
      </c>
      <c r="BY23" s="7">
        <v>3.9939448876130351E-2</v>
      </c>
      <c r="BZ23" s="7">
        <v>7.6697624318448621E-3</v>
      </c>
      <c r="CA23" s="7">
        <v>0.20637272238748691</v>
      </c>
      <c r="CB23" s="7">
        <v>0.31616676175875003</v>
      </c>
      <c r="CC23" s="7">
        <v>-8.4544614715775346E-2</v>
      </c>
      <c r="CD23" s="7">
        <v>0.141241944161549</v>
      </c>
      <c r="CE23" s="7">
        <v>5.9602301837717461E-2</v>
      </c>
      <c r="CF23" s="7">
        <v>1.616083543008176E-2</v>
      </c>
      <c r="CG23" s="7">
        <v>0.29290393811773718</v>
      </c>
      <c r="CH23" s="7">
        <v>0.18019644892142839</v>
      </c>
      <c r="CI23" s="7">
        <v>-5.9122473913523821E-2</v>
      </c>
      <c r="CJ23" s="7">
        <v>1.9875367550410569E-2</v>
      </c>
      <c r="CK23" s="7">
        <v>9.6116994727961536E-2</v>
      </c>
      <c r="CL23" s="7">
        <v>-0.40866101266741839</v>
      </c>
      <c r="CM23" s="7">
        <v>6.9750090132210951E-3</v>
      </c>
      <c r="CN23" s="7">
        <v>-0.27710426195606819</v>
      </c>
      <c r="CO23" s="7">
        <v>0.26845097690314912</v>
      </c>
      <c r="CP23" s="7">
        <v>-0.31136074316275669</v>
      </c>
      <c r="CQ23" s="7">
        <v>9.1837444998058917E-3</v>
      </c>
      <c r="CR23" s="7">
        <v>-1.159780382107861E-2</v>
      </c>
      <c r="CS23" s="7">
        <v>6.901537085690515E-2</v>
      </c>
      <c r="CT23" s="7">
        <v>-4.5662541711253862E-2</v>
      </c>
      <c r="CU23" s="7">
        <v>2.1056595713287041E-2</v>
      </c>
      <c r="CV23" s="7">
        <v>2.2245137488805671E-2</v>
      </c>
      <c r="CW23" s="7">
        <v>-0.1009013318024186</v>
      </c>
      <c r="CX23" s="7">
        <v>-4.425407954953503E-2</v>
      </c>
      <c r="CY23" s="7">
        <v>-2.20465307533785E-2</v>
      </c>
      <c r="CZ23" s="7">
        <v>-0.18199879385735121</v>
      </c>
      <c r="DA23" s="7">
        <v>3.0982136225910391E-2</v>
      </c>
      <c r="DB23" s="7">
        <v>1.5955156866996431E-2</v>
      </c>
      <c r="DC23" s="7">
        <v>-0.15794889931825309</v>
      </c>
      <c r="DD23" s="7">
        <v>-0.21341104440699671</v>
      </c>
      <c r="DE23" s="7">
        <v>6.0085947510171572E-2</v>
      </c>
      <c r="DF23" s="7">
        <v>-0.40879492056092032</v>
      </c>
      <c r="DG23" s="7">
        <v>-3.8270011874717E-2</v>
      </c>
      <c r="DH23" s="7">
        <v>-5.5413447308742453E-2</v>
      </c>
      <c r="DI23" s="7">
        <v>-0.18491271354810521</v>
      </c>
      <c r="DJ23" s="7">
        <v>3.3824576295396119E-2</v>
      </c>
      <c r="DK23" s="7">
        <v>-0.27783321655884308</v>
      </c>
      <c r="DL23" s="7">
        <v>2.6242652104624471E-2</v>
      </c>
      <c r="DM23" s="7">
        <v>1.949730491936592E-2</v>
      </c>
      <c r="DN23" s="7">
        <v>-0.11820475442736959</v>
      </c>
      <c r="DO23" s="7">
        <v>0.124068441987729</v>
      </c>
      <c r="DP23" s="7">
        <v>3.8404395837998338E-2</v>
      </c>
      <c r="DQ23" s="7">
        <v>0.12113204125745761</v>
      </c>
      <c r="DR23" s="7">
        <v>0.1024257952350012</v>
      </c>
      <c r="DS23" s="7">
        <v>0.1165759916669394</v>
      </c>
      <c r="DT23" s="7">
        <v>0.12395522319619889</v>
      </c>
      <c r="DU23" s="7">
        <v>-3.4287185254997438E-2</v>
      </c>
      <c r="DV23" s="7">
        <v>-0.27627160832943959</v>
      </c>
      <c r="DW23" s="7">
        <v>0.14122823258283859</v>
      </c>
      <c r="DX23" s="7">
        <v>0.1710027869684545</v>
      </c>
      <c r="DY23" s="7">
        <v>0.26822192937212391</v>
      </c>
      <c r="DZ23" s="7">
        <v>-0.12933301555171881</v>
      </c>
      <c r="EA23" s="7">
        <v>2.875877977640498E-2</v>
      </c>
      <c r="EB23" s="7">
        <v>0.13822549512320209</v>
      </c>
      <c r="EC23" s="7">
        <v>-0.1232049429556647</v>
      </c>
      <c r="ED23" s="7">
        <v>9.1425904619781034E-2</v>
      </c>
      <c r="EE23" s="7">
        <v>6.9212075984992683E-2</v>
      </c>
      <c r="EF23" s="8">
        <v>4.7782278591659677E-2</v>
      </c>
      <c r="EG23" s="15">
        <f t="shared" si="6"/>
        <v>-3.2115370517130717E-3</v>
      </c>
      <c r="EH23" s="15">
        <f t="shared" si="7"/>
        <v>0.15282594582795833</v>
      </c>
      <c r="EI23" s="15">
        <f t="shared" si="8"/>
        <v>-2.1014344353074803E-2</v>
      </c>
    </row>
    <row r="24" spans="1:139" x14ac:dyDescent="0.3">
      <c r="A24" s="1">
        <v>964</v>
      </c>
      <c r="B24" s="1">
        <v>1</v>
      </c>
      <c r="C24" s="7">
        <v>0.162993136931085</v>
      </c>
      <c r="D24" s="7">
        <v>0.1006099128992286</v>
      </c>
      <c r="E24" s="7">
        <v>-7.1400330169296908E-2</v>
      </c>
      <c r="F24" s="7">
        <v>0.22715954663674881</v>
      </c>
      <c r="G24" s="7">
        <v>-0.2257600230575724</v>
      </c>
      <c r="H24" s="7">
        <v>-0.2466867284905698</v>
      </c>
      <c r="I24" s="7">
        <v>2.111933203143501E-3</v>
      </c>
      <c r="J24" s="7">
        <v>-0.1154627982140225</v>
      </c>
      <c r="K24" s="7">
        <v>2.1515278354960109E-2</v>
      </c>
      <c r="L24" s="7">
        <v>-9.5623250508682117E-2</v>
      </c>
      <c r="M24" s="7">
        <v>-0.14681933889950849</v>
      </c>
      <c r="N24" s="7">
        <v>-0.14413045240043321</v>
      </c>
      <c r="O24" s="7">
        <v>-0.24427786338818341</v>
      </c>
      <c r="P24" s="7">
        <v>7.7736485854057236E-2</v>
      </c>
      <c r="Q24" s="7">
        <v>-6.096496164670627E-2</v>
      </c>
      <c r="R24" s="7">
        <v>-2.7822823885088121E-2</v>
      </c>
      <c r="S24" s="7">
        <v>-1.1054460207448651E-2</v>
      </c>
      <c r="T24" s="7">
        <v>-0.28781660351948779</v>
      </c>
      <c r="U24" s="7">
        <v>0.14851867422391801</v>
      </c>
      <c r="V24" s="7">
        <v>0.11654031671685081</v>
      </c>
      <c r="W24" s="7">
        <v>-0.64293352860565944</v>
      </c>
      <c r="X24" s="7">
        <v>-8.988764650171982E-4</v>
      </c>
      <c r="Y24" s="7">
        <v>-2.9398839580432611E-2</v>
      </c>
      <c r="Z24" s="7">
        <v>-2.439454874957615E-2</v>
      </c>
      <c r="AA24" s="7">
        <v>9.4359582813794432E-2</v>
      </c>
      <c r="AB24" s="7">
        <v>-0.18425142266877839</v>
      </c>
      <c r="AC24" s="7">
        <v>0.125380380775965</v>
      </c>
      <c r="AD24" s="7">
        <v>-0.1011752992567229</v>
      </c>
      <c r="AE24" s="7">
        <v>-0.17526881500734201</v>
      </c>
      <c r="AF24" s="7">
        <v>-0.49538941280416188</v>
      </c>
      <c r="AG24" s="7">
        <v>-0.38005539258279603</v>
      </c>
      <c r="AH24" s="7">
        <v>6.8613799461397618E-2</v>
      </c>
      <c r="AI24" s="7">
        <v>-0.15191167478339729</v>
      </c>
      <c r="AJ24" s="7">
        <v>-8.5435201790864113E-2</v>
      </c>
      <c r="AK24" s="7">
        <v>0.11317916377562411</v>
      </c>
      <c r="AL24" s="7">
        <v>-0.1074544263057416</v>
      </c>
      <c r="AM24" s="7">
        <v>1.4966545334123929E-2</v>
      </c>
      <c r="AN24" s="7">
        <v>0.16294174185669941</v>
      </c>
      <c r="AO24" s="7">
        <v>-6.6090111828990022E-2</v>
      </c>
      <c r="AP24" s="7">
        <v>2.28517154890964E-2</v>
      </c>
      <c r="AQ24" s="7">
        <v>-4.7076972834245667E-2</v>
      </c>
      <c r="AR24" s="7">
        <v>0.1708334061708256</v>
      </c>
      <c r="AS24" s="7">
        <v>-3.2867737066227462E-3</v>
      </c>
      <c r="AT24" s="7">
        <v>3.045920748470865E-2</v>
      </c>
      <c r="AU24" s="7">
        <v>4.4095319865224331E-2</v>
      </c>
      <c r="AV24" s="7">
        <v>-8.7151952186895892E-2</v>
      </c>
      <c r="AW24" s="7">
        <v>4.9875415110391882E-3</v>
      </c>
      <c r="AX24" s="7">
        <v>-0.1114913369162155</v>
      </c>
      <c r="AY24" s="7">
        <v>-0.26743574468647008</v>
      </c>
      <c r="AZ24" s="7">
        <v>3.7867073599665187E-2</v>
      </c>
      <c r="BA24" s="7">
        <v>-5.3794732084633153E-2</v>
      </c>
      <c r="BB24" s="7">
        <v>0.69077653138067185</v>
      </c>
      <c r="BC24" s="7">
        <v>-4.366869614383373E-3</v>
      </c>
      <c r="BD24" s="7">
        <v>0.18559521924643521</v>
      </c>
      <c r="BE24" s="7">
        <v>-0.1041311228506846</v>
      </c>
      <c r="BF24" s="7">
        <v>-0.1002317053814064</v>
      </c>
      <c r="BG24" s="7">
        <v>-0.17662353567931691</v>
      </c>
      <c r="BH24" s="7">
        <v>9.5694510161506985E-3</v>
      </c>
      <c r="BI24" s="7">
        <v>0.2236291060700471</v>
      </c>
      <c r="BJ24" s="7">
        <v>3.3483157548845829E-3</v>
      </c>
      <c r="BK24" s="7">
        <v>3.4827647172774007E-2</v>
      </c>
      <c r="BL24" s="7">
        <v>-3.089861151917388E-2</v>
      </c>
      <c r="BM24" s="7">
        <v>-0.37691635755964409</v>
      </c>
      <c r="BN24" s="7">
        <v>-0.10891326031654749</v>
      </c>
      <c r="BO24" s="7">
        <v>-5.6244215584665136E-3</v>
      </c>
      <c r="BP24" s="7">
        <v>0.1233511811293219</v>
      </c>
      <c r="BQ24" s="7">
        <v>-6.4169633330115036E-2</v>
      </c>
      <c r="BR24" s="7">
        <v>9.8920889185241626E-2</v>
      </c>
      <c r="BS24" s="7">
        <v>-1.284717484456964E-3</v>
      </c>
      <c r="BT24" s="7">
        <v>-0.27671901614020838</v>
      </c>
      <c r="BU24" s="7">
        <v>0.22832663155994071</v>
      </c>
      <c r="BV24" s="7">
        <v>0.1077284538879829</v>
      </c>
      <c r="BW24" s="7">
        <v>-6.1835883635593128E-2</v>
      </c>
      <c r="BX24" s="7">
        <v>-0.1329600557104578</v>
      </c>
      <c r="BY24" s="7">
        <v>-0.29033687494541688</v>
      </c>
      <c r="BZ24" s="7">
        <v>0.25889289884999689</v>
      </c>
      <c r="CA24" s="7">
        <v>0.10002491568895069</v>
      </c>
      <c r="CB24" s="7">
        <v>0.639698133634515</v>
      </c>
      <c r="CC24" s="7">
        <v>-0.18246987988756161</v>
      </c>
      <c r="CD24" s="7">
        <v>2.9953525870016359E-2</v>
      </c>
      <c r="CE24" s="7">
        <v>0.16556487399111461</v>
      </c>
      <c r="CF24" s="7">
        <v>-4.3964633996731547E-2</v>
      </c>
      <c r="CG24" s="7">
        <v>0.23727783485992521</v>
      </c>
      <c r="CH24" s="7">
        <v>0.35427729684250298</v>
      </c>
      <c r="CI24" s="7">
        <v>-5.850815723303885E-2</v>
      </c>
      <c r="CJ24" s="7">
        <v>-1.310948541941956E-2</v>
      </c>
      <c r="CK24" s="7">
        <v>9.3530079315696568E-2</v>
      </c>
      <c r="CL24" s="7">
        <v>0.1417553333725407</v>
      </c>
      <c r="CM24" s="7">
        <v>4.4688538323931992E-2</v>
      </c>
      <c r="CN24" s="7">
        <v>-0.60967719726707426</v>
      </c>
      <c r="CO24" s="7">
        <v>0.57240960973467503</v>
      </c>
      <c r="CP24" s="7">
        <v>-0.1603442048148421</v>
      </c>
      <c r="CQ24" s="7">
        <v>-0.1146871738632968</v>
      </c>
      <c r="CR24" s="7">
        <v>-6.1084838239556717E-2</v>
      </c>
      <c r="CS24" s="7">
        <v>-2.6854922521108548E-2</v>
      </c>
      <c r="CT24" s="7">
        <v>-9.6419008147395818E-2</v>
      </c>
      <c r="CU24" s="7">
        <v>7.2751347656710041E-2</v>
      </c>
      <c r="CV24" s="7">
        <v>-1.5064047539375311E-2</v>
      </c>
      <c r="CW24" s="7">
        <v>-0.17511716607200739</v>
      </c>
      <c r="CX24" s="7">
        <v>5.2765258843267028E-2</v>
      </c>
      <c r="CY24" s="7">
        <v>8.0066904636818925E-2</v>
      </c>
      <c r="CZ24" s="7">
        <v>-0.11220662844456721</v>
      </c>
      <c r="DA24" s="7">
        <v>-2.451120416275485E-2</v>
      </c>
      <c r="DB24" s="7">
        <v>0.19546067251265431</v>
      </c>
      <c r="DC24" s="7">
        <v>-0.28272977872851818</v>
      </c>
      <c r="DD24" s="7">
        <v>-0.15338138073910601</v>
      </c>
      <c r="DE24" s="7">
        <v>-0.13158559129553279</v>
      </c>
      <c r="DF24" s="7">
        <v>-0.52558500614449799</v>
      </c>
      <c r="DG24" s="7">
        <v>-5.9105834124344087E-2</v>
      </c>
      <c r="DH24" s="7">
        <v>-8.4652506536621926E-4</v>
      </c>
      <c r="DI24" s="7">
        <v>-0.42309879972833903</v>
      </c>
      <c r="DJ24" s="7">
        <v>-2.108147115785142E-2</v>
      </c>
      <c r="DK24" s="7">
        <v>-0.33950921063044381</v>
      </c>
      <c r="DL24" s="7">
        <v>6.1360513215416877E-2</v>
      </c>
      <c r="DM24" s="7">
        <v>0.14143952722687489</v>
      </c>
      <c r="DN24" s="7">
        <v>-0.14903325582948179</v>
      </c>
      <c r="DO24" s="7">
        <v>0.1156119550234804</v>
      </c>
      <c r="DP24" s="7">
        <v>0.14433064238035609</v>
      </c>
      <c r="DQ24" s="7">
        <v>5.0486190478925157E-2</v>
      </c>
      <c r="DR24" s="7">
        <v>2.3391731273528969E-2</v>
      </c>
      <c r="DS24" s="7">
        <v>6.7362545713944635E-2</v>
      </c>
      <c r="DT24" s="7">
        <v>3.8362866170129663E-2</v>
      </c>
      <c r="DU24" s="7">
        <v>4.7638587273757492E-2</v>
      </c>
      <c r="DV24" s="7">
        <v>-0.1582246986438143</v>
      </c>
      <c r="DW24" s="7">
        <v>0.10885708989133031</v>
      </c>
      <c r="DX24" s="7">
        <v>0.17373733044807921</v>
      </c>
      <c r="DY24" s="7">
        <v>3.2066535729951551E-2</v>
      </c>
      <c r="DZ24" s="7">
        <v>4.8904664258799802E-2</v>
      </c>
      <c r="EA24" s="7">
        <v>5.4920183841502608E-2</v>
      </c>
      <c r="EB24" s="7">
        <v>0.1092287723728063</v>
      </c>
      <c r="EC24" s="7">
        <v>-0.25665137996352638</v>
      </c>
      <c r="ED24" s="7">
        <v>5.6172845298362112E-2</v>
      </c>
      <c r="EE24" s="7">
        <v>0.10748065723441801</v>
      </c>
      <c r="EF24" s="8">
        <v>-6.7276677043968364E-2</v>
      </c>
      <c r="EG24" s="15">
        <f t="shared" si="6"/>
        <v>-2.1011872151749027E-2</v>
      </c>
      <c r="EH24" s="15">
        <f t="shared" si="7"/>
        <v>0.19664320881859093</v>
      </c>
      <c r="EI24" s="15">
        <f t="shared" si="8"/>
        <v>-0.10685277298914039</v>
      </c>
    </row>
    <row r="25" spans="1:139" s="5" customFormat="1" x14ac:dyDescent="0.3">
      <c r="A25" s="6" t="s">
        <v>146</v>
      </c>
      <c r="B25" s="6" t="s">
        <v>147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  <c r="EG25" s="15">
        <f t="shared" si="6"/>
        <v>7.3485376145559517E-3</v>
      </c>
      <c r="EH25" s="15">
        <f t="shared" si="7"/>
        <v>4.2276369775976368E-2</v>
      </c>
      <c r="EI25" s="15">
        <f t="shared" si="8"/>
        <v>0.17382139605401439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預測IC</vt:lpstr>
      <vt:lpstr>預測(XGB)勝率</vt:lpstr>
      <vt:lpstr>預測(XGB)累積報酬</vt:lpstr>
      <vt:lpstr>XGB再投資累積報酬</vt:lpstr>
      <vt:lpstr>XGB夏普比率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博仁 鄭</cp:lastModifiedBy>
  <dcterms:created xsi:type="dcterms:W3CDTF">2015-06-05T18:17:20Z</dcterms:created>
  <dcterms:modified xsi:type="dcterms:W3CDTF">2025-06-02T16:31:25Z</dcterms:modified>
</cp:coreProperties>
</file>